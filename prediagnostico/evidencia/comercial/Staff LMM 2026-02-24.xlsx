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geniumcapital-my.sharepoint.com/personal/roberto_zacatenco_engen_com_mx/Documents/Documentos/Staff/"/>
    </mc:Choice>
  </mc:AlternateContent>
  <xr:revisionPtr revIDLastSave="0" documentId="8_{204B551B-A43D-4ED8-8148-63CDA46E4E6A}" xr6:coauthVersionLast="47" xr6:coauthVersionMax="47" xr10:uidLastSave="{00000000-0000-0000-0000-000000000000}"/>
  <bookViews>
    <workbookView xWindow="-110" yWindow="-110" windowWidth="19420" windowHeight="10300" activeTab="3" xr2:uid="{E43D4BA5-90B0-4765-87DF-B5107D9C49DF}"/>
  </bookViews>
  <sheets>
    <sheet name="Dólares" sheetId="1" r:id="rId1"/>
    <sheet name="Pesos Cierre 2024" sheetId="2" r:id="rId2"/>
    <sheet name="Pesos 2025" sheetId="3" r:id="rId3"/>
    <sheet name="Pesos 2026" sheetId="4" r:id="rId4"/>
    <sheet name="Presupuesto" sheetId="5" r:id="rId5"/>
  </sheets>
  <externalReferences>
    <externalReference r:id="rId6"/>
  </externalReferences>
  <definedNames>
    <definedName name="_xlnm._FilterDatabase" localSheetId="1" hidden="1">'Pesos Cierre 2024'!$AA$24:$AD$24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7" i="4" l="1"/>
  <c r="BB6" i="4"/>
  <c r="BB5" i="4"/>
  <c r="BB4" i="4"/>
  <c r="V16" i="4"/>
  <c r="V15" i="4"/>
  <c r="V3" i="4"/>
  <c r="AY7" i="4" l="1"/>
  <c r="AY6" i="4"/>
  <c r="AY5" i="4"/>
  <c r="AY4" i="4"/>
  <c r="T16" i="4"/>
  <c r="S16" i="4"/>
  <c r="T15" i="4"/>
  <c r="S15" i="4"/>
  <c r="AV7" i="4"/>
  <c r="AV6" i="4"/>
  <c r="AV5" i="4"/>
  <c r="AV4" i="4"/>
  <c r="U16" i="4"/>
  <c r="U15" i="4"/>
  <c r="AS7" i="4"/>
  <c r="AS6" i="4"/>
  <c r="AS5" i="4"/>
  <c r="AS4" i="4"/>
  <c r="G16" i="4" l="1"/>
  <c r="G15" i="4"/>
  <c r="AP7" i="4" l="1"/>
  <c r="AP6" i="4"/>
  <c r="AP5" i="4"/>
  <c r="AP4" i="4"/>
  <c r="P37" i="4" l="1"/>
  <c r="O37" i="4"/>
  <c r="N37" i="4"/>
  <c r="M37" i="4"/>
  <c r="L37" i="4"/>
  <c r="K37" i="4"/>
  <c r="J37" i="4"/>
  <c r="I37" i="4"/>
  <c r="H37" i="4"/>
  <c r="G37" i="4"/>
  <c r="F37" i="4"/>
  <c r="F16" i="4"/>
  <c r="F15" i="4"/>
  <c r="AM7" i="4"/>
  <c r="AM6" i="4"/>
  <c r="AM5" i="4"/>
  <c r="AM4" i="4"/>
  <c r="AK7" i="5"/>
  <c r="AK6" i="5"/>
  <c r="AK5" i="5"/>
  <c r="AK4" i="5"/>
  <c r="R16" i="5"/>
  <c r="R15" i="5"/>
  <c r="M37" i="5" l="1"/>
  <c r="M42" i="5" s="1"/>
  <c r="M43" i="5" s="1"/>
  <c r="J37" i="5"/>
  <c r="J42" i="5" s="1"/>
  <c r="J43" i="5" s="1"/>
  <c r="G37" i="5"/>
  <c r="H37" i="5" s="1"/>
  <c r="D37" i="5"/>
  <c r="E37" i="5" s="1"/>
  <c r="F37" i="5" s="1"/>
  <c r="C38" i="5"/>
  <c r="C16" i="5"/>
  <c r="C15" i="5"/>
  <c r="T75" i="5"/>
  <c r="S75" i="5" s="1"/>
  <c r="R75" i="5" s="1"/>
  <c r="Q75" i="5" s="1"/>
  <c r="P75" i="5" s="1"/>
  <c r="O75" i="5" s="1"/>
  <c r="N75" i="5" s="1"/>
  <c r="M75" i="5" s="1"/>
  <c r="L75" i="5" s="1"/>
  <c r="X66" i="5"/>
  <c r="X65" i="5"/>
  <c r="X64" i="5"/>
  <c r="X63" i="5"/>
  <c r="X62" i="5"/>
  <c r="X61" i="5"/>
  <c r="X60" i="5"/>
  <c r="X59" i="5"/>
  <c r="X58" i="5"/>
  <c r="X57" i="5"/>
  <c r="X56" i="5"/>
  <c r="T55" i="5"/>
  <c r="S55" i="5" s="1"/>
  <c r="R55" i="5" s="1"/>
  <c r="Q55" i="5" s="1"/>
  <c r="P55" i="5" s="1"/>
  <c r="O55" i="5" s="1"/>
  <c r="N55" i="5" s="1"/>
  <c r="M55" i="5" s="1"/>
  <c r="L55" i="5" s="1"/>
  <c r="F48" i="5"/>
  <c r="G48" i="5" s="1"/>
  <c r="H48" i="5" s="1"/>
  <c r="I48" i="5" s="1"/>
  <c r="J48" i="5" s="1"/>
  <c r="K48" i="5" s="1"/>
  <c r="L48" i="5" s="1"/>
  <c r="M48" i="5" s="1"/>
  <c r="N48" i="5" s="1"/>
  <c r="O48" i="5" s="1"/>
  <c r="F47" i="5"/>
  <c r="G47" i="5" s="1"/>
  <c r="H47" i="5" s="1"/>
  <c r="I47" i="5" s="1"/>
  <c r="J47" i="5" s="1"/>
  <c r="K47" i="5" s="1"/>
  <c r="L47" i="5" s="1"/>
  <c r="M47" i="5" s="1"/>
  <c r="D47" i="5"/>
  <c r="V46" i="5"/>
  <c r="P46" i="5"/>
  <c r="P45" i="5"/>
  <c r="Q40" i="5"/>
  <c r="P40" i="5"/>
  <c r="I20" i="5"/>
  <c r="H20" i="5"/>
  <c r="G20" i="5"/>
  <c r="F20" i="5"/>
  <c r="E20" i="5"/>
  <c r="Z17" i="5"/>
  <c r="Y17" i="5"/>
  <c r="X17" i="5"/>
  <c r="W17" i="5"/>
  <c r="V17" i="5"/>
  <c r="U17" i="5"/>
  <c r="T17" i="5"/>
  <c r="S17" i="5"/>
  <c r="P17" i="5"/>
  <c r="Q16" i="5"/>
  <c r="I17" i="5"/>
  <c r="H17" i="5"/>
  <c r="G17" i="5"/>
  <c r="Q15" i="5"/>
  <c r="J17" i="5"/>
  <c r="F17" i="5"/>
  <c r="E17" i="5"/>
  <c r="AH7" i="5"/>
  <c r="AE7" i="5"/>
  <c r="AB7" i="5"/>
  <c r="Y7" i="5"/>
  <c r="AH6" i="5"/>
  <c r="AE6" i="5"/>
  <c r="AB6" i="5"/>
  <c r="Y6" i="5"/>
  <c r="AH5" i="5"/>
  <c r="AC5" i="5"/>
  <c r="AE5" i="5" s="1"/>
  <c r="AB5" i="5"/>
  <c r="Y5" i="5"/>
  <c r="AH4" i="5"/>
  <c r="AE4" i="5"/>
  <c r="AB4" i="5"/>
  <c r="Y4" i="5"/>
  <c r="Q3" i="5"/>
  <c r="V75" i="4"/>
  <c r="U75" i="4"/>
  <c r="T75" i="4" s="1"/>
  <c r="S75" i="4" s="1"/>
  <c r="R75" i="4" s="1"/>
  <c r="Q75" i="4" s="1"/>
  <c r="P75" i="4" s="1"/>
  <c r="O75" i="4" s="1"/>
  <c r="N75" i="4" s="1"/>
  <c r="Z66" i="4"/>
  <c r="Z65" i="4"/>
  <c r="Z64" i="4"/>
  <c r="Z63" i="4"/>
  <c r="Z62" i="4"/>
  <c r="Z61" i="4"/>
  <c r="Z60" i="4"/>
  <c r="Z59" i="4"/>
  <c r="Z58" i="4"/>
  <c r="Z57" i="4"/>
  <c r="Z56" i="4"/>
  <c r="V55" i="4"/>
  <c r="U55" i="4" s="1"/>
  <c r="T55" i="4" s="1"/>
  <c r="S55" i="4" s="1"/>
  <c r="R55" i="4" s="1"/>
  <c r="Q55" i="4" s="1"/>
  <c r="P55" i="4" s="1"/>
  <c r="O55" i="4" s="1"/>
  <c r="N55" i="4" s="1"/>
  <c r="H48" i="4"/>
  <c r="I48" i="4" s="1"/>
  <c r="J48" i="4" s="1"/>
  <c r="K48" i="4" s="1"/>
  <c r="L48" i="4" s="1"/>
  <c r="M48" i="4" s="1"/>
  <c r="N48" i="4" s="1"/>
  <c r="O48" i="4" s="1"/>
  <c r="P48" i="4" s="1"/>
  <c r="Q48" i="4" s="1"/>
  <c r="H47" i="4"/>
  <c r="I47" i="4" s="1"/>
  <c r="J47" i="4" s="1"/>
  <c r="K47" i="4" s="1"/>
  <c r="L47" i="4" s="1"/>
  <c r="M47" i="4" s="1"/>
  <c r="N47" i="4" s="1"/>
  <c r="O47" i="4" s="1"/>
  <c r="F47" i="4"/>
  <c r="X46" i="4"/>
  <c r="R46" i="4"/>
  <c r="R45" i="4"/>
  <c r="P42" i="4"/>
  <c r="P43" i="4" s="1"/>
  <c r="O42" i="4"/>
  <c r="O43" i="4" s="1"/>
  <c r="N42" i="4"/>
  <c r="N43" i="4" s="1"/>
  <c r="M42" i="4"/>
  <c r="M43" i="4" s="1"/>
  <c r="L42" i="4"/>
  <c r="L43" i="4" s="1"/>
  <c r="K42" i="4"/>
  <c r="K43" i="4" s="1"/>
  <c r="J42" i="4"/>
  <c r="J43" i="4" s="1"/>
  <c r="S40" i="4"/>
  <c r="R40" i="4"/>
  <c r="C40" i="4"/>
  <c r="C37" i="4"/>
  <c r="C36" i="4"/>
  <c r="E21" i="4"/>
  <c r="K20" i="4"/>
  <c r="J20" i="4"/>
  <c r="I20" i="4"/>
  <c r="H20" i="4"/>
  <c r="G20" i="4"/>
  <c r="C20" i="4"/>
  <c r="AB17" i="4"/>
  <c r="AA17" i="4"/>
  <c r="Z17" i="4"/>
  <c r="Y17" i="4"/>
  <c r="X17" i="4"/>
  <c r="W17" i="4"/>
  <c r="V17" i="4"/>
  <c r="U17" i="4"/>
  <c r="R17" i="4"/>
  <c r="Q16" i="4"/>
  <c r="P16" i="4"/>
  <c r="O16" i="4"/>
  <c r="N16" i="4"/>
  <c r="M16" i="4"/>
  <c r="L16" i="4"/>
  <c r="L17" i="4" s="1"/>
  <c r="K16" i="4"/>
  <c r="K17" i="4" s="1"/>
  <c r="J16" i="4"/>
  <c r="I16" i="4"/>
  <c r="I17" i="4" s="1"/>
  <c r="H16" i="4"/>
  <c r="C16" i="4"/>
  <c r="Q15" i="4"/>
  <c r="P15" i="4"/>
  <c r="O15" i="4"/>
  <c r="N15" i="4"/>
  <c r="M15" i="4"/>
  <c r="L15" i="4"/>
  <c r="K15" i="4"/>
  <c r="J15" i="4"/>
  <c r="I15" i="4"/>
  <c r="H15" i="4"/>
  <c r="G17" i="4"/>
  <c r="F21" i="4"/>
  <c r="C21" i="4" s="1"/>
  <c r="E15" i="4"/>
  <c r="C15" i="4"/>
  <c r="C17" i="4" s="1"/>
  <c r="AJ7" i="4"/>
  <c r="AG7" i="4"/>
  <c r="AD7" i="4"/>
  <c r="AA7" i="4"/>
  <c r="AJ6" i="4"/>
  <c r="AG6" i="4"/>
  <c r="AD6" i="4"/>
  <c r="AA6" i="4"/>
  <c r="AJ5" i="4"/>
  <c r="AG5" i="4"/>
  <c r="AE5" i="4"/>
  <c r="AD5" i="4"/>
  <c r="AA5" i="4"/>
  <c r="AJ4" i="4"/>
  <c r="AG4" i="4"/>
  <c r="AD4" i="4"/>
  <c r="AA4" i="4"/>
  <c r="H17" i="4" l="1"/>
  <c r="J17" i="4"/>
  <c r="I37" i="5"/>
  <c r="I42" i="5" s="1"/>
  <c r="I43" i="5" s="1"/>
  <c r="H42" i="5"/>
  <c r="H43" i="5" s="1"/>
  <c r="K37" i="5"/>
  <c r="N37" i="5"/>
  <c r="Q36" i="5"/>
  <c r="Q38" i="5" s="1"/>
  <c r="P36" i="5"/>
  <c r="D17" i="5"/>
  <c r="F17" i="4"/>
  <c r="S36" i="4"/>
  <c r="S38" i="4" s="1"/>
  <c r="H43" i="4"/>
  <c r="D42" i="5" l="1"/>
  <c r="D43" i="5" s="1"/>
  <c r="O37" i="5"/>
  <c r="O42" i="5" s="1"/>
  <c r="O43" i="5" s="1"/>
  <c r="N42" i="5"/>
  <c r="N43" i="5" s="1"/>
  <c r="K42" i="5"/>
  <c r="K43" i="5" s="1"/>
  <c r="L37" i="5"/>
  <c r="L42" i="5" l="1"/>
  <c r="L43" i="5" s="1"/>
  <c r="P37" i="5"/>
  <c r="L41" i="5" s="1"/>
  <c r="F42" i="5"/>
  <c r="F43" i="5" l="1"/>
  <c r="G42" i="5"/>
  <c r="G43" i="5" s="1"/>
  <c r="P38" i="5"/>
  <c r="P39" i="5"/>
  <c r="E42" i="5"/>
  <c r="E43" i="5" s="1"/>
  <c r="E41" i="5"/>
  <c r="I39" i="5"/>
  <c r="K39" i="5"/>
  <c r="H41" i="5"/>
  <c r="K41" i="5"/>
  <c r="I41" i="5"/>
  <c r="D41" i="5"/>
  <c r="J39" i="5"/>
  <c r="J41" i="5"/>
  <c r="H39" i="5"/>
  <c r="E39" i="5"/>
  <c r="O39" i="5"/>
  <c r="D39" i="5"/>
  <c r="F39" i="5"/>
  <c r="F41" i="5"/>
  <c r="N39" i="5"/>
  <c r="L39" i="5"/>
  <c r="P42" i="5"/>
  <c r="G39" i="5"/>
  <c r="N41" i="5"/>
  <c r="O41" i="5"/>
  <c r="M41" i="5"/>
  <c r="G41" i="5"/>
  <c r="M39" i="5"/>
  <c r="X46" i="3"/>
  <c r="AJ7" i="3"/>
  <c r="AJ6" i="3"/>
  <c r="AJ5" i="3"/>
  <c r="AJ4" i="3"/>
  <c r="Q16" i="3"/>
  <c r="Q15" i="3"/>
  <c r="Q41" i="5" l="1"/>
  <c r="Q42" i="5" s="1"/>
  <c r="AE5" i="3"/>
  <c r="AG7" i="3" l="1"/>
  <c r="AG6" i="3"/>
  <c r="AG5" i="3"/>
  <c r="AG4" i="3"/>
  <c r="P36" i="3" l="1"/>
  <c r="AD7" i="3" l="1"/>
  <c r="AD6" i="3"/>
  <c r="AD5" i="3"/>
  <c r="AD4" i="3"/>
  <c r="AA7" i="3"/>
  <c r="AA6" i="3"/>
  <c r="AA5" i="3"/>
  <c r="AA4" i="3"/>
  <c r="S16" i="3" l="1"/>
  <c r="S15" i="3"/>
  <c r="P16" i="3"/>
  <c r="P15" i="3"/>
  <c r="O16" i="3" l="1"/>
  <c r="O15" i="3"/>
  <c r="N16" i="3" l="1"/>
  <c r="N15" i="3"/>
  <c r="M16" i="3" l="1"/>
  <c r="M15" i="3"/>
  <c r="L16" i="3" l="1"/>
  <c r="L15" i="3"/>
  <c r="K16" i="3" l="1"/>
  <c r="K15" i="3"/>
  <c r="J16" i="3" l="1"/>
  <c r="J15" i="3"/>
  <c r="I16" i="3" l="1"/>
  <c r="I15" i="3"/>
  <c r="S3" i="3" l="1"/>
  <c r="H16" i="3" l="1"/>
  <c r="H15" i="3"/>
  <c r="AD38" i="2" l="1"/>
  <c r="G15" i="3" l="1"/>
  <c r="F16" i="3" l="1"/>
  <c r="F15" i="3"/>
  <c r="F21" i="3" s="1"/>
  <c r="R17" i="3" l="1"/>
  <c r="F17" i="3"/>
  <c r="V15" i="2" l="1"/>
  <c r="E15" i="3"/>
  <c r="E21" i="3" s="1"/>
  <c r="H42" i="3" l="1"/>
  <c r="F42" i="3"/>
  <c r="R37" i="3" l="1"/>
  <c r="S37" i="3"/>
  <c r="Z66" i="3"/>
  <c r="V75" i="3"/>
  <c r="U75" i="3" s="1"/>
  <c r="T75" i="3" s="1"/>
  <c r="S75" i="3" s="1"/>
  <c r="R75" i="3" s="1"/>
  <c r="Q75" i="3" s="1"/>
  <c r="P75" i="3" s="1"/>
  <c r="O75" i="3" s="1"/>
  <c r="N75" i="3" s="1"/>
  <c r="Z65" i="3"/>
  <c r="Z64" i="3"/>
  <c r="Z63" i="3"/>
  <c r="Z62" i="3"/>
  <c r="Z61" i="3"/>
  <c r="Z60" i="3"/>
  <c r="Z59" i="3"/>
  <c r="Z58" i="3"/>
  <c r="Z57" i="3"/>
  <c r="Z56" i="3"/>
  <c r="V55" i="3"/>
  <c r="U55" i="3" s="1"/>
  <c r="T55" i="3" s="1"/>
  <c r="S55" i="3" s="1"/>
  <c r="R55" i="3" s="1"/>
  <c r="Q55" i="3" s="1"/>
  <c r="P55" i="3" s="1"/>
  <c r="O55" i="3" s="1"/>
  <c r="N55" i="3" s="1"/>
  <c r="H48" i="3"/>
  <c r="I48" i="3" s="1"/>
  <c r="J48" i="3" s="1"/>
  <c r="K48" i="3" s="1"/>
  <c r="L48" i="3" s="1"/>
  <c r="M48" i="3" s="1"/>
  <c r="N48" i="3" s="1"/>
  <c r="O48" i="3" s="1"/>
  <c r="P48" i="3" s="1"/>
  <c r="Q48" i="3" s="1"/>
  <c r="H47" i="3"/>
  <c r="I47" i="3" s="1"/>
  <c r="J47" i="3" s="1"/>
  <c r="K47" i="3" s="1"/>
  <c r="L47" i="3" s="1"/>
  <c r="M47" i="3" s="1"/>
  <c r="N47" i="3" s="1"/>
  <c r="O47" i="3" s="1"/>
  <c r="F47" i="3"/>
  <c r="R46" i="3"/>
  <c r="R45" i="3"/>
  <c r="Q42" i="3"/>
  <c r="Q43" i="3" s="1"/>
  <c r="P42" i="3"/>
  <c r="P43" i="3" s="1"/>
  <c r="O42" i="3"/>
  <c r="O43" i="3" s="1"/>
  <c r="N42" i="3"/>
  <c r="N43" i="3" s="1"/>
  <c r="M42" i="3"/>
  <c r="M43" i="3" s="1"/>
  <c r="L42" i="3"/>
  <c r="L43" i="3" s="1"/>
  <c r="K42" i="3"/>
  <c r="K43" i="3" s="1"/>
  <c r="J42" i="3"/>
  <c r="J43" i="3" s="1"/>
  <c r="H43" i="3"/>
  <c r="F43" i="3"/>
  <c r="S40" i="3"/>
  <c r="R40" i="3"/>
  <c r="C40" i="3"/>
  <c r="C37" i="3"/>
  <c r="S36" i="3"/>
  <c r="R36" i="3"/>
  <c r="C36" i="3"/>
  <c r="C21" i="3"/>
  <c r="K20" i="3"/>
  <c r="J20" i="3"/>
  <c r="I20" i="3"/>
  <c r="H20" i="3"/>
  <c r="G20" i="3"/>
  <c r="C20" i="3"/>
  <c r="AB17" i="3"/>
  <c r="AA17" i="3"/>
  <c r="Z17" i="3"/>
  <c r="Y17" i="3"/>
  <c r="X17" i="3"/>
  <c r="W17" i="3"/>
  <c r="L17" i="3"/>
  <c r="K17" i="3"/>
  <c r="J17" i="3"/>
  <c r="I17" i="3"/>
  <c r="H17" i="3"/>
  <c r="G17" i="3"/>
  <c r="C16" i="3"/>
  <c r="U17" i="3"/>
  <c r="C15" i="3"/>
  <c r="G26" i="2"/>
  <c r="H26" i="2"/>
  <c r="I26" i="2"/>
  <c r="J26" i="2"/>
  <c r="K26" i="2"/>
  <c r="L26" i="2"/>
  <c r="M26" i="2"/>
  <c r="G27" i="2"/>
  <c r="H27" i="2"/>
  <c r="I27" i="2"/>
  <c r="J27" i="2"/>
  <c r="K27" i="2"/>
  <c r="L27" i="2"/>
  <c r="M27" i="2"/>
  <c r="N27" i="2"/>
  <c r="O27" i="2"/>
  <c r="P27" i="2"/>
  <c r="U16" i="2"/>
  <c r="V16" i="2" s="1"/>
  <c r="U15" i="2"/>
  <c r="V13" i="2"/>
  <c r="V11" i="2"/>
  <c r="V9" i="2"/>
  <c r="V7" i="2"/>
  <c r="V5" i="2"/>
  <c r="S16" i="2"/>
  <c r="T16" i="2" s="1"/>
  <c r="S15" i="2"/>
  <c r="T13" i="2"/>
  <c r="T11" i="2"/>
  <c r="T9" i="2"/>
  <c r="T7" i="2"/>
  <c r="T5" i="2"/>
  <c r="R39" i="3" l="1"/>
  <c r="Q39" i="3"/>
  <c r="P39" i="3"/>
  <c r="O39" i="3"/>
  <c r="N39" i="3"/>
  <c r="M39" i="3"/>
  <c r="K39" i="3"/>
  <c r="J39" i="3"/>
  <c r="I39" i="3"/>
  <c r="H39" i="3"/>
  <c r="G39" i="3"/>
  <c r="F39" i="3"/>
  <c r="L39" i="3"/>
  <c r="G42" i="3"/>
  <c r="G43" i="3" s="1"/>
  <c r="P41" i="3"/>
  <c r="F41" i="3"/>
  <c r="Q41" i="3"/>
  <c r="O41" i="3"/>
  <c r="N41" i="3"/>
  <c r="M41" i="3"/>
  <c r="L41" i="3"/>
  <c r="K41" i="3"/>
  <c r="J41" i="3"/>
  <c r="I41" i="3"/>
  <c r="H41" i="3"/>
  <c r="G41" i="3"/>
  <c r="I42" i="3"/>
  <c r="I43" i="3" s="1"/>
  <c r="S38" i="3"/>
  <c r="V17" i="3"/>
  <c r="C17" i="3"/>
  <c r="R42" i="3"/>
  <c r="R38" i="3"/>
  <c r="T15" i="2"/>
  <c r="R23" i="2" l="1"/>
  <c r="Z56" i="2"/>
  <c r="Z55" i="2"/>
  <c r="Z54" i="2"/>
  <c r="Q31" i="2" l="1"/>
  <c r="Q32" i="2" s="1"/>
  <c r="P31" i="2"/>
  <c r="P32" i="2" s="1"/>
  <c r="O31" i="2"/>
  <c r="O32" i="2" s="1"/>
  <c r="N31" i="2"/>
  <c r="N32" i="2" s="1"/>
  <c r="M31" i="2"/>
  <c r="M32" i="2" s="1"/>
  <c r="L31" i="2"/>
  <c r="L32" i="2" s="1"/>
  <c r="K31" i="2"/>
  <c r="K32" i="2" s="1"/>
  <c r="J31" i="2"/>
  <c r="J32" i="2" s="1"/>
  <c r="I31" i="2"/>
  <c r="I32" i="2" s="1"/>
  <c r="H31" i="2"/>
  <c r="H32" i="2" s="1"/>
  <c r="G31" i="2"/>
  <c r="G32" i="2" s="1"/>
  <c r="F31" i="2"/>
  <c r="F32" i="2" s="1"/>
  <c r="Z49" i="2" l="1"/>
  <c r="Z48" i="2"/>
  <c r="Z47" i="2"/>
  <c r="Z51" i="2"/>
  <c r="Z46" i="2"/>
  <c r="Z45" i="2"/>
  <c r="F36" i="2" l="1"/>
  <c r="G36" i="2"/>
  <c r="H36" i="2" s="1"/>
  <c r="I36" i="2" s="1"/>
  <c r="J36" i="2" s="1"/>
  <c r="K36" i="2" s="1"/>
  <c r="L36" i="2" s="1"/>
  <c r="M36" i="2" s="1"/>
  <c r="N36" i="2" s="1"/>
  <c r="O36" i="2" s="1"/>
  <c r="P36" i="2" s="1"/>
  <c r="G37" i="2"/>
  <c r="H37" i="2" s="1"/>
  <c r="I37" i="2" s="1"/>
  <c r="J37" i="2" s="1"/>
  <c r="K37" i="2" s="1"/>
  <c r="L37" i="2" s="1"/>
  <c r="M37" i="2" s="1"/>
  <c r="N37" i="2" s="1"/>
  <c r="O37" i="2" s="1"/>
  <c r="P37" i="2" s="1"/>
  <c r="Q37" i="2" s="1"/>
  <c r="R35" i="2"/>
  <c r="AA17" i="2" l="1"/>
  <c r="AB17" i="2"/>
  <c r="Z17" i="2"/>
  <c r="Y17" i="2"/>
  <c r="X17" i="2" l="1"/>
  <c r="W17" i="2"/>
  <c r="V17" i="2" l="1"/>
  <c r="U17" i="2"/>
  <c r="L30" i="1" l="1"/>
  <c r="K30" i="1"/>
  <c r="L23" i="1"/>
  <c r="K23" i="1"/>
  <c r="K33" i="1"/>
  <c r="O36" i="1" l="1"/>
  <c r="N36" i="1"/>
  <c r="M36" i="1"/>
  <c r="L36" i="1"/>
  <c r="K36" i="1"/>
  <c r="J36" i="1"/>
  <c r="I36" i="1"/>
  <c r="H36" i="1"/>
  <c r="G36" i="1"/>
  <c r="F36" i="1"/>
  <c r="E36" i="1"/>
  <c r="D36" i="1"/>
  <c r="T17" i="2" l="1"/>
  <c r="S17" i="2"/>
  <c r="V66" i="2" l="1"/>
  <c r="U66" i="2" s="1"/>
  <c r="T66" i="2" s="1"/>
  <c r="S66" i="2" s="1"/>
  <c r="R66" i="2" s="1"/>
  <c r="Q66" i="2" s="1"/>
  <c r="P66" i="2" s="1"/>
  <c r="O66" i="2" s="1"/>
  <c r="N66" i="2" s="1"/>
  <c r="Z53" i="2"/>
  <c r="Z52" i="2"/>
  <c r="Z50" i="2"/>
  <c r="V44" i="2"/>
  <c r="U44" i="2" s="1"/>
  <c r="T44" i="2" s="1"/>
  <c r="S44" i="2" s="1"/>
  <c r="R44" i="2" s="1"/>
  <c r="Q44" i="2" s="1"/>
  <c r="P44" i="2" s="1"/>
  <c r="O44" i="2" s="1"/>
  <c r="N44" i="2" s="1"/>
  <c r="R34" i="2"/>
  <c r="C29" i="2"/>
  <c r="Q27" i="2"/>
  <c r="F27" i="2"/>
  <c r="C27" i="2"/>
  <c r="F26" i="2"/>
  <c r="C26" i="2"/>
  <c r="C24" i="2"/>
  <c r="C23" i="2"/>
  <c r="C21" i="2"/>
  <c r="K20" i="2"/>
  <c r="J20" i="2"/>
  <c r="I20" i="2"/>
  <c r="H20" i="2"/>
  <c r="G20" i="2"/>
  <c r="F20" i="2"/>
  <c r="C20" i="2"/>
  <c r="C16" i="2"/>
  <c r="C15" i="2"/>
  <c r="X63" i="1"/>
  <c r="D63" i="1"/>
  <c r="X62" i="1"/>
  <c r="X61" i="1"/>
  <c r="X60" i="1"/>
  <c r="D60" i="1"/>
  <c r="X59" i="1"/>
  <c r="X58" i="1"/>
  <c r="X57" i="1"/>
  <c r="X56" i="1"/>
  <c r="X55" i="1"/>
  <c r="X54" i="1"/>
  <c r="X53" i="1"/>
  <c r="X52" i="1"/>
  <c r="X51" i="1"/>
  <c r="X50" i="1"/>
  <c r="X49" i="1"/>
  <c r="X48" i="1"/>
  <c r="T47" i="1"/>
  <c r="S47" i="1" s="1"/>
  <c r="Q47" i="1" s="1"/>
  <c r="P47" i="1" s="1"/>
  <c r="O47" i="1" s="1"/>
  <c r="N47" i="1" s="1"/>
  <c r="M47" i="1" s="1"/>
  <c r="I40" i="1"/>
  <c r="P40" i="1" s="1"/>
  <c r="C40" i="1"/>
  <c r="P39" i="1"/>
  <c r="Q34" i="1"/>
  <c r="P34" i="1"/>
  <c r="C34" i="1"/>
  <c r="O33" i="1"/>
  <c r="N33" i="1"/>
  <c r="M33" i="1"/>
  <c r="L33" i="1"/>
  <c r="J33" i="1"/>
  <c r="I33" i="1"/>
  <c r="H33" i="1"/>
  <c r="G33" i="1"/>
  <c r="F33" i="1"/>
  <c r="O32" i="1"/>
  <c r="N32" i="1"/>
  <c r="M32" i="1"/>
  <c r="L32" i="1"/>
  <c r="K32" i="1"/>
  <c r="J32" i="1"/>
  <c r="I32" i="1"/>
  <c r="H32" i="1"/>
  <c r="G32" i="1"/>
  <c r="F32" i="1"/>
  <c r="E32" i="1"/>
  <c r="D32" i="1"/>
  <c r="J30" i="1"/>
  <c r="I30" i="1"/>
  <c r="G30" i="1"/>
  <c r="E30" i="1"/>
  <c r="O28" i="1"/>
  <c r="O25" i="1" s="1"/>
  <c r="N28" i="1"/>
  <c r="N25" i="1" s="1"/>
  <c r="M28" i="1"/>
  <c r="M25" i="1" s="1"/>
  <c r="L28" i="1"/>
  <c r="L25" i="1" s="1"/>
  <c r="K28" i="1"/>
  <c r="J28" i="1"/>
  <c r="J25" i="1" s="1"/>
  <c r="I28" i="1"/>
  <c r="I25" i="1" s="1"/>
  <c r="H28" i="1"/>
  <c r="G28" i="1"/>
  <c r="G25" i="1" s="1"/>
  <c r="F28" i="1"/>
  <c r="F25" i="1" s="1"/>
  <c r="E28" i="1"/>
  <c r="E25" i="1" s="1"/>
  <c r="D28" i="1"/>
  <c r="D25" i="1" s="1"/>
  <c r="Q27" i="1"/>
  <c r="P27" i="1"/>
  <c r="P29" i="1" s="1"/>
  <c r="K25" i="1"/>
  <c r="H25" i="1"/>
  <c r="D23" i="1"/>
  <c r="D33" i="1" s="1"/>
  <c r="C23" i="1"/>
  <c r="C33" i="1" s="1"/>
  <c r="I20" i="1"/>
  <c r="H20" i="1"/>
  <c r="G20" i="1"/>
  <c r="F20" i="1"/>
  <c r="E20" i="1"/>
  <c r="D20" i="1"/>
  <c r="C20" i="1"/>
  <c r="U16" i="1"/>
  <c r="S16" i="1"/>
  <c r="T16" i="1" s="1"/>
  <c r="Q16" i="1"/>
  <c r="R16" i="1" s="1"/>
  <c r="P16" i="1"/>
  <c r="P17" i="1" s="1"/>
  <c r="J16" i="1"/>
  <c r="J17" i="1" s="1"/>
  <c r="I16" i="1"/>
  <c r="I17" i="1" s="1"/>
  <c r="H16" i="1"/>
  <c r="G16" i="1"/>
  <c r="F16" i="1"/>
  <c r="E16" i="1"/>
  <c r="D16" i="1"/>
  <c r="C16" i="1"/>
  <c r="C17" i="1" s="1"/>
  <c r="U15" i="1"/>
  <c r="U17" i="1" s="1"/>
  <c r="S15" i="1"/>
  <c r="S17" i="1" s="1"/>
  <c r="Q15" i="1"/>
  <c r="P15" i="1"/>
  <c r="J15" i="1"/>
  <c r="I15" i="1"/>
  <c r="H15" i="1"/>
  <c r="G15" i="1"/>
  <c r="G17" i="1" s="1"/>
  <c r="F15" i="1"/>
  <c r="F17" i="1" s="1"/>
  <c r="E15" i="1"/>
  <c r="E17" i="1" s="1"/>
  <c r="D15" i="1"/>
  <c r="C15" i="1"/>
  <c r="T13" i="1"/>
  <c r="R13" i="1"/>
  <c r="T11" i="1"/>
  <c r="R11" i="1"/>
  <c r="T9" i="1"/>
  <c r="R9" i="1"/>
  <c r="R15" i="1" s="1"/>
  <c r="T7" i="1"/>
  <c r="R7" i="1"/>
  <c r="T5" i="1"/>
  <c r="R5" i="1"/>
  <c r="Q3" i="1"/>
  <c r="S3" i="1" s="1"/>
  <c r="C17" i="2" l="1"/>
  <c r="K17" i="2"/>
  <c r="L17" i="2"/>
  <c r="S26" i="2"/>
  <c r="J17" i="2"/>
  <c r="R29" i="2"/>
  <c r="S27" i="2"/>
  <c r="T15" i="1"/>
  <c r="T17" i="1" s="1"/>
  <c r="D17" i="1"/>
  <c r="Q17" i="1"/>
  <c r="H17" i="1"/>
  <c r="P32" i="1"/>
  <c r="I31" i="1" s="1"/>
  <c r="P30" i="1"/>
  <c r="F17" i="2"/>
  <c r="G17" i="2"/>
  <c r="H17" i="2"/>
  <c r="I17" i="2"/>
  <c r="S29" i="2"/>
  <c r="R26" i="2"/>
  <c r="R27" i="2"/>
  <c r="R24" i="2"/>
  <c r="S23" i="2"/>
  <c r="O31" i="1"/>
  <c r="G31" i="1"/>
  <c r="N31" i="1"/>
  <c r="Q25" i="1"/>
  <c r="P25" i="1"/>
  <c r="R17" i="1"/>
  <c r="E23" i="1"/>
  <c r="E33" i="1" s="1"/>
  <c r="Q33" i="1" s="1"/>
  <c r="Q35" i="1" s="1"/>
  <c r="K31" i="1"/>
  <c r="Q28" i="1"/>
  <c r="Q29" i="1" s="1"/>
  <c r="Q30" i="1"/>
  <c r="Q23" i="1"/>
  <c r="Q26" i="1" s="1"/>
  <c r="R31" i="2" l="1"/>
  <c r="I30" i="2"/>
  <c r="N30" i="2"/>
  <c r="K30" i="2"/>
  <c r="P30" i="2"/>
  <c r="H30" i="2"/>
  <c r="J30" i="2"/>
  <c r="O30" i="2"/>
  <c r="G30" i="2"/>
  <c r="M30" i="2"/>
  <c r="L30" i="2"/>
  <c r="Q30" i="2"/>
  <c r="F30" i="2"/>
  <c r="R25" i="2"/>
  <c r="S25" i="2"/>
  <c r="S28" i="2"/>
  <c r="F31" i="1"/>
  <c r="M31" i="1"/>
  <c r="E31" i="1"/>
  <c r="H31" i="1"/>
  <c r="J31" i="1"/>
  <c r="L31" i="1"/>
  <c r="D31" i="1"/>
  <c r="Q31" i="1" s="1"/>
  <c r="Q32" i="1" s="1"/>
  <c r="R28" i="2"/>
  <c r="S31" i="2"/>
  <c r="P33" i="1"/>
  <c r="P35" i="1" s="1"/>
  <c r="P23" i="1"/>
  <c r="P26" i="1" s="1"/>
  <c r="S41" i="3" l="1"/>
  <c r="S42" i="3" s="1"/>
  <c r="I43" i="4" l="1"/>
  <c r="G43" i="4"/>
  <c r="F43" i="4"/>
  <c r="Q39" i="4" l="1"/>
  <c r="Q37" i="4" s="1"/>
  <c r="R37" i="4" l="1"/>
  <c r="Q42" i="4"/>
  <c r="Q43" i="4" s="1"/>
  <c r="R38" i="4" l="1"/>
  <c r="G41" i="4"/>
  <c r="H41" i="4"/>
  <c r="K41" i="4"/>
  <c r="N41" i="4"/>
  <c r="P41" i="4"/>
  <c r="R42" i="4"/>
  <c r="I41" i="4"/>
  <c r="F41" i="4"/>
  <c r="O41" i="4"/>
  <c r="L41" i="4"/>
  <c r="J41" i="4"/>
  <c r="M41" i="4"/>
  <c r="Q41" i="4"/>
  <c r="S41" i="4" l="1"/>
  <c r="S42" i="4" s="1"/>
</calcChain>
</file>

<file path=xl/sharedStrings.xml><?xml version="1.0" encoding="utf-8"?>
<sst xmlns="http://schemas.openxmlformats.org/spreadsheetml/2006/main" count="3888" uniqueCount="336">
  <si>
    <t>Core</t>
  </si>
  <si>
    <t>Semanas mes corriente</t>
  </si>
  <si>
    <t>Pipeline</t>
  </si>
  <si>
    <t>Dic 22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</si>
  <si>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</si>
  <si>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</si>
  <si>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</si>
  <si>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</si>
  <si>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</si>
  <si>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</si>
  <si>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</si>
  <si>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</si>
  <si>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</si>
  <si>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</si>
  <si>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</si>
  <si>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</si>
  <si>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MXN</t>
  </si>
  <si>
    <t>Dólares</t>
  </si>
  <si>
    <t>US</t>
  </si>
  <si>
    <t>Oportunidad</t>
  </si>
  <si>
    <t>MM</t>
  </si>
  <si>
    <t>#</t>
  </si>
  <si>
    <t>Propuesta</t>
  </si>
  <si>
    <t>Prop. Ganada</t>
  </si>
  <si>
    <t>Crédito</t>
  </si>
  <si>
    <t>Backlog</t>
  </si>
  <si>
    <t>Pipeline LMM</t>
  </si>
  <si>
    <t>Trans. Prom. LMM</t>
  </si>
  <si>
    <t>Ppln Digital</t>
  </si>
  <si>
    <t>Trans Prom Digital</t>
  </si>
  <si>
    <r>
      <t xml:space="preserve">Directo LMM y Digital </t>
    </r>
    <r>
      <rPr>
        <b/>
        <sz val="11"/>
        <color rgb="FFFFFF00"/>
        <rFont val="Calibri"/>
        <family val="2"/>
        <scheme val="minor"/>
      </rPr>
      <t>Sin OFS</t>
    </r>
  </si>
  <si>
    <t>Volumen</t>
  </si>
  <si>
    <t>Jan</t>
  </si>
  <si>
    <t>Apr</t>
  </si>
  <si>
    <t>Aug</t>
  </si>
  <si>
    <t>Sep</t>
  </si>
  <si>
    <t>FY 2022</t>
  </si>
  <si>
    <t>YTD Oct</t>
  </si>
  <si>
    <t>BY</t>
  </si>
  <si>
    <t>Real YTD</t>
  </si>
  <si>
    <t>Ppto</t>
  </si>
  <si>
    <t>LMM Iniciativa Real</t>
  </si>
  <si>
    <t>LMM Iniciativa Real $mdp</t>
  </si>
  <si>
    <t>LMM Iniciativa Ppto</t>
  </si>
  <si>
    <t>Buffers</t>
  </si>
  <si>
    <t>% Prob</t>
  </si>
  <si>
    <t>Digital Real</t>
  </si>
  <si>
    <t>In Credit</t>
  </si>
  <si>
    <t>Digital Ppto</t>
  </si>
  <si>
    <t>OFS</t>
  </si>
  <si>
    <t>OFS Iniciativa Real</t>
  </si>
  <si>
    <t>OFS Iniciativa Ppto</t>
  </si>
  <si>
    <t>Total Iniciativa sin OFS</t>
  </si>
  <si>
    <t>Funded Iniciativa + Digital</t>
  </si>
  <si>
    <t>Ppto Iniciativa + Digital</t>
  </si>
  <si>
    <r>
      <t xml:space="preserve">Clientes nuevos </t>
    </r>
    <r>
      <rPr>
        <b/>
        <sz val="11"/>
        <color rgb="FFFFFF00"/>
        <rFont val="Calibri"/>
        <family val="2"/>
        <scheme val="minor"/>
      </rPr>
      <t>sin OFS</t>
    </r>
  </si>
  <si>
    <t>Clientes Nuevos</t>
  </si>
  <si>
    <t>YTD</t>
  </si>
  <si>
    <t>Funded Core</t>
  </si>
  <si>
    <t>Budget Core</t>
  </si>
  <si>
    <t>Fondeado</t>
  </si>
  <si>
    <t>Fondeado x semana</t>
  </si>
  <si>
    <t>W-11</t>
  </si>
  <si>
    <t>W-10</t>
  </si>
  <si>
    <t>W-9</t>
  </si>
  <si>
    <t>W-8</t>
  </si>
  <si>
    <t>W-7</t>
  </si>
  <si>
    <t>W-6</t>
  </si>
  <si>
    <t>W-5</t>
  </si>
  <si>
    <t>W-4</t>
  </si>
  <si>
    <t>W-3</t>
  </si>
  <si>
    <t>W-2</t>
  </si>
  <si>
    <t>W-1</t>
  </si>
  <si>
    <t>Today</t>
  </si>
  <si>
    <t>Comprom</t>
  </si>
  <si>
    <t>I</t>
  </si>
  <si>
    <t>Seguimiento</t>
  </si>
  <si>
    <t>Estatus</t>
  </si>
  <si>
    <t>Cliente</t>
  </si>
  <si>
    <t>Monto Mes</t>
  </si>
  <si>
    <t>LMM</t>
  </si>
  <si>
    <t>Avance relevante</t>
  </si>
  <si>
    <t>Probabilidad</t>
  </si>
  <si>
    <t>Compromiso</t>
  </si>
  <si>
    <t>Region</t>
  </si>
  <si>
    <t>Prensas y Troqueles</t>
  </si>
  <si>
    <t>LMM 1</t>
  </si>
  <si>
    <t>Funded</t>
  </si>
  <si>
    <t>Nuevo</t>
  </si>
  <si>
    <t>+</t>
  </si>
  <si>
    <t>Media</t>
  </si>
  <si>
    <t xml:space="preserve">Agosto </t>
  </si>
  <si>
    <t>backlog</t>
  </si>
  <si>
    <t>Regiomontana de Camiones DG</t>
  </si>
  <si>
    <t>LMM 4</t>
  </si>
  <si>
    <t>Solicitando Facturas</t>
  </si>
  <si>
    <t>Academia Capital</t>
  </si>
  <si>
    <t>LMM 3</t>
  </si>
  <si>
    <t>Firmado</t>
  </si>
  <si>
    <t>=</t>
  </si>
  <si>
    <t>Alta</t>
  </si>
  <si>
    <t>Transportes Aguila de Oro</t>
  </si>
  <si>
    <t>Agrícola 76</t>
  </si>
  <si>
    <t>En firma</t>
  </si>
  <si>
    <t>IC Quba</t>
  </si>
  <si>
    <t>LMM 5</t>
  </si>
  <si>
    <t>Cierre de Progress</t>
  </si>
  <si>
    <t>Destination Services</t>
  </si>
  <si>
    <t>LMM 2</t>
  </si>
  <si>
    <t>En ejecución</t>
  </si>
  <si>
    <t>TR Derivados de Maíz</t>
  </si>
  <si>
    <t>Celulares y Accesorios del Sureste</t>
  </si>
  <si>
    <t>Ma. Teresa y Salvador</t>
  </si>
  <si>
    <t>En Ejecución</t>
  </si>
  <si>
    <t>APCO</t>
  </si>
  <si>
    <t>Autotransportes Especializados MTL</t>
  </si>
  <si>
    <t>Rawmaxx</t>
  </si>
  <si>
    <t>In credit</t>
  </si>
  <si>
    <t>Tecniflex</t>
  </si>
  <si>
    <t>Recicladora Baja</t>
  </si>
  <si>
    <t>Monto</t>
  </si>
  <si>
    <t>Beta San Miguel</t>
  </si>
  <si>
    <t>Se transfiere a Core</t>
  </si>
  <si>
    <t>Promotora Mexicana de Vehículos</t>
  </si>
  <si>
    <t>Innovación Lógika</t>
  </si>
  <si>
    <t>Stand by</t>
  </si>
  <si>
    <t>MTC</t>
  </si>
  <si>
    <t>MTL / Petrosu</t>
  </si>
  <si>
    <t>Proposal Awarded</t>
  </si>
  <si>
    <t>2</t>
  </si>
  <si>
    <t>Cocanmex</t>
  </si>
  <si>
    <t>PP</t>
  </si>
  <si>
    <t>Pico Largo</t>
  </si>
  <si>
    <t>4</t>
  </si>
  <si>
    <t>Cerrado</t>
  </si>
  <si>
    <t>Impresiones Eloram</t>
  </si>
  <si>
    <t>1</t>
  </si>
  <si>
    <t>Stand by por números de empresa</t>
  </si>
  <si>
    <t>DPM</t>
  </si>
  <si>
    <t>Armado de expediente, avanza muy lento</t>
  </si>
  <si>
    <t>3</t>
  </si>
  <si>
    <t>Eyasa</t>
  </si>
  <si>
    <t>IMG</t>
  </si>
  <si>
    <t>Pendientes de expediente</t>
  </si>
  <si>
    <t>Opportunity Identified</t>
  </si>
  <si>
    <t>Reynoso International Systems</t>
  </si>
  <si>
    <t>Recabando expediente</t>
  </si>
  <si>
    <t>Macropay</t>
  </si>
  <si>
    <t>Proposal</t>
  </si>
  <si>
    <t>Asia Maquinaria</t>
  </si>
  <si>
    <t>CCA</t>
  </si>
  <si>
    <t>5 - 10</t>
  </si>
  <si>
    <t>Maquinados de automatización avanzada</t>
  </si>
  <si>
    <t>Sergio Moreno Orquiz, Damián Rubén Moreno Enderi</t>
  </si>
  <si>
    <t>Botanas la Lupita</t>
  </si>
  <si>
    <t>En crédito</t>
  </si>
  <si>
    <t>Ya se cerró primera operación, segundo desembolso Octubre</t>
  </si>
  <si>
    <t>Declinada</t>
  </si>
  <si>
    <t>Renegociándose</t>
  </si>
  <si>
    <t>Transportadora LM Logistics</t>
  </si>
  <si>
    <t>Turística Sureña</t>
  </si>
  <si>
    <t>En ejecución PPs</t>
  </si>
  <si>
    <t>Transportes Regiomar</t>
  </si>
  <si>
    <t>Se está revisando si se pueden cerrar 500k de laptops</t>
  </si>
  <si>
    <t>Transpo</t>
  </si>
  <si>
    <t>Pia Solutions</t>
  </si>
  <si>
    <t>Arrendo Serv</t>
  </si>
  <si>
    <t>Alfo</t>
  </si>
  <si>
    <t>Operbus</t>
  </si>
  <si>
    <t>Garfrut</t>
  </si>
  <si>
    <t>Dic 23</t>
  </si>
  <si>
    <t>Marzo</t>
  </si>
  <si>
    <t>León Cortacero</t>
  </si>
  <si>
    <t>Energroup</t>
  </si>
  <si>
    <t>Trusot</t>
  </si>
  <si>
    <t>Flow</t>
  </si>
  <si>
    <t>Coloc Est</t>
  </si>
  <si>
    <t>Total Buffers</t>
  </si>
  <si>
    <t>Desestimada por información</t>
  </si>
  <si>
    <t>Desestimada por cliente por estructura</t>
  </si>
  <si>
    <t>Lutsa</t>
  </si>
  <si>
    <t>Buffers / Operaciones Relevantes</t>
  </si>
  <si>
    <t>Se fondean en Marzo o Abril 7.8 mdp</t>
  </si>
  <si>
    <t>Pendiente expediente para incremento</t>
  </si>
  <si>
    <t>Disposición de US$1.5 MDD.  Tema de importación temporal en S&amp;LB</t>
  </si>
  <si>
    <t>Ya en crédito</t>
  </si>
  <si>
    <t>Reales</t>
  </si>
  <si>
    <t>Presupuesto</t>
  </si>
  <si>
    <t>Presupuesto Acum</t>
  </si>
  <si>
    <t>Reales Acum</t>
  </si>
  <si>
    <t>De baja por cliente</t>
  </si>
  <si>
    <t>ST Lease</t>
  </si>
  <si>
    <t>Se mueve a Julio</t>
  </si>
  <si>
    <t>New City Hospital</t>
  </si>
  <si>
    <t>GCP</t>
  </si>
  <si>
    <t>Trabal</t>
  </si>
  <si>
    <t>Pendiente visita a cliente</t>
  </si>
  <si>
    <t>en Proceso de PIC</t>
  </si>
  <si>
    <t>AhKimPech</t>
  </si>
  <si>
    <t>Hoff</t>
  </si>
  <si>
    <t>Cali Baja</t>
  </si>
  <si>
    <t>LDR Solution</t>
  </si>
  <si>
    <t xml:space="preserve">YTD </t>
  </si>
  <si>
    <t xml:space="preserve">Backlog </t>
  </si>
  <si>
    <t xml:space="preserve">Recsolog </t>
  </si>
  <si>
    <t>GRUPO EMPRESARIAL ENLACE EN SISTEMAS DE AUTOTRANSPORTE</t>
  </si>
  <si>
    <t xml:space="preserve">Baco Transporte </t>
  </si>
  <si>
    <t>Maquinaria de Elevación</t>
  </si>
  <si>
    <t>Grupo Etimex</t>
  </si>
  <si>
    <t>Declined</t>
  </si>
  <si>
    <t>Buscando incremento</t>
  </si>
  <si>
    <t>Bentan</t>
  </si>
  <si>
    <t>CPK Printing</t>
  </si>
  <si>
    <t>Transbus el Salto</t>
  </si>
  <si>
    <t>Noviembre</t>
  </si>
  <si>
    <t>En aprobación</t>
  </si>
  <si>
    <t>Revisión por cliente, compitiendo con Afirme</t>
  </si>
  <si>
    <t>Ejecución</t>
  </si>
  <si>
    <t>Pastelerías Eliana</t>
  </si>
  <si>
    <t>Arenas y Bloques del Caribe</t>
  </si>
  <si>
    <t>Dic 24</t>
  </si>
  <si>
    <t>Plexa Poliestirenos Expandidos</t>
  </si>
  <si>
    <t>Pedniente pago de avalúo</t>
  </si>
  <si>
    <t>Productos Deshidratados Arran</t>
  </si>
  <si>
    <t>AML Pendiente</t>
  </si>
  <si>
    <t>Copresa</t>
  </si>
  <si>
    <t>Cita con cliente próxima semana para negociar aval</t>
  </si>
  <si>
    <t>Checando inventario de equipos</t>
  </si>
  <si>
    <t>Oscar Galván</t>
  </si>
  <si>
    <t>Negociando incremento de iniciales</t>
  </si>
  <si>
    <t>Rubio Pharma</t>
  </si>
  <si>
    <t>Factura 2a semana</t>
  </si>
  <si>
    <t>BLC Construciones</t>
  </si>
  <si>
    <t>en Firma</t>
  </si>
  <si>
    <t>Rota Impresos Nueva Galicia</t>
  </si>
  <si>
    <t>Definiendo equipos para solicitar factura</t>
  </si>
  <si>
    <t>Pescados Envasados de Sinaloa</t>
  </si>
  <si>
    <t>10 Enero llega equipo y se solicita factura</t>
  </si>
  <si>
    <t>Embalajes Industriales del Pino</t>
  </si>
  <si>
    <t>Factura pendiente</t>
  </si>
  <si>
    <t>Fernando Silva Monterrosas</t>
  </si>
  <si>
    <t>Pendiente cuestionario FIRA y seguro inbursa para PF</t>
  </si>
  <si>
    <t>Humanscale</t>
  </si>
  <si>
    <t>linea aprobada, esperando el GO del cliente, se tiene cita el jueves 9 para determinar eso, son cajas Operbus</t>
  </si>
  <si>
    <t>FUNDED 100 remanente 4 no ha pagado el cliente el mes de diciembre.. Estamos esperando a q se regularice</t>
  </si>
  <si>
    <t>Ya hay prescreerning con Fede, se ve bien en general, el reto es que no hay Pg´s
la linea total es de 56 mdp, para disponer en tractos en enero 13.5 mdp, tractos international disponibles y el resto es para una bloquera para febrero, marzo
nos pusieron en espera de documentos el viernes, pero hace un rato los subimos y lo estan revisando de nuevo ya riesgos, los documentos que faltaban eran de las empresas mas pequeñas del grupo</t>
  </si>
  <si>
    <t>SYB SMITH</t>
  </si>
  <si>
    <t>Rodillos y Maquinados</t>
  </si>
  <si>
    <t>Su Karga</t>
  </si>
  <si>
    <t>Indamex</t>
  </si>
  <si>
    <t>Zarga Comercial</t>
  </si>
  <si>
    <t>Distribuidores de Cerdos La Libertad</t>
  </si>
  <si>
    <t>SYB Schmitt</t>
  </si>
  <si>
    <t>Elaboradora de Alimentos de Pachuca</t>
  </si>
  <si>
    <t>Esperando contrato Sedena</t>
  </si>
  <si>
    <t>No ha avanzado</t>
  </si>
  <si>
    <t>Partially funded</t>
  </si>
  <si>
    <t>José Salvador Rodriguez</t>
  </si>
  <si>
    <t>Maquinaria y Elevación</t>
  </si>
  <si>
    <t>Usó crédito de proveedor</t>
  </si>
  <si>
    <t>Ejecutando 2 anticipos</t>
  </si>
  <si>
    <t>Fondeada la mitad</t>
  </si>
  <si>
    <t>Grupo Moc</t>
  </si>
  <si>
    <t>IMESA</t>
  </si>
  <si>
    <t>Regiomar</t>
  </si>
  <si>
    <t>Minera Inde</t>
  </si>
  <si>
    <t>Box and Box</t>
  </si>
  <si>
    <t>Gucor</t>
  </si>
  <si>
    <t>Eliana</t>
  </si>
  <si>
    <t>Brasimex</t>
  </si>
  <si>
    <t>LMM Iniciativa Prespuesto</t>
  </si>
  <si>
    <t>Crystal Green</t>
  </si>
  <si>
    <t>En proceso de aprobación</t>
  </si>
  <si>
    <t>HJB</t>
  </si>
  <si>
    <t>Triturados Sol y Luna</t>
  </si>
  <si>
    <t>in credit</t>
  </si>
  <si>
    <t>Tress Inn</t>
  </si>
  <si>
    <t>Itzcoatl</t>
  </si>
  <si>
    <t>En espera de llegada equipo 8 de Agosto</t>
  </si>
  <si>
    <t>Grupo Doble RR</t>
  </si>
  <si>
    <t>Fabagro</t>
  </si>
  <si>
    <t>Armado de expediente, aforo, revisión de saldos insolutos de arrendadoras</t>
  </si>
  <si>
    <t>MIYMSA (Medidores Industriales y Médicos SA</t>
  </si>
  <si>
    <t>En revisión interna experiencia de cobro, 2 reestructuras en tiempos de Covid, Carácter Roberto Marquez, participación Gobierno importante ya no, ahora Angeles y ABC, Ciclotron estaría en Guadalajara y es GE</t>
  </si>
  <si>
    <t>Bernal</t>
  </si>
  <si>
    <t>Revisando apetito</t>
  </si>
  <si>
    <t>Backlog with fundings</t>
  </si>
  <si>
    <t>No avanza</t>
  </si>
  <si>
    <t>HTR</t>
  </si>
  <si>
    <t>Sierra Azul</t>
  </si>
  <si>
    <t>Fletes y Transportes Ruiz</t>
  </si>
  <si>
    <t>Prexon</t>
  </si>
  <si>
    <t>Industrial Minera Sinaloa</t>
  </si>
  <si>
    <t>Backlog with Fundings</t>
  </si>
  <si>
    <t>Combustibles Bentan</t>
  </si>
  <si>
    <t>Lacteos el Eden</t>
  </si>
  <si>
    <t>Kikos</t>
  </si>
  <si>
    <t>Gonorma</t>
  </si>
  <si>
    <t>LM Minería</t>
  </si>
  <si>
    <t>Se da de baja.  Cliente puso en stand by el proyecto</t>
  </si>
  <si>
    <t>Se dio de baja esta operación</t>
  </si>
  <si>
    <t>Approved</t>
  </si>
  <si>
    <t>Recabando Expediente</t>
  </si>
  <si>
    <t>Sitrak CPA</t>
  </si>
  <si>
    <t>Movilidad Integral de Hermosillo</t>
  </si>
  <si>
    <t>Happy Greenhouse</t>
  </si>
  <si>
    <t>Rancho Pecana</t>
  </si>
  <si>
    <t xml:space="preserve">Febrero </t>
  </si>
  <si>
    <t>Explorar originar para vender. Respuestas Cuestionario, esquema de coordinados (diferencias en pagos de impuestos), desglose de pasivos con arrendamiento, archivo de excel por kilómetro inicio 37 y ahora 41 pesos</t>
  </si>
  <si>
    <t>Baja</t>
  </si>
  <si>
    <t>Familia Silveyra tomó la Mina</t>
  </si>
  <si>
    <t>Ind Montilla</t>
  </si>
  <si>
    <t>Beluga Logistics</t>
  </si>
  <si>
    <t>Esperando factura 25</t>
  </si>
  <si>
    <t>Cayco Construcción</t>
  </si>
  <si>
    <t>Manuel Hernández Ochoa</t>
  </si>
  <si>
    <t>Incluyendo aval Copresa</t>
  </si>
  <si>
    <t>Aluminios Desoxidantes de Occidente</t>
  </si>
  <si>
    <t>Dic 25</t>
  </si>
  <si>
    <t>Agrovisión</t>
  </si>
  <si>
    <t>Armando expediente</t>
  </si>
  <si>
    <t>Intermerk</t>
  </si>
  <si>
    <t>Gruas Ocotlenses</t>
  </si>
  <si>
    <t>Se pasa para 2o semestre, puede haber un camion este trimestre</t>
  </si>
  <si>
    <t>Beluga</t>
  </si>
  <si>
    <t>En definición de equipos</t>
  </si>
  <si>
    <t xml:space="preserve">SYB </t>
  </si>
  <si>
    <t>TRS</t>
  </si>
  <si>
    <t>2 oportunidades, 1 de 65 mdp y otra de 35 mdp</t>
  </si>
  <si>
    <t>En revisión de riesgos, hay una quita con SAT y pide reclamación</t>
  </si>
  <si>
    <t>Hasta 100 mdp</t>
  </si>
  <si>
    <t>Negociando propuesta</t>
  </si>
  <si>
    <t>Refi línea CP con BBVA</t>
  </si>
  <si>
    <t>Acuicola Season</t>
  </si>
  <si>
    <t>4 bombas  para suministro de agua a los criadores de Camarón</t>
  </si>
  <si>
    <t>No aceptaron CG pendiente que nos definan put para recompra de TVs y explorar incremento de iniciales de 10% a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</si>
</sst>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_(&quot;$&quot;* #,##0.00_);_(&quot;$&quot;* \(#,##0.00\);_(&quot;$&quot;* &quot;-&quot;??_);_(@_)"/>
    <numFmt numFmtId="168" formatCode="_-&quot;$&quot;* #,##0.0_-;\-&quot;$&quot;* #,##0.0_-;_-&quot;$&quot;* &quot;-&quot;??_-;_-@_-"/>
    <numFmt numFmtId="169" formatCode="_(&quot;$&quot;* #,##0.0_);_(&quot;$&quot;* \(#,##0.0\);_(&quot;$&quot;* &quot;-&quot;??_);_(@_)"/>
    <numFmt numFmtId="170" formatCode="_-* #,##0.00\ _€_-;\-* #,##0.00\ _€_-;_-* &quot;-&quot;??\ _€_-;_-@_-"/>
    <numFmt numFmtId="171" formatCode="_-* #,##0.0_-;\-* #,##0.0_-;_-* &quot;-&quot;??_-;_-@_-"/>
    <numFmt numFmtId="172" formatCode="_-* #,##0_-;\-* #,##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4" tint="-0.499984740745262"/>
      <name val="Calibri"/>
      <family val="2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16" fontId="3" fillId="0" borderId="7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right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6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3" xfId="0" applyBorder="1" applyAlignment="1">
      <alignment vertical="center"/>
    </xf>
    <xf numFmtId="43" fontId="0" fillId="0" borderId="2" xfId="1" applyFont="1" applyBorder="1"/>
    <xf numFmtId="43" fontId="0" fillId="0" borderId="0" xfId="1" applyFont="1" applyAlignment="1">
      <alignment horizontal="right"/>
    </xf>
    <xf numFmtId="43" fontId="0" fillId="0" borderId="0" xfId="1" applyFont="1" applyAlignment="1">
      <alignment horizontal="center" vertical="center"/>
    </xf>
    <xf numFmtId="0" fontId="0" fillId="0" borderId="8" xfId="0" applyBorder="1" applyAlignment="1">
      <alignment vertical="center"/>
    </xf>
    <xf numFmtId="165" fontId="0" fillId="0" borderId="6" xfId="1" applyNumberFormat="1" applyFont="1" applyBorder="1"/>
    <xf numFmtId="1" fontId="0" fillId="0" borderId="6" xfId="0" applyNumberFormat="1" applyBorder="1"/>
    <xf numFmtId="43" fontId="1" fillId="0" borderId="2" xfId="1" applyFont="1" applyBorder="1"/>
    <xf numFmtId="166" fontId="0" fillId="0" borderId="0" xfId="0" applyNumberFormat="1" applyAlignment="1">
      <alignment horizontal="center" vertical="center"/>
    </xf>
    <xf numFmtId="43" fontId="0" fillId="0" borderId="0" xfId="1" applyFont="1"/>
    <xf numFmtId="164" fontId="8" fillId="0" borderId="2" xfId="0" applyNumberFormat="1" applyFont="1" applyBorder="1" applyAlignment="1">
      <alignment vertical="center"/>
    </xf>
    <xf numFmtId="1" fontId="8" fillId="0" borderId="2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0" fillId="0" borderId="9" xfId="0" applyBorder="1" applyAlignment="1">
      <alignment vertical="center"/>
    </xf>
    <xf numFmtId="167" fontId="0" fillId="0" borderId="5" xfId="3" applyFont="1" applyBorder="1" applyAlignment="1">
      <alignment vertical="center"/>
    </xf>
    <xf numFmtId="43" fontId="0" fillId="0" borderId="2" xfId="1" applyFont="1" applyFill="1" applyBorder="1"/>
    <xf numFmtId="167" fontId="0" fillId="0" borderId="0" xfId="3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1" fontId="6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0" fontId="8" fillId="3" borderId="2" xfId="0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44" fontId="0" fillId="3" borderId="2" xfId="4" applyFont="1" applyFill="1" applyBorder="1" applyAlignment="1">
      <alignment horizontal="center" vertical="center"/>
    </xf>
    <xf numFmtId="44" fontId="0" fillId="3" borderId="10" xfId="3" applyNumberFormat="1" applyFont="1" applyFill="1" applyBorder="1" applyAlignment="1">
      <alignment horizontal="center" vertical="center"/>
    </xf>
    <xf numFmtId="168" fontId="10" fillId="4" borderId="13" xfId="4" applyNumberFormat="1" applyFont="1" applyFill="1" applyBorder="1" applyAlignment="1">
      <alignment horizontal="center" vertical="center"/>
    </xf>
    <xf numFmtId="168" fontId="10" fillId="4" borderId="0" xfId="4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right" vertical="center" wrapText="1"/>
    </xf>
    <xf numFmtId="10" fontId="12" fillId="0" borderId="0" xfId="2" applyNumberFormat="1" applyFont="1" applyFill="1" applyBorder="1" applyAlignment="1">
      <alignment horizontal="center" vertical="center"/>
    </xf>
    <xf numFmtId="10" fontId="12" fillId="0" borderId="15" xfId="2" applyNumberFormat="1" applyFont="1" applyFill="1" applyBorder="1" applyAlignment="1">
      <alignment horizontal="center" vertical="center"/>
    </xf>
    <xf numFmtId="44" fontId="0" fillId="3" borderId="0" xfId="4" applyFont="1" applyFill="1" applyBorder="1" applyAlignment="1">
      <alignment horizontal="center" vertical="center"/>
    </xf>
    <xf numFmtId="168" fontId="0" fillId="3" borderId="0" xfId="4" applyNumberFormat="1" applyFont="1" applyFill="1" applyBorder="1" applyAlignment="1">
      <alignment horizontal="center" vertical="center"/>
    </xf>
    <xf numFmtId="168" fontId="10" fillId="4" borderId="16" xfId="4" applyNumberFormat="1" applyFont="1" applyFill="1" applyBorder="1" applyAlignment="1">
      <alignment horizontal="center" vertical="center"/>
    </xf>
    <xf numFmtId="0" fontId="0" fillId="3" borderId="12" xfId="0" applyFill="1" applyBorder="1" applyAlignment="1">
      <alignment vertical="center"/>
    </xf>
    <xf numFmtId="0" fontId="2" fillId="2" borderId="17" xfId="0" applyFont="1" applyFill="1" applyBorder="1" applyAlignment="1">
      <alignment horizontal="right" vertical="center" wrapText="1"/>
    </xf>
    <xf numFmtId="10" fontId="12" fillId="0" borderId="6" xfId="2" applyNumberFormat="1" applyFont="1" applyFill="1" applyBorder="1" applyAlignment="1">
      <alignment horizontal="center" vertical="center"/>
    </xf>
    <xf numFmtId="10" fontId="12" fillId="0" borderId="8" xfId="2" applyNumberFormat="1" applyFont="1" applyFill="1" applyBorder="1" applyAlignment="1">
      <alignment horizontal="center" vertical="center"/>
    </xf>
    <xf numFmtId="44" fontId="0" fillId="3" borderId="0" xfId="4" applyFont="1" applyFill="1" applyBorder="1" applyAlignment="1">
      <alignment horizontal="right" vertical="center"/>
    </xf>
    <xf numFmtId="9" fontId="0" fillId="3" borderId="15" xfId="2" applyFont="1" applyFill="1" applyBorder="1" applyAlignment="1">
      <alignment horizontal="center" vertical="center"/>
    </xf>
    <xf numFmtId="9" fontId="10" fillId="4" borderId="16" xfId="2" applyFont="1" applyFill="1" applyBorder="1" applyAlignment="1">
      <alignment horizontal="center" vertical="center"/>
    </xf>
    <xf numFmtId="9" fontId="10" fillId="4" borderId="0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43" fontId="14" fillId="0" borderId="0" xfId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43" fontId="14" fillId="0" borderId="0" xfId="1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169" fontId="0" fillId="0" borderId="0" xfId="3" applyNumberFormat="1" applyFont="1" applyFill="1" applyBorder="1" applyAlignment="1">
      <alignment horizontal="center" vertical="center"/>
    </xf>
    <xf numFmtId="168" fontId="4" fillId="0" borderId="0" xfId="4" applyNumberFormat="1" applyFont="1" applyFill="1" applyBorder="1" applyAlignment="1">
      <alignment vertical="center"/>
    </xf>
    <xf numFmtId="169" fontId="4" fillId="0" borderId="0" xfId="3" applyNumberFormat="1" applyFont="1" applyFill="1" applyBorder="1" applyAlignment="1">
      <alignment horizontal="center" vertical="center"/>
    </xf>
    <xf numFmtId="9" fontId="4" fillId="0" borderId="0" xfId="2" applyFont="1" applyAlignment="1">
      <alignment horizontal="center" vertical="center"/>
    </xf>
    <xf numFmtId="0" fontId="0" fillId="5" borderId="2" xfId="0" applyFill="1" applyBorder="1" applyAlignment="1">
      <alignment vertical="center"/>
    </xf>
    <xf numFmtId="44" fontId="0" fillId="5" borderId="2" xfId="4" applyFont="1" applyFill="1" applyBorder="1" applyAlignment="1">
      <alignment vertical="center"/>
    </xf>
    <xf numFmtId="44" fontId="0" fillId="5" borderId="10" xfId="3" applyNumberFormat="1" applyFont="1" applyFill="1" applyBorder="1" applyAlignment="1">
      <alignment horizontal="center" vertical="center"/>
    </xf>
    <xf numFmtId="168" fontId="10" fillId="6" borderId="13" xfId="4" applyNumberFormat="1" applyFont="1" applyFill="1" applyBorder="1" applyAlignment="1">
      <alignment horizontal="center" vertical="center"/>
    </xf>
    <xf numFmtId="168" fontId="10" fillId="6" borderId="0" xfId="4" applyNumberFormat="1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44" fontId="0" fillId="5" borderId="0" xfId="4" applyFont="1" applyFill="1" applyBorder="1" applyAlignment="1">
      <alignment vertical="center"/>
    </xf>
    <xf numFmtId="168" fontId="10" fillId="6" borderId="16" xfId="4" applyNumberFormat="1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44" fontId="0" fillId="0" borderId="0" xfId="0" applyNumberFormat="1" applyAlignment="1">
      <alignment vertical="center"/>
    </xf>
    <xf numFmtId="44" fontId="4" fillId="0" borderId="0" xfId="0" applyNumberFormat="1" applyFont="1" applyAlignment="1">
      <alignment vertical="center"/>
    </xf>
    <xf numFmtId="9" fontId="10" fillId="7" borderId="16" xfId="2" applyFont="1" applyFill="1" applyBorder="1" applyAlignment="1">
      <alignment horizontal="center" vertical="center"/>
    </xf>
    <xf numFmtId="9" fontId="10" fillId="7" borderId="0" xfId="2" applyFont="1" applyFill="1" applyBorder="1" applyAlignment="1">
      <alignment horizontal="center" vertical="center"/>
    </xf>
    <xf numFmtId="166" fontId="16" fillId="0" borderId="0" xfId="0" applyNumberFormat="1" applyFont="1" applyAlignment="1">
      <alignment vertical="center"/>
    </xf>
    <xf numFmtId="166" fontId="16" fillId="0" borderId="0" xfId="0" applyNumberFormat="1" applyFont="1" applyAlignment="1">
      <alignment horizontal="right" vertical="center"/>
    </xf>
    <xf numFmtId="166" fontId="17" fillId="0" borderId="0" xfId="0" applyNumberFormat="1" applyFont="1" applyAlignment="1">
      <alignment vertical="center"/>
    </xf>
    <xf numFmtId="166" fontId="0" fillId="0" borderId="0" xfId="0" applyNumberFormat="1" applyAlignment="1">
      <alignment vertical="center"/>
    </xf>
    <xf numFmtId="9" fontId="0" fillId="0" borderId="0" xfId="2" applyFont="1" applyAlignment="1">
      <alignment horizontal="center" vertical="center"/>
    </xf>
    <xf numFmtId="9" fontId="10" fillId="6" borderId="18" xfId="2" applyFont="1" applyFill="1" applyBorder="1" applyAlignment="1">
      <alignment horizontal="center" vertical="center"/>
    </xf>
    <xf numFmtId="9" fontId="10" fillId="6" borderId="0" xfId="2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165" fontId="0" fillId="0" borderId="0" xfId="1" applyNumberFormat="1" applyFont="1" applyFill="1" applyBorder="1" applyAlignment="1">
      <alignment horizontal="center" vertical="center"/>
    </xf>
    <xf numFmtId="165" fontId="0" fillId="0" borderId="15" xfId="1" applyNumberFormat="1" applyFont="1" applyBorder="1" applyAlignment="1">
      <alignment horizontal="right" vertical="center"/>
    </xf>
    <xf numFmtId="0" fontId="0" fillId="0" borderId="7" xfId="0" applyBorder="1" applyAlignment="1">
      <alignment vertical="center"/>
    </xf>
    <xf numFmtId="165" fontId="0" fillId="0" borderId="6" xfId="1" applyNumberFormat="1" applyFont="1" applyFill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7" fillId="0" borderId="0" xfId="0" applyFont="1" applyAlignment="1">
      <alignment vertical="center"/>
    </xf>
    <xf numFmtId="16" fontId="0" fillId="0" borderId="0" xfId="0" applyNumberFormat="1" applyAlignment="1">
      <alignment vertical="center"/>
    </xf>
    <xf numFmtId="0" fontId="0" fillId="0" borderId="15" xfId="0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167" fontId="1" fillId="0" borderId="6" xfId="3" applyFont="1" applyFill="1" applyBorder="1" applyAlignment="1">
      <alignment horizontal="center" vertical="center"/>
    </xf>
    <xf numFmtId="167" fontId="1" fillId="0" borderId="8" xfId="3" applyFont="1" applyFill="1" applyBorder="1" applyAlignment="1">
      <alignment horizontal="center" vertical="center"/>
    </xf>
    <xf numFmtId="167" fontId="0" fillId="0" borderId="6" xfId="3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16" fontId="4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2" fontId="14" fillId="8" borderId="0" xfId="0" applyNumberFormat="1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11" borderId="0" xfId="0" applyFont="1" applyFill="1" applyAlignment="1">
      <alignment vertical="center"/>
    </xf>
    <xf numFmtId="0" fontId="0" fillId="11" borderId="0" xfId="0" applyFill="1" applyAlignment="1">
      <alignment horizontal="center" vertical="center"/>
    </xf>
    <xf numFmtId="2" fontId="14" fillId="11" borderId="0" xfId="0" applyNumberFormat="1" applyFont="1" applyFill="1" applyAlignment="1">
      <alignment horizontal="center" vertical="center"/>
    </xf>
    <xf numFmtId="0" fontId="14" fillId="11" borderId="0" xfId="0" applyFont="1" applyFill="1" applyAlignment="1">
      <alignment horizontal="right" vertical="center"/>
    </xf>
    <xf numFmtId="0" fontId="20" fillId="11" borderId="0" xfId="0" applyFont="1" applyFill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2" fontId="14" fillId="12" borderId="0" xfId="0" applyNumberFormat="1" applyFont="1" applyFill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43" fontId="0" fillId="3" borderId="2" xfId="1" applyFont="1" applyFill="1" applyBorder="1"/>
    <xf numFmtId="165" fontId="0" fillId="3" borderId="6" xfId="1" applyNumberFormat="1" applyFont="1" applyFill="1" applyBorder="1"/>
    <xf numFmtId="164" fontId="8" fillId="3" borderId="2" xfId="0" applyNumberFormat="1" applyFont="1" applyFill="1" applyBorder="1" applyAlignment="1">
      <alignment vertical="center"/>
    </xf>
    <xf numFmtId="1" fontId="8" fillId="3" borderId="2" xfId="0" applyNumberFormat="1" applyFont="1" applyFill="1" applyBorder="1" applyAlignment="1">
      <alignment vertical="center"/>
    </xf>
    <xf numFmtId="167" fontId="0" fillId="3" borderId="5" xfId="3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170" fontId="22" fillId="0" borderId="0" xfId="0" applyNumberFormat="1" applyFont="1" applyAlignment="1">
      <alignment horizontal="center" vertical="center"/>
    </xf>
    <xf numFmtId="44" fontId="3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0" fontId="0" fillId="8" borderId="0" xfId="0" applyFill="1" applyAlignment="1">
      <alignment horizontal="left" vertical="center" wrapText="1"/>
    </xf>
    <xf numFmtId="49" fontId="14" fillId="0" borderId="0" xfId="0" applyNumberFormat="1" applyFont="1" applyAlignment="1">
      <alignment horizontal="right" vertical="center"/>
    </xf>
    <xf numFmtId="167" fontId="0" fillId="0" borderId="5" xfId="3" applyFont="1" applyFill="1" applyBorder="1" applyAlignment="1">
      <alignment vertical="center"/>
    </xf>
    <xf numFmtId="167" fontId="0" fillId="0" borderId="0" xfId="3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 wrapText="1"/>
    </xf>
    <xf numFmtId="171" fontId="10" fillId="6" borderId="0" xfId="1" applyNumberFormat="1" applyFont="1" applyFill="1" applyBorder="1" applyAlignment="1">
      <alignment horizontal="center" vertical="center"/>
    </xf>
    <xf numFmtId="2" fontId="16" fillId="0" borderId="0" xfId="0" applyNumberFormat="1" applyFont="1" applyAlignment="1">
      <alignment vertical="center"/>
    </xf>
    <xf numFmtId="167" fontId="0" fillId="0" borderId="0" xfId="3" applyFont="1" applyFill="1" applyBorder="1" applyAlignment="1">
      <alignment horizontal="center" vertical="center"/>
    </xf>
    <xf numFmtId="17" fontId="3" fillId="0" borderId="5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/>
    <xf numFmtId="0" fontId="0" fillId="2" borderId="0" xfId="0" applyFill="1"/>
    <xf numFmtId="172" fontId="14" fillId="0" borderId="0" xfId="1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0" fillId="13" borderId="0" xfId="0" applyFill="1" applyAlignment="1">
      <alignment horizontal="left" vertical="center" wrapText="1"/>
    </xf>
    <xf numFmtId="0" fontId="0" fillId="14" borderId="0" xfId="0" applyFill="1" applyAlignment="1">
      <alignment horizontal="left" vertical="center" wrapText="1"/>
    </xf>
    <xf numFmtId="171" fontId="0" fillId="0" borderId="0" xfId="1" applyNumberFormat="1" applyFont="1"/>
    <xf numFmtId="43" fontId="2" fillId="2" borderId="0" xfId="0" applyNumberFormat="1" applyFont="1" applyFill="1"/>
    <xf numFmtId="0" fontId="0" fillId="15" borderId="0" xfId="0" applyFill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0" fillId="8" borderId="0" xfId="0" applyFill="1"/>
    <xf numFmtId="0" fontId="0" fillId="13" borderId="0" xfId="0" applyFill="1"/>
    <xf numFmtId="0" fontId="25" fillId="0" borderId="19" xfId="0" applyFont="1" applyBorder="1" applyAlignment="1">
      <alignment vertical="center"/>
    </xf>
    <xf numFmtId="171" fontId="0" fillId="0" borderId="0" xfId="1" applyNumberFormat="1" applyFont="1" applyFill="1"/>
    <xf numFmtId="0" fontId="3" fillId="0" borderId="0" xfId="0" applyFont="1"/>
    <xf numFmtId="0" fontId="0" fillId="15" borderId="0" xfId="0" applyFill="1"/>
    <xf numFmtId="165" fontId="8" fillId="3" borderId="2" xfId="0" applyNumberFormat="1" applyFont="1" applyFill="1" applyBorder="1" applyAlignment="1">
      <alignment vertical="center"/>
    </xf>
    <xf numFmtId="9" fontId="2" fillId="0" borderId="0" xfId="2" applyFont="1" applyFill="1" applyAlignment="1">
      <alignment vertical="center"/>
    </xf>
    <xf numFmtId="9" fontId="4" fillId="0" borderId="0" xfId="2" applyFont="1" applyFill="1" applyAlignment="1">
      <alignment horizontal="center" vertical="center"/>
    </xf>
    <xf numFmtId="16" fontId="3" fillId="0" borderId="7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44" fontId="26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0" fillId="14" borderId="0" xfId="0" applyFill="1"/>
    <xf numFmtId="9" fontId="0" fillId="3" borderId="0" xfId="2" applyFont="1" applyFill="1" applyBorder="1" applyAlignment="1">
      <alignment horizontal="center" vertical="center"/>
    </xf>
    <xf numFmtId="10" fontId="21" fillId="0" borderId="0" xfId="2" applyNumberFormat="1" applyFont="1" applyFill="1" applyBorder="1" applyAlignment="1">
      <alignment vertical="center"/>
    </xf>
    <xf numFmtId="0" fontId="0" fillId="9" borderId="0" xfId="0" applyFill="1"/>
    <xf numFmtId="0" fontId="0" fillId="9" borderId="0" xfId="0" applyFill="1" applyAlignment="1">
      <alignment vertical="center"/>
    </xf>
    <xf numFmtId="164" fontId="8" fillId="9" borderId="0" xfId="0" applyNumberFormat="1" applyFont="1" applyFill="1" applyAlignment="1">
      <alignment vertical="center"/>
    </xf>
    <xf numFmtId="1" fontId="3" fillId="9" borderId="0" xfId="0" applyNumberFormat="1" applyFont="1" applyFill="1" applyAlignment="1">
      <alignment vertical="center"/>
    </xf>
    <xf numFmtId="43" fontId="0" fillId="9" borderId="0" xfId="1" applyFont="1" applyFill="1" applyAlignment="1">
      <alignment vertical="center"/>
    </xf>
    <xf numFmtId="0" fontId="3" fillId="9" borderId="0" xfId="0" applyFont="1" applyFill="1"/>
    <xf numFmtId="1" fontId="3" fillId="0" borderId="0" xfId="0" applyNumberFormat="1" applyFont="1" applyAlignment="1">
      <alignment vertical="center"/>
    </xf>
    <xf numFmtId="43" fontId="0" fillId="0" borderId="0" xfId="1" applyFont="1" applyFill="1" applyAlignment="1">
      <alignment vertical="center"/>
    </xf>
    <xf numFmtId="0" fontId="0" fillId="16" borderId="0" xfId="0" applyFill="1"/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2" borderId="0" xfId="0" applyFont="1" applyFill="1" applyAlignment="1" applyProtection="1">
      <alignment horizontal="left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6" fontId="3" fillId="0" borderId="7" xfId="0" applyNumberFormat="1" applyFont="1" applyBorder="1" applyAlignment="1">
      <alignment horizontal="center" vertical="center"/>
    </xf>
    <xf numFmtId="16" fontId="3" fillId="0" borderId="8" xfId="0" applyNumberFormat="1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9" fillId="11" borderId="0" xfId="0" applyFont="1" applyFill="1" applyAlignment="1">
      <alignment horizontal="center" vertical="center" wrapText="1"/>
    </xf>
    <xf numFmtId="49" fontId="23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3" fillId="0" borderId="5" xfId="0" applyNumberFormat="1" applyFont="1" applyBorder="1" applyAlignment="1">
      <alignment horizontal="center" vertical="center" wrapText="1"/>
    </xf>
    <xf numFmtId="16" fontId="3" fillId="0" borderId="6" xfId="0" applyNumberFormat="1" applyFont="1" applyBorder="1" applyAlignment="1">
      <alignment horizontal="center" vertical="center"/>
    </xf>
  </cellXfs>
  <cellStyles count="5">
    <cellStyle name="Currency 2" xfId="3" xr:uid="{946281F7-AD52-4B2F-89E1-35A60CEE7CE2}"/>
    <cellStyle name="Currency 2 2" xfId="4" xr:uid="{F4E53405-625F-4F06-A8CB-E98334C69D27}"/>
    <cellStyle name="Millares" xfId="1" builtinId="3"/>
    <cellStyle name="Normal" xfId="0" builtinId="0"/>
    <cellStyle name="Porcentaje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taff%20Semanal%202023-08-23%20V2.xlsx" TargetMode="External"/><Relationship Id="rId2" Type="http://schemas.openxmlformats.org/officeDocument/2006/relationships/externalLinkPath" Target="https://engeniumcapital-my.sharepoint.com/personal/roberto_zacatenco_engen_com_mx/Documents/Staff%20Semanal%202023-08-23%20V2.xlsx" TargetMode="External"/><Relationship Id="rId1" Type="http://schemas.openxmlformats.org/officeDocument/2006/relationships/externalLinkPath" Target="/personal/roberto_zacatenco_engen_com_mx/Documents/Staff%20Semanal%202023-08-23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re"/>
      <sheetName val="LMM Formato"/>
      <sheetName val="Pesos"/>
      <sheetName val="LMM"/>
      <sheetName val="Riesgo"/>
      <sheetName val="AMgmt"/>
      <sheetName val="TI&amp;Calidad"/>
      <sheetName val="Legal"/>
      <sheetName val="HR"/>
      <sheetName val="ESG"/>
      <sheetName val="Marketing"/>
      <sheetName val="LeaseTech"/>
    </sheetNames>
    <sheetDataSet>
      <sheetData sheetId="0"/>
      <sheetData sheetId="1">
        <row r="23">
          <cell r="C23">
            <v>8.26</v>
          </cell>
        </row>
        <row r="25">
          <cell r="C25">
            <v>10.19</v>
          </cell>
        </row>
        <row r="27">
          <cell r="C27">
            <v>0.3</v>
          </cell>
          <cell r="D27">
            <v>0.03</v>
          </cell>
          <cell r="E27">
            <v>0</v>
          </cell>
          <cell r="F27">
            <v>0.21</v>
          </cell>
          <cell r="G27">
            <v>0.16</v>
          </cell>
          <cell r="H27">
            <v>0.15</v>
          </cell>
          <cell r="I27">
            <v>0.17</v>
          </cell>
          <cell r="J27">
            <v>0.05</v>
          </cell>
          <cell r="K27">
            <v>0</v>
          </cell>
        </row>
        <row r="28">
          <cell r="C28">
            <v>0.74</v>
          </cell>
          <cell r="D28">
            <v>0.1602053627754074</v>
          </cell>
          <cell r="E28">
            <v>0.26700893795901171</v>
          </cell>
          <cell r="F28">
            <v>0.49929751330726369</v>
          </cell>
          <cell r="G28">
            <v>0.35148062854208612</v>
          </cell>
          <cell r="H28">
            <v>0.41720146556095539</v>
          </cell>
          <cell r="I28">
            <v>0.7798060918552755</v>
          </cell>
          <cell r="J28">
            <v>0.36955531002538056</v>
          </cell>
          <cell r="K28">
            <v>0.4850413444083117</v>
          </cell>
          <cell r="L28">
            <v>0.52834860730190936</v>
          </cell>
          <cell r="M28">
            <v>0.34357095228922085</v>
          </cell>
          <cell r="N28">
            <v>0.56553630825288703</v>
          </cell>
          <cell r="O28">
            <v>0.73294747772229019</v>
          </cell>
        </row>
        <row r="30">
          <cell r="C30"/>
        </row>
      </sheetData>
      <sheetData sheetId="2">
        <row r="21">
          <cell r="C21">
            <v>18.779299999999999</v>
          </cell>
          <cell r="D21">
            <v>18.779299999999999</v>
          </cell>
          <cell r="E21">
            <v>18.407699999999998</v>
          </cell>
          <cell r="F21">
            <v>18.09</v>
          </cell>
          <cell r="G21">
            <v>18.07</v>
          </cell>
          <cell r="H21">
            <v>17.653199999999998</v>
          </cell>
          <cell r="I21">
            <v>17.1187</v>
          </cell>
          <cell r="J21">
            <v>16.73</v>
          </cell>
          <cell r="K21">
            <v>17.02</v>
          </cell>
          <cell r="L21">
            <v>17.02</v>
          </cell>
          <cell r="M21">
            <v>17.02</v>
          </cell>
          <cell r="N21">
            <v>17.02</v>
          </cell>
          <cell r="O21">
            <v>17.02</v>
          </cell>
        </row>
      </sheetData>
      <sheetData sheetId="3">
        <row r="64">
          <cell r="O64" t="str">
            <v>Budget</v>
          </cell>
          <cell r="U64">
            <v>17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6F24-D712-426F-AB35-37BB0EEE0809}">
  <dimension ref="A1:X108"/>
  <sheetViews>
    <sheetView workbookViewId="0">
      <selection activeCell="H3" sqref="H3"/>
    </sheetView>
  </sheetViews>
  <sheetFormatPr baseColWidth="10" defaultRowHeight="14.5" x14ac:dyDescent="0.35"/>
  <cols>
    <col min="1" max="1" width="21.26953125" customWidth="1"/>
    <col min="2" max="2" width="22.26953125" customWidth="1"/>
    <col min="3" max="10" width="9.1796875" customWidth="1"/>
    <col min="16" max="21" width="10.26953125" customWidth="1"/>
  </cols>
  <sheetData>
    <row r="1" spans="1:24" ht="23.5" x14ac:dyDescent="0.55000000000000004">
      <c r="A1" s="209" t="s">
        <v>0</v>
      </c>
      <c r="B1" s="209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1"/>
      <c r="U1" s="4"/>
      <c r="V1" s="4"/>
      <c r="W1" s="4"/>
      <c r="X1" s="4"/>
    </row>
    <row r="2" spans="1:24" x14ac:dyDescent="0.3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210" t="s">
        <v>1</v>
      </c>
      <c r="Q2" s="211"/>
      <c r="R2" s="211"/>
      <c r="S2" s="211"/>
      <c r="T2" s="211"/>
      <c r="U2" s="212"/>
      <c r="V2" s="5"/>
      <c r="W2" s="4"/>
      <c r="X2" s="4"/>
    </row>
    <row r="3" spans="1:24" ht="18.5" x14ac:dyDescent="0.35">
      <c r="A3" s="213" t="s">
        <v>2</v>
      </c>
      <c r="B3" s="214"/>
      <c r="C3" s="6" t="s">
        <v>3</v>
      </c>
      <c r="D3" s="7" t="s">
        <v>4</v>
      </c>
      <c r="E3" s="8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0" t="s">
        <v>12</v>
      </c>
      <c r="M3" s="10" t="s">
        <v>13</v>
      </c>
      <c r="N3" s="10" t="s">
        <v>14</v>
      </c>
      <c r="O3" s="11" t="s">
        <v>15</v>
      </c>
      <c r="P3" s="7">
        <v>45139</v>
      </c>
      <c r="Q3" s="215">
        <f>+P3+7</f>
        <v>45146</v>
      </c>
      <c r="R3" s="216"/>
      <c r="S3" s="7">
        <f>+Q3+7</f>
        <v>45153</v>
      </c>
      <c r="T3" s="7" t="s">
        <v>16</v>
      </c>
      <c r="U3" s="5" t="s">
        <v>17</v>
      </c>
      <c r="V3" s="4"/>
      <c r="W3" s="4"/>
      <c r="X3" s="4"/>
    </row>
    <row r="4" spans="1:24" ht="18.5" x14ac:dyDescent="0.35">
      <c r="A4" s="12"/>
      <c r="B4" s="13"/>
      <c r="C4" s="14"/>
      <c r="D4" s="15"/>
      <c r="E4" s="16"/>
      <c r="F4" s="10"/>
      <c r="G4" s="10"/>
      <c r="H4" s="10"/>
      <c r="I4" s="10"/>
      <c r="J4" s="10"/>
      <c r="K4" s="10"/>
      <c r="L4" s="10"/>
      <c r="M4" s="10"/>
      <c r="N4" s="10"/>
      <c r="O4" s="15"/>
      <c r="P4" s="15"/>
      <c r="Q4" s="15" t="s">
        <v>18</v>
      </c>
      <c r="R4" s="15" t="s">
        <v>16</v>
      </c>
      <c r="S4" s="15" t="s">
        <v>18</v>
      </c>
      <c r="T4" s="15" t="s">
        <v>16</v>
      </c>
      <c r="U4" s="5"/>
      <c r="V4" s="4"/>
      <c r="W4" s="4"/>
      <c r="X4" s="4"/>
    </row>
    <row r="5" spans="1:24" x14ac:dyDescent="0.35">
      <c r="A5" s="207" t="s">
        <v>19</v>
      </c>
      <c r="B5" s="17" t="s">
        <v>20</v>
      </c>
      <c r="C5" s="18">
        <v>78.468000000000004</v>
      </c>
      <c r="D5" s="18">
        <v>53.113</v>
      </c>
      <c r="E5" s="18">
        <v>58.662999999999997</v>
      </c>
      <c r="F5" s="18">
        <v>54.131</v>
      </c>
      <c r="G5" s="18">
        <v>53.576999999999998</v>
      </c>
      <c r="H5" s="18">
        <v>58.014000000000003</v>
      </c>
      <c r="I5" s="18">
        <v>64.600999999999999</v>
      </c>
      <c r="J5" s="18">
        <v>51.87</v>
      </c>
      <c r="K5" s="19"/>
      <c r="L5" s="18"/>
      <c r="M5" s="18"/>
      <c r="N5" s="18"/>
      <c r="O5" s="18"/>
      <c r="P5" s="18">
        <v>51.87</v>
      </c>
      <c r="Q5" s="18">
        <v>59.665999999999997</v>
      </c>
      <c r="R5" s="18">
        <f>+Q5*16.73</f>
        <v>998.21217999999999</v>
      </c>
      <c r="S5" s="18">
        <v>60.281999999999996</v>
      </c>
      <c r="T5" s="18">
        <f>+S5*16.73</f>
        <v>1008.5178599999999</v>
      </c>
      <c r="U5" s="18">
        <v>18.606999999999999</v>
      </c>
      <c r="V5" s="20"/>
      <c r="W5" s="4"/>
      <c r="X5" s="4"/>
    </row>
    <row r="6" spans="1:24" x14ac:dyDescent="0.35">
      <c r="A6" s="208"/>
      <c r="B6" s="21" t="s">
        <v>21</v>
      </c>
      <c r="C6" s="22">
        <v>231</v>
      </c>
      <c r="D6" s="22">
        <v>149</v>
      </c>
      <c r="E6" s="22">
        <v>148</v>
      </c>
      <c r="F6" s="22">
        <v>154</v>
      </c>
      <c r="G6" s="22">
        <v>147</v>
      </c>
      <c r="H6" s="22">
        <v>155</v>
      </c>
      <c r="I6" s="22">
        <v>160</v>
      </c>
      <c r="J6" s="22">
        <v>131</v>
      </c>
      <c r="K6" s="22"/>
      <c r="L6" s="22"/>
      <c r="M6" s="23"/>
      <c r="N6" s="22"/>
      <c r="O6" s="22"/>
      <c r="P6" s="22">
        <v>131</v>
      </c>
      <c r="Q6" s="22">
        <v>141</v>
      </c>
      <c r="R6" s="22"/>
      <c r="S6" s="22">
        <v>139</v>
      </c>
      <c r="T6" s="22"/>
      <c r="U6" s="22">
        <v>46</v>
      </c>
      <c r="V6" s="4"/>
      <c r="W6" s="4"/>
      <c r="X6" s="4"/>
    </row>
    <row r="7" spans="1:24" x14ac:dyDescent="0.35">
      <c r="A7" s="207" t="s">
        <v>22</v>
      </c>
      <c r="B7" s="17" t="s">
        <v>20</v>
      </c>
      <c r="C7" s="18">
        <v>28.087</v>
      </c>
      <c r="D7" s="18">
        <v>28.143000000000001</v>
      </c>
      <c r="E7" s="18">
        <v>29.356000000000002</v>
      </c>
      <c r="F7" s="18">
        <v>39.997999999999998</v>
      </c>
      <c r="G7" s="18">
        <v>33.015000000000001</v>
      </c>
      <c r="H7" s="18">
        <v>31.588000000000001</v>
      </c>
      <c r="I7" s="18">
        <v>31.622</v>
      </c>
      <c r="J7" s="18">
        <v>41.536000000000001</v>
      </c>
      <c r="K7" s="19"/>
      <c r="L7" s="18"/>
      <c r="M7" s="18"/>
      <c r="N7" s="18"/>
      <c r="O7" s="18"/>
      <c r="P7" s="18">
        <v>41.536000000000001</v>
      </c>
      <c r="Q7" s="18">
        <v>49.838999999999999</v>
      </c>
      <c r="R7" s="18">
        <f>+Q7*16.73</f>
        <v>833.80646999999999</v>
      </c>
      <c r="S7" s="18">
        <v>48.643999999999998</v>
      </c>
      <c r="T7" s="18">
        <f>+S7*16.73</f>
        <v>813.81412</v>
      </c>
      <c r="U7" s="18">
        <v>10.69</v>
      </c>
      <c r="V7" s="20"/>
      <c r="W7" s="4"/>
      <c r="X7" s="4"/>
    </row>
    <row r="8" spans="1:24" x14ac:dyDescent="0.35">
      <c r="A8" s="208"/>
      <c r="B8" s="21" t="s">
        <v>21</v>
      </c>
      <c r="C8" s="22">
        <v>74</v>
      </c>
      <c r="D8" s="22">
        <v>73</v>
      </c>
      <c r="E8" s="22">
        <v>74</v>
      </c>
      <c r="F8" s="22">
        <v>90</v>
      </c>
      <c r="G8" s="22">
        <v>79</v>
      </c>
      <c r="H8" s="22">
        <v>80</v>
      </c>
      <c r="I8" s="22">
        <v>87</v>
      </c>
      <c r="J8" s="22">
        <v>110</v>
      </c>
      <c r="K8" s="22"/>
      <c r="L8" s="22"/>
      <c r="M8" s="23"/>
      <c r="N8" s="22"/>
      <c r="O8" s="22"/>
      <c r="P8" s="22">
        <v>110</v>
      </c>
      <c r="Q8" s="22">
        <v>109</v>
      </c>
      <c r="R8" s="22"/>
      <c r="S8" s="22">
        <v>115</v>
      </c>
      <c r="T8" s="22"/>
      <c r="U8" s="22">
        <v>30</v>
      </c>
      <c r="V8" s="4"/>
      <c r="W8" s="4"/>
      <c r="X8" s="4"/>
    </row>
    <row r="9" spans="1:24" x14ac:dyDescent="0.35">
      <c r="A9" s="207" t="s">
        <v>23</v>
      </c>
      <c r="B9" s="17" t="s">
        <v>20</v>
      </c>
      <c r="C9" s="18">
        <v>8.16</v>
      </c>
      <c r="D9" s="18">
        <v>7.556</v>
      </c>
      <c r="E9" s="18">
        <v>13.144</v>
      </c>
      <c r="F9" s="18">
        <v>11.702</v>
      </c>
      <c r="G9" s="18">
        <v>12.164</v>
      </c>
      <c r="H9" s="18">
        <v>14.512</v>
      </c>
      <c r="I9" s="18">
        <v>9.4949999999999992</v>
      </c>
      <c r="J9" s="18">
        <v>10.692</v>
      </c>
      <c r="K9" s="19"/>
      <c r="L9" s="18"/>
      <c r="M9" s="24"/>
      <c r="N9" s="18"/>
      <c r="O9" s="18"/>
      <c r="P9" s="18">
        <v>10.692</v>
      </c>
      <c r="Q9" s="18">
        <v>14.516999999999999</v>
      </c>
      <c r="R9" s="18">
        <f>+Q9*16.73</f>
        <v>242.86940999999999</v>
      </c>
      <c r="S9" s="18">
        <v>15.012</v>
      </c>
      <c r="T9" s="18">
        <f>+S9*16.73</f>
        <v>251.15076000000002</v>
      </c>
      <c r="U9" s="18">
        <v>2.774</v>
      </c>
      <c r="V9" s="20"/>
      <c r="W9" s="4"/>
      <c r="X9" s="4"/>
    </row>
    <row r="10" spans="1:24" x14ac:dyDescent="0.35">
      <c r="A10" s="208"/>
      <c r="B10" s="21" t="s">
        <v>21</v>
      </c>
      <c r="C10" s="22">
        <v>20</v>
      </c>
      <c r="D10" s="22">
        <v>20</v>
      </c>
      <c r="E10" s="22">
        <v>27</v>
      </c>
      <c r="F10" s="22">
        <v>29</v>
      </c>
      <c r="G10" s="22">
        <v>28</v>
      </c>
      <c r="H10" s="22">
        <v>27</v>
      </c>
      <c r="I10" s="22">
        <v>14</v>
      </c>
      <c r="J10" s="22">
        <v>27</v>
      </c>
      <c r="K10" s="22"/>
      <c r="L10" s="22"/>
      <c r="M10" s="23"/>
      <c r="N10" s="22"/>
      <c r="O10" s="22"/>
      <c r="P10" s="22">
        <v>27</v>
      </c>
      <c r="Q10" s="22">
        <v>27</v>
      </c>
      <c r="R10" s="22"/>
      <c r="S10" s="22">
        <v>26</v>
      </c>
      <c r="T10" s="22"/>
      <c r="U10" s="22">
        <v>3</v>
      </c>
      <c r="V10" s="25"/>
      <c r="W10" s="4"/>
      <c r="X10" s="4"/>
    </row>
    <row r="11" spans="1:24" x14ac:dyDescent="0.35">
      <c r="A11" s="207" t="s">
        <v>24</v>
      </c>
      <c r="B11" s="17" t="s">
        <v>20</v>
      </c>
      <c r="C11" s="18">
        <v>7.7080000000000002</v>
      </c>
      <c r="D11" s="18">
        <v>11.69</v>
      </c>
      <c r="E11" s="18">
        <v>18.062000000000001</v>
      </c>
      <c r="F11" s="18">
        <v>25.405999999999999</v>
      </c>
      <c r="G11" s="18">
        <v>27.184000000000001</v>
      </c>
      <c r="H11" s="18">
        <v>27.318999999999999</v>
      </c>
      <c r="I11" s="18">
        <v>30.957999999999998</v>
      </c>
      <c r="J11" s="18">
        <v>20.687999999999999</v>
      </c>
      <c r="K11" s="19"/>
      <c r="L11" s="18"/>
      <c r="M11" s="18"/>
      <c r="N11" s="18"/>
      <c r="O11" s="18"/>
      <c r="P11" s="18">
        <v>20.687999999999999</v>
      </c>
      <c r="Q11" s="18">
        <v>26.614999999999998</v>
      </c>
      <c r="R11" s="18">
        <f>+Q11*16.73</f>
        <v>445.26894999999996</v>
      </c>
      <c r="S11" s="18">
        <v>30.533999999999999</v>
      </c>
      <c r="T11" s="18">
        <f>+S11*16.73</f>
        <v>510.83382</v>
      </c>
      <c r="U11" s="18">
        <v>8.7260000000000009</v>
      </c>
      <c r="V11" s="20"/>
      <c r="W11" s="4"/>
      <c r="X11" s="4"/>
    </row>
    <row r="12" spans="1:24" x14ac:dyDescent="0.35">
      <c r="A12" s="208"/>
      <c r="B12" s="21" t="s">
        <v>21</v>
      </c>
      <c r="C12" s="22">
        <v>20</v>
      </c>
      <c r="D12" s="22">
        <v>23</v>
      </c>
      <c r="E12" s="22">
        <v>32</v>
      </c>
      <c r="F12" s="22">
        <v>44</v>
      </c>
      <c r="G12" s="22">
        <v>45</v>
      </c>
      <c r="H12" s="22">
        <v>42</v>
      </c>
      <c r="I12" s="22">
        <v>60</v>
      </c>
      <c r="J12" s="22">
        <v>47</v>
      </c>
      <c r="K12" s="22"/>
      <c r="L12" s="22"/>
      <c r="M12" s="23"/>
      <c r="N12" s="22"/>
      <c r="O12" s="22"/>
      <c r="P12" s="22">
        <v>47</v>
      </c>
      <c r="Q12" s="22">
        <v>43</v>
      </c>
      <c r="R12" s="22"/>
      <c r="S12" s="22">
        <v>54</v>
      </c>
      <c r="T12" s="22"/>
      <c r="U12" s="22">
        <v>10</v>
      </c>
      <c r="V12" s="25"/>
      <c r="W12" s="4"/>
      <c r="X12" s="4"/>
    </row>
    <row r="13" spans="1:24" x14ac:dyDescent="0.35">
      <c r="A13" s="207" t="s">
        <v>25</v>
      </c>
      <c r="B13" s="17" t="s">
        <v>20</v>
      </c>
      <c r="C13" s="18">
        <v>11.074</v>
      </c>
      <c r="D13" s="18">
        <v>7.7450000000000001</v>
      </c>
      <c r="E13" s="18">
        <v>7.423</v>
      </c>
      <c r="F13" s="18">
        <v>9.0020000000000007</v>
      </c>
      <c r="G13" s="18">
        <v>10.954000000000001</v>
      </c>
      <c r="H13" s="18">
        <v>13.977</v>
      </c>
      <c r="I13" s="18">
        <v>12.734</v>
      </c>
      <c r="J13" s="18">
        <v>18.276</v>
      </c>
      <c r="K13" s="19"/>
      <c r="L13" s="18"/>
      <c r="M13" s="26"/>
      <c r="N13" s="18"/>
      <c r="O13" s="18"/>
      <c r="P13" s="18">
        <v>18.276</v>
      </c>
      <c r="Q13" s="18">
        <v>18.838999999999999</v>
      </c>
      <c r="R13" s="18">
        <f>+Q13*16.73</f>
        <v>315.17646999999999</v>
      </c>
      <c r="S13" s="18">
        <v>18.707000000000001</v>
      </c>
      <c r="T13" s="18">
        <f>+S13*16.73</f>
        <v>312.96811000000002</v>
      </c>
      <c r="U13" s="18">
        <v>3.4550000000000001</v>
      </c>
      <c r="V13" s="20"/>
      <c r="W13" s="4"/>
      <c r="X13" s="4"/>
    </row>
    <row r="14" spans="1:24" x14ac:dyDescent="0.35">
      <c r="A14" s="208"/>
      <c r="B14" s="21" t="s">
        <v>21</v>
      </c>
      <c r="C14" s="22">
        <v>43</v>
      </c>
      <c r="D14" s="22">
        <v>33</v>
      </c>
      <c r="E14" s="22">
        <v>35</v>
      </c>
      <c r="F14" s="22">
        <v>42</v>
      </c>
      <c r="G14" s="22">
        <v>50</v>
      </c>
      <c r="H14" s="22">
        <v>56</v>
      </c>
      <c r="I14" s="22">
        <v>50</v>
      </c>
      <c r="J14" s="22">
        <v>60</v>
      </c>
      <c r="K14" s="22"/>
      <c r="L14" s="22"/>
      <c r="M14" s="23"/>
      <c r="N14" s="22"/>
      <c r="O14" s="22"/>
      <c r="P14" s="22">
        <v>60</v>
      </c>
      <c r="Q14" s="22">
        <v>63</v>
      </c>
      <c r="R14" s="22"/>
      <c r="S14" s="22">
        <v>78</v>
      </c>
      <c r="T14" s="22"/>
      <c r="U14" s="22">
        <v>9</v>
      </c>
      <c r="V14" s="25"/>
      <c r="W14" s="4"/>
      <c r="X14" s="4"/>
    </row>
    <row r="15" spans="1:24" ht="15.5" x14ac:dyDescent="0.35">
      <c r="A15" s="207" t="s">
        <v>26</v>
      </c>
      <c r="B15" s="17" t="s">
        <v>20</v>
      </c>
      <c r="C15" s="27">
        <f t="shared" ref="C15:J16" si="0">+C5+C7+C9+C11+C13</f>
        <v>133.49700000000001</v>
      </c>
      <c r="D15" s="27">
        <f t="shared" si="0"/>
        <v>108.247</v>
      </c>
      <c r="E15" s="27">
        <f t="shared" si="0"/>
        <v>126.64800000000001</v>
      </c>
      <c r="F15" s="27">
        <f t="shared" si="0"/>
        <v>140.239</v>
      </c>
      <c r="G15" s="27">
        <f t="shared" si="0"/>
        <v>136.89400000000001</v>
      </c>
      <c r="H15" s="27">
        <f t="shared" si="0"/>
        <v>145.41</v>
      </c>
      <c r="I15" s="27">
        <f t="shared" si="0"/>
        <v>149.41</v>
      </c>
      <c r="J15" s="27">
        <f t="shared" si="0"/>
        <v>143.06200000000001</v>
      </c>
      <c r="K15" s="27"/>
      <c r="L15" s="27"/>
      <c r="M15" s="27"/>
      <c r="N15" s="27"/>
      <c r="O15" s="27"/>
      <c r="P15" s="27">
        <f t="shared" ref="P15:U16" si="1">+P5+P7+P9+P11+P13</f>
        <v>143.06200000000001</v>
      </c>
      <c r="Q15" s="27">
        <f t="shared" si="1"/>
        <v>169.476</v>
      </c>
      <c r="R15" s="27">
        <f t="shared" si="1"/>
        <v>2835.3334799999998</v>
      </c>
      <c r="S15" s="27">
        <f t="shared" si="1"/>
        <v>173.17899999999997</v>
      </c>
      <c r="T15" s="27">
        <f t="shared" si="1"/>
        <v>2897.28467</v>
      </c>
      <c r="U15" s="27">
        <f t="shared" si="1"/>
        <v>44.251999999999995</v>
      </c>
      <c r="V15" s="27"/>
      <c r="W15" s="4"/>
      <c r="X15" s="4"/>
    </row>
    <row r="16" spans="1:24" ht="15.5" x14ac:dyDescent="0.35">
      <c r="A16" s="208"/>
      <c r="B16" s="21" t="s">
        <v>21</v>
      </c>
      <c r="C16" s="28">
        <f t="shared" si="0"/>
        <v>388</v>
      </c>
      <c r="D16" s="28">
        <f t="shared" si="0"/>
        <v>298</v>
      </c>
      <c r="E16" s="28">
        <f t="shared" si="0"/>
        <v>316</v>
      </c>
      <c r="F16" s="28">
        <f t="shared" si="0"/>
        <v>359</v>
      </c>
      <c r="G16" s="28">
        <f t="shared" si="0"/>
        <v>349</v>
      </c>
      <c r="H16" s="28">
        <f t="shared" si="0"/>
        <v>360</v>
      </c>
      <c r="I16" s="28">
        <f t="shared" si="0"/>
        <v>371</v>
      </c>
      <c r="J16" s="28">
        <f t="shared" si="0"/>
        <v>375</v>
      </c>
      <c r="K16" s="28"/>
      <c r="L16" s="28"/>
      <c r="M16" s="28"/>
      <c r="N16" s="28"/>
      <c r="O16" s="28"/>
      <c r="P16" s="28">
        <f t="shared" si="1"/>
        <v>375</v>
      </c>
      <c r="Q16" s="28">
        <f t="shared" si="1"/>
        <v>383</v>
      </c>
      <c r="R16" s="28">
        <f>+Q16</f>
        <v>383</v>
      </c>
      <c r="S16" s="28">
        <f t="shared" si="1"/>
        <v>412</v>
      </c>
      <c r="T16" s="28">
        <f>+S16</f>
        <v>412</v>
      </c>
      <c r="U16" s="28">
        <f t="shared" si="1"/>
        <v>98</v>
      </c>
      <c r="V16" s="28"/>
      <c r="W16" s="4"/>
      <c r="X16" s="4"/>
    </row>
    <row r="17" spans="1:24" ht="15.5" x14ac:dyDescent="0.35">
      <c r="A17" s="29" t="s">
        <v>27</v>
      </c>
      <c r="B17" s="30"/>
      <c r="C17" s="31">
        <f t="shared" ref="C17:J17" si="2">+C15/C16</f>
        <v>0.34406443298969075</v>
      </c>
      <c r="D17" s="31">
        <f t="shared" si="2"/>
        <v>0.36324496644295301</v>
      </c>
      <c r="E17" s="31">
        <f t="shared" si="2"/>
        <v>0.40078481012658229</v>
      </c>
      <c r="F17" s="31">
        <f t="shared" si="2"/>
        <v>0.39063788300835656</v>
      </c>
      <c r="G17" s="31">
        <f t="shared" si="2"/>
        <v>0.39224641833810892</v>
      </c>
      <c r="H17" s="31">
        <f t="shared" si="2"/>
        <v>0.40391666666666665</v>
      </c>
      <c r="I17" s="31">
        <f t="shared" si="2"/>
        <v>0.40272237196765498</v>
      </c>
      <c r="J17" s="31">
        <f t="shared" si="2"/>
        <v>0.38149866666666671</v>
      </c>
      <c r="K17" s="31"/>
      <c r="L17" s="31"/>
      <c r="M17" s="31"/>
      <c r="N17" s="31"/>
      <c r="O17" s="31"/>
      <c r="P17" s="31">
        <f t="shared" ref="P17:U17" si="3">+P15/P16</f>
        <v>0.38149866666666671</v>
      </c>
      <c r="Q17" s="31">
        <f t="shared" si="3"/>
        <v>0.44249608355091385</v>
      </c>
      <c r="R17" s="31">
        <f t="shared" si="3"/>
        <v>7.402959477806788</v>
      </c>
      <c r="S17" s="31">
        <f t="shared" si="3"/>
        <v>0.42033737864077664</v>
      </c>
      <c r="T17" s="31">
        <f t="shared" si="3"/>
        <v>7.0322443446601941</v>
      </c>
      <c r="U17" s="31">
        <f t="shared" si="3"/>
        <v>0.4515510204081632</v>
      </c>
      <c r="V17" s="31"/>
      <c r="W17" s="4"/>
      <c r="X17" s="4"/>
    </row>
    <row r="18" spans="1:24" x14ac:dyDescent="0.35">
      <c r="A18" s="207" t="s">
        <v>28</v>
      </c>
      <c r="B18" s="17" t="s">
        <v>20</v>
      </c>
      <c r="C18" s="32">
        <v>3.71</v>
      </c>
      <c r="D18" s="32">
        <v>3.19</v>
      </c>
      <c r="E18" s="32">
        <v>5.91</v>
      </c>
      <c r="F18" s="32">
        <v>5.9</v>
      </c>
      <c r="G18" s="32">
        <v>6.48</v>
      </c>
      <c r="H18" s="32">
        <v>4.04</v>
      </c>
      <c r="I18" s="32">
        <v>4.53</v>
      </c>
      <c r="J18" s="19"/>
      <c r="K18" s="19"/>
      <c r="L18" s="18"/>
      <c r="M18" s="18"/>
      <c r="N18" s="32"/>
      <c r="O18" s="32"/>
      <c r="P18" s="32"/>
      <c r="Q18" s="32"/>
      <c r="R18" s="32"/>
      <c r="S18" s="32"/>
      <c r="T18" s="32"/>
      <c r="U18" s="32"/>
      <c r="V18" s="33"/>
      <c r="W18" s="4"/>
      <c r="X18" s="4"/>
    </row>
    <row r="19" spans="1:24" x14ac:dyDescent="0.35">
      <c r="A19" s="208"/>
      <c r="B19" s="21" t="s">
        <v>21</v>
      </c>
      <c r="C19" s="22">
        <v>44</v>
      </c>
      <c r="D19" s="22">
        <v>33</v>
      </c>
      <c r="E19" s="22">
        <v>57</v>
      </c>
      <c r="F19" s="22">
        <v>59</v>
      </c>
      <c r="G19" s="22">
        <v>69</v>
      </c>
      <c r="H19" s="22">
        <v>46</v>
      </c>
      <c r="I19" s="22">
        <v>51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33"/>
      <c r="W19" s="4"/>
      <c r="X19" s="4"/>
    </row>
    <row r="20" spans="1:24" ht="15.5" x14ac:dyDescent="0.35">
      <c r="A20" s="34" t="s">
        <v>29</v>
      </c>
      <c r="B20" s="1"/>
      <c r="C20" s="31">
        <f t="shared" ref="C20:I20" si="4">+C18/C19</f>
        <v>8.431818181818182E-2</v>
      </c>
      <c r="D20" s="31">
        <f t="shared" si="4"/>
        <v>9.6666666666666665E-2</v>
      </c>
      <c r="E20" s="31">
        <f t="shared" si="4"/>
        <v>0.1036842105263158</v>
      </c>
      <c r="F20" s="31">
        <f t="shared" si="4"/>
        <v>0.1</v>
      </c>
      <c r="G20" s="31">
        <f t="shared" si="4"/>
        <v>9.3913043478260877E-2</v>
      </c>
      <c r="H20" s="31">
        <f t="shared" si="4"/>
        <v>8.7826086956521734E-2</v>
      </c>
      <c r="I20" s="31">
        <f t="shared" si="4"/>
        <v>8.8823529411764704E-2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3"/>
      <c r="W20" s="4"/>
      <c r="X20" s="4"/>
    </row>
    <row r="21" spans="1:24" x14ac:dyDescent="0.35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5"/>
      <c r="T21" s="36"/>
      <c r="U21" s="4"/>
      <c r="V21" s="4"/>
      <c r="W21" s="4"/>
      <c r="X21" s="4"/>
    </row>
    <row r="22" spans="1:24" ht="15.5" x14ac:dyDescent="0.35">
      <c r="A22" s="218" t="s">
        <v>30</v>
      </c>
      <c r="B22" s="37" t="s">
        <v>31</v>
      </c>
      <c r="C22" s="38" t="s">
        <v>3</v>
      </c>
      <c r="D22" s="39" t="s">
        <v>32</v>
      </c>
      <c r="E22" s="39" t="s">
        <v>5</v>
      </c>
      <c r="F22" s="39" t="s">
        <v>6</v>
      </c>
      <c r="G22" s="39" t="s">
        <v>33</v>
      </c>
      <c r="H22" s="39" t="s">
        <v>8</v>
      </c>
      <c r="I22" s="39" t="s">
        <v>9</v>
      </c>
      <c r="J22" s="39" t="s">
        <v>10</v>
      </c>
      <c r="K22" s="39" t="s">
        <v>34</v>
      </c>
      <c r="L22" s="39" t="s">
        <v>35</v>
      </c>
      <c r="M22" s="39" t="s">
        <v>13</v>
      </c>
      <c r="N22" s="39" t="s">
        <v>14</v>
      </c>
      <c r="O22" s="39" t="s">
        <v>15</v>
      </c>
      <c r="P22" s="40" t="s">
        <v>36</v>
      </c>
      <c r="Q22" s="41" t="s">
        <v>37</v>
      </c>
      <c r="R22" s="42"/>
      <c r="S22" s="3"/>
      <c r="T22" s="43" t="s">
        <v>38</v>
      </c>
      <c r="U22" s="44" t="s">
        <v>39</v>
      </c>
      <c r="V22" s="45" t="s">
        <v>40</v>
      </c>
      <c r="W22" s="4"/>
      <c r="X22" s="4"/>
    </row>
    <row r="23" spans="1:24" x14ac:dyDescent="0.35">
      <c r="A23" s="219"/>
      <c r="B23" s="46" t="s">
        <v>41</v>
      </c>
      <c r="C23" s="47">
        <f>8.56-C27</f>
        <v>8.26</v>
      </c>
      <c r="D23" s="47">
        <f>1.6-0.43</f>
        <v>1.1700000000000002</v>
      </c>
      <c r="E23" s="47">
        <f>5.83-D33</f>
        <v>4.63</v>
      </c>
      <c r="F23" s="47">
        <v>7.9</v>
      </c>
      <c r="G23" s="47">
        <v>4.62</v>
      </c>
      <c r="H23" s="47">
        <v>6.16</v>
      </c>
      <c r="I23" s="47">
        <v>5.31</v>
      </c>
      <c r="J23" s="47">
        <v>6.03</v>
      </c>
      <c r="K23" s="47">
        <f>53.75/17.61</f>
        <v>3.0522430437251562</v>
      </c>
      <c r="L23" s="47">
        <f>53.75/17.61</f>
        <v>3.0522430437251562</v>
      </c>
      <c r="M23" s="47"/>
      <c r="N23" s="47"/>
      <c r="O23" s="47"/>
      <c r="P23" s="48">
        <f>+SUM(D23:O23)</f>
        <v>41.924486087450312</v>
      </c>
      <c r="Q23" s="49">
        <f>+SUM(D23:O23)</f>
        <v>41.924486087450312</v>
      </c>
      <c r="R23" s="50"/>
      <c r="S23" s="3"/>
      <c r="T23" s="51"/>
      <c r="U23" s="52"/>
      <c r="V23" s="53"/>
      <c r="W23" s="4"/>
      <c r="X23" s="4"/>
    </row>
    <row r="24" spans="1:24" x14ac:dyDescent="0.35">
      <c r="A24" s="219"/>
      <c r="B24" s="46" t="s">
        <v>42</v>
      </c>
      <c r="C24" s="54"/>
      <c r="D24" s="54"/>
      <c r="E24" s="54"/>
      <c r="F24" s="54"/>
      <c r="G24" s="54"/>
      <c r="H24" s="54"/>
      <c r="I24" s="54"/>
      <c r="J24" s="54"/>
      <c r="K24" s="55">
        <v>36.847999999999999</v>
      </c>
      <c r="L24" s="54"/>
      <c r="M24" s="54"/>
      <c r="N24" s="54"/>
      <c r="O24" s="54"/>
      <c r="P24" s="48"/>
      <c r="Q24" s="56"/>
      <c r="R24" s="50"/>
      <c r="S24" s="3"/>
      <c r="T24" s="51"/>
      <c r="U24" s="52"/>
      <c r="V24" s="53"/>
      <c r="W24" s="4"/>
      <c r="X24" s="4"/>
    </row>
    <row r="25" spans="1:24" x14ac:dyDescent="0.35">
      <c r="A25" s="219"/>
      <c r="B25" s="57" t="s">
        <v>43</v>
      </c>
      <c r="C25" s="54">
        <v>10.19</v>
      </c>
      <c r="D25" s="54">
        <f t="shared" ref="D25:O25" si="5">+D34-D28</f>
        <v>1.7399476712495534</v>
      </c>
      <c r="E25" s="54">
        <f t="shared" si="5"/>
        <v>3.5167168124535095</v>
      </c>
      <c r="F25" s="54">
        <f t="shared" si="5"/>
        <v>6.1368237022552545</v>
      </c>
      <c r="G25" s="54">
        <f t="shared" si="5"/>
        <v>3.3582875141482069</v>
      </c>
      <c r="H25" s="54">
        <f t="shared" si="5"/>
        <v>4.9000164169046876</v>
      </c>
      <c r="I25" s="54">
        <f t="shared" si="5"/>
        <v>5.5932078829887848</v>
      </c>
      <c r="J25" s="54">
        <f t="shared" si="5"/>
        <v>5.3384817367532094</v>
      </c>
      <c r="K25" s="54">
        <f t="shared" si="5"/>
        <v>8.3684915543750513</v>
      </c>
      <c r="L25" s="54">
        <f t="shared" si="5"/>
        <v>5.7000814471361343</v>
      </c>
      <c r="M25" s="54">
        <f t="shared" si="5"/>
        <v>6.2552780124971985</v>
      </c>
      <c r="N25" s="54">
        <f t="shared" si="5"/>
        <v>10.065057792487586</v>
      </c>
      <c r="O25" s="54">
        <f t="shared" si="5"/>
        <v>10.527609456750813</v>
      </c>
      <c r="P25" s="48">
        <f>+SUM(D25:O25)</f>
        <v>71.499999999999986</v>
      </c>
      <c r="Q25" s="56">
        <f>+SUM(D25:O25)</f>
        <v>71.499999999999986</v>
      </c>
      <c r="R25" s="50"/>
      <c r="S25" s="3"/>
      <c r="T25" s="58" t="s">
        <v>16</v>
      </c>
      <c r="U25" s="59"/>
      <c r="V25" s="60"/>
      <c r="W25" s="4"/>
      <c r="X25" s="4"/>
    </row>
    <row r="26" spans="1:24" x14ac:dyDescent="0.35">
      <c r="A26" s="219"/>
      <c r="B26" s="57"/>
      <c r="C26" s="54"/>
      <c r="D26" s="54"/>
      <c r="E26" s="61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62">
        <f>+P23/P25</f>
        <v>0.58635644877552895</v>
      </c>
      <c r="Q26" s="63">
        <f>+Q23/Q25</f>
        <v>0.58635644877552895</v>
      </c>
      <c r="R26" s="64"/>
      <c r="S26" s="3"/>
      <c r="T26" s="218" t="s">
        <v>44</v>
      </c>
      <c r="U26" s="220"/>
      <c r="V26" s="65" t="s">
        <v>45</v>
      </c>
      <c r="W26" s="66"/>
      <c r="X26" s="67"/>
    </row>
    <row r="27" spans="1:24" x14ac:dyDescent="0.35">
      <c r="A27" s="219"/>
      <c r="B27" s="46" t="s">
        <v>46</v>
      </c>
      <c r="C27" s="47">
        <v>0.3</v>
      </c>
      <c r="D27" s="47">
        <v>0.03</v>
      </c>
      <c r="E27" s="47">
        <v>0</v>
      </c>
      <c r="F27" s="47">
        <v>0.21</v>
      </c>
      <c r="G27" s="47">
        <v>0.16</v>
      </c>
      <c r="H27" s="47">
        <v>0.15</v>
      </c>
      <c r="I27" s="47">
        <v>0.17</v>
      </c>
      <c r="J27" s="47">
        <v>0.05</v>
      </c>
      <c r="K27" s="47">
        <v>0</v>
      </c>
      <c r="L27" s="47"/>
      <c r="M27" s="47"/>
      <c r="N27" s="47"/>
      <c r="O27" s="47"/>
      <c r="P27" s="48">
        <f>+SUM(D27:O27)</f>
        <v>0.77000000000000013</v>
      </c>
      <c r="Q27" s="49">
        <f>+SUM(D27:O27)</f>
        <v>0.77000000000000013</v>
      </c>
      <c r="R27" s="50"/>
      <c r="S27" s="3"/>
      <c r="T27" s="68"/>
      <c r="U27" s="69"/>
      <c r="V27" s="1"/>
      <c r="W27" s="70"/>
      <c r="X27" s="71" t="s">
        <v>47</v>
      </c>
    </row>
    <row r="28" spans="1:24" x14ac:dyDescent="0.35">
      <c r="A28" s="219"/>
      <c r="B28" s="57" t="s">
        <v>48</v>
      </c>
      <c r="C28" s="54">
        <v>0.74</v>
      </c>
      <c r="D28" s="54">
        <f>+D29/77*$P$28</f>
        <v>0.1602053627754074</v>
      </c>
      <c r="E28" s="54">
        <f t="shared" ref="E28:O28" si="6">+E29/77*$P$28</f>
        <v>0.26700893795901171</v>
      </c>
      <c r="F28" s="54">
        <f t="shared" si="6"/>
        <v>0.49929751330726369</v>
      </c>
      <c r="G28" s="54">
        <f t="shared" si="6"/>
        <v>0.35148062854208612</v>
      </c>
      <c r="H28" s="54">
        <f t="shared" si="6"/>
        <v>0.41720146556095539</v>
      </c>
      <c r="I28" s="54">
        <f t="shared" si="6"/>
        <v>0.7798060918552755</v>
      </c>
      <c r="J28" s="54">
        <f t="shared" si="6"/>
        <v>0.36955531002538056</v>
      </c>
      <c r="K28" s="54">
        <f t="shared" si="6"/>
        <v>0.4850413444083117</v>
      </c>
      <c r="L28" s="54">
        <f t="shared" si="6"/>
        <v>0.52834860730190936</v>
      </c>
      <c r="M28" s="54">
        <f t="shared" si="6"/>
        <v>0.34357095228922085</v>
      </c>
      <c r="N28" s="54">
        <f t="shared" si="6"/>
        <v>0.56553630825288703</v>
      </c>
      <c r="O28" s="54">
        <f t="shared" si="6"/>
        <v>0.73294747772229019</v>
      </c>
      <c r="P28" s="48">
        <v>5.5</v>
      </c>
      <c r="Q28" s="56">
        <f>+SUM(D28:O28)</f>
        <v>5.5</v>
      </c>
      <c r="R28" s="50"/>
      <c r="S28" s="3"/>
      <c r="T28" s="68"/>
      <c r="U28" s="72"/>
      <c r="V28" s="1"/>
      <c r="W28" s="70"/>
      <c r="X28" s="71"/>
    </row>
    <row r="29" spans="1:24" x14ac:dyDescent="0.35">
      <c r="A29" s="73"/>
      <c r="B29" s="1"/>
      <c r="C29" s="74"/>
      <c r="D29" s="75">
        <v>2.2428750788557035</v>
      </c>
      <c r="E29" s="75">
        <v>3.7381251314261634</v>
      </c>
      <c r="F29" s="75">
        <v>6.9901651863016916</v>
      </c>
      <c r="G29" s="75">
        <v>4.9207287995892059</v>
      </c>
      <c r="H29" s="75">
        <v>5.8408205178533752</v>
      </c>
      <c r="I29" s="75">
        <v>10.917285285973858</v>
      </c>
      <c r="J29" s="75">
        <v>5.1737743403553278</v>
      </c>
      <c r="K29" s="75">
        <v>6.7905788217163643</v>
      </c>
      <c r="L29" s="75">
        <v>7.3968805022267299</v>
      </c>
      <c r="M29" s="75">
        <v>4.8099933320490917</v>
      </c>
      <c r="N29" s="75">
        <v>7.9175083155404185</v>
      </c>
      <c r="O29" s="76">
        <v>10.261264688112062</v>
      </c>
      <c r="P29" s="77">
        <f>+P27/P28</f>
        <v>0.14000000000000001</v>
      </c>
      <c r="Q29" s="63">
        <f>+Q27/Q28</f>
        <v>0.14000000000000001</v>
      </c>
      <c r="R29" s="64"/>
      <c r="S29" s="3"/>
      <c r="T29" s="68"/>
      <c r="U29" s="69"/>
      <c r="V29" s="68"/>
      <c r="W29" s="70"/>
      <c r="X29" s="71"/>
    </row>
    <row r="30" spans="1:24" x14ac:dyDescent="0.35">
      <c r="A30" s="221" t="s">
        <v>49</v>
      </c>
      <c r="B30" s="78" t="s">
        <v>50</v>
      </c>
      <c r="C30" s="79"/>
      <c r="D30" s="79">
        <v>0.14000000000000001</v>
      </c>
      <c r="E30" s="79">
        <f>9.553/18.4</f>
        <v>0.51918478260869572</v>
      </c>
      <c r="F30" s="79">
        <v>0.57999999999999996</v>
      </c>
      <c r="G30" s="79">
        <f>10.2/18</f>
        <v>0.56666666666666665</v>
      </c>
      <c r="H30" s="79">
        <v>0.16</v>
      </c>
      <c r="I30" s="79">
        <f>7.5/17.15</f>
        <v>0.43731778425655982</v>
      </c>
      <c r="J30" s="79">
        <f>15.015465/16.8695</f>
        <v>0.89009543851329331</v>
      </c>
      <c r="K30" s="79">
        <f>13.52/16.73</f>
        <v>0.80812910938433946</v>
      </c>
      <c r="L30" s="79">
        <f>8.56/17.61</f>
        <v>0.48608745031232259</v>
      </c>
      <c r="M30" s="79"/>
      <c r="N30" s="79"/>
      <c r="O30" s="79"/>
      <c r="P30" s="80">
        <f>+SUM(D30:O30)</f>
        <v>4.5874812317418776</v>
      </c>
      <c r="Q30" s="81">
        <f>+SUM(D30:O30)</f>
        <v>4.5874812317418776</v>
      </c>
      <c r="R30" s="82"/>
      <c r="S30" s="3"/>
      <c r="T30" s="68"/>
      <c r="U30" s="72"/>
      <c r="V30" s="68"/>
      <c r="W30" s="70"/>
      <c r="X30" s="71"/>
    </row>
    <row r="31" spans="1:24" x14ac:dyDescent="0.35">
      <c r="A31" s="222"/>
      <c r="B31" s="83" t="s">
        <v>51</v>
      </c>
      <c r="C31" s="84"/>
      <c r="D31" s="84">
        <f>+D32/$P$32*$P$31</f>
        <v>0.35102405792104813</v>
      </c>
      <c r="E31" s="84">
        <f t="shared" ref="E31:O31" si="7">+E32/$P$32*$P$31</f>
        <v>0.49366738148595068</v>
      </c>
      <c r="F31" s="84">
        <f t="shared" si="7"/>
        <v>0.38016992932253063</v>
      </c>
      <c r="G31" s="84">
        <f t="shared" si="7"/>
        <v>0.43282843647646957</v>
      </c>
      <c r="H31" s="84">
        <f t="shared" si="7"/>
        <v>0.44032308912256513</v>
      </c>
      <c r="I31" s="84">
        <f t="shared" si="7"/>
        <v>0.55142029305292184</v>
      </c>
      <c r="J31" s="84">
        <f t="shared" si="7"/>
        <v>0.81079405619720735</v>
      </c>
      <c r="K31" s="84">
        <f t="shared" si="7"/>
        <v>0.66565251508360634</v>
      </c>
      <c r="L31" s="84">
        <f t="shared" si="7"/>
        <v>0.77660276504051029</v>
      </c>
      <c r="M31" s="84">
        <f t="shared" si="7"/>
        <v>0.8690368143423548</v>
      </c>
      <c r="N31" s="84">
        <f t="shared" si="7"/>
        <v>0.85424344768143423</v>
      </c>
      <c r="O31" s="84">
        <f t="shared" si="7"/>
        <v>0.47823721427340116</v>
      </c>
      <c r="P31" s="80">
        <v>7.1040000000000001</v>
      </c>
      <c r="Q31" s="85">
        <f>+SUM(D31:O31)</f>
        <v>7.1040000000000001</v>
      </c>
      <c r="R31" s="82"/>
      <c r="S31" s="3"/>
      <c r="T31" s="68"/>
      <c r="U31" s="69"/>
      <c r="V31" s="68"/>
      <c r="W31" s="70"/>
      <c r="X31" s="71"/>
    </row>
    <row r="32" spans="1:24" x14ac:dyDescent="0.35">
      <c r="A32" s="86"/>
      <c r="B32" s="1"/>
      <c r="C32" s="87"/>
      <c r="D32" s="88">
        <f>7.166/22</f>
        <v>0.32572727272727275</v>
      </c>
      <c r="E32" s="88">
        <f>10.078/22</f>
        <v>0.45809090909090905</v>
      </c>
      <c r="F32" s="88">
        <f>7.761/22</f>
        <v>0.35277272727272729</v>
      </c>
      <c r="G32" s="88">
        <f>8.836/22</f>
        <v>0.40163636363636362</v>
      </c>
      <c r="H32" s="88">
        <f>8.989/22</f>
        <v>0.40859090909090912</v>
      </c>
      <c r="I32" s="88">
        <f>11.257/22</f>
        <v>0.51168181818181813</v>
      </c>
      <c r="J32" s="88">
        <f>16.552/22</f>
        <v>0.75236363636363635</v>
      </c>
      <c r="K32" s="88">
        <f>13.589/22</f>
        <v>0.61768181818181822</v>
      </c>
      <c r="L32" s="88">
        <f>15.854/22</f>
        <v>0.72063636363636363</v>
      </c>
      <c r="M32" s="88">
        <f>17.741/22</f>
        <v>0.80640909090909085</v>
      </c>
      <c r="N32" s="88">
        <f>17.439/22</f>
        <v>0.79268181818181815</v>
      </c>
      <c r="O32" s="88">
        <f>9.763/22</f>
        <v>0.44377272727272726</v>
      </c>
      <c r="P32" s="88">
        <f>+SUM(D32:O32)</f>
        <v>6.5920454545454543</v>
      </c>
      <c r="Q32" s="89">
        <f>+Q30/Q31</f>
        <v>0.64576030852222377</v>
      </c>
      <c r="R32" s="90"/>
      <c r="S32" s="3"/>
      <c r="T32" s="68"/>
      <c r="U32" s="69"/>
      <c r="V32" s="68"/>
      <c r="W32" s="70"/>
      <c r="X32" s="71"/>
    </row>
    <row r="33" spans="1:24" x14ac:dyDescent="0.35">
      <c r="A33" s="221" t="s">
        <v>52</v>
      </c>
      <c r="B33" s="78" t="s">
        <v>53</v>
      </c>
      <c r="C33" s="79">
        <f>+C23+C27</f>
        <v>8.56</v>
      </c>
      <c r="D33" s="79">
        <f t="shared" ref="D33:O33" si="8">+D23+D27</f>
        <v>1.2000000000000002</v>
      </c>
      <c r="E33" s="79">
        <f t="shared" si="8"/>
        <v>4.63</v>
      </c>
      <c r="F33" s="79">
        <f t="shared" si="8"/>
        <v>8.1100000000000012</v>
      </c>
      <c r="G33" s="79">
        <f t="shared" si="8"/>
        <v>4.78</v>
      </c>
      <c r="H33" s="79">
        <f t="shared" si="8"/>
        <v>6.3100000000000005</v>
      </c>
      <c r="I33" s="79">
        <f t="shared" si="8"/>
        <v>5.4799999999999995</v>
      </c>
      <c r="J33" s="79">
        <f t="shared" si="8"/>
        <v>6.08</v>
      </c>
      <c r="K33" s="79">
        <f>108.726/16.84</f>
        <v>6.4564133016627077</v>
      </c>
      <c r="L33" s="79">
        <f t="shared" si="8"/>
        <v>3.0522430437251562</v>
      </c>
      <c r="M33" s="79">
        <f t="shared" si="8"/>
        <v>0</v>
      </c>
      <c r="N33" s="79">
        <f t="shared" si="8"/>
        <v>0</v>
      </c>
      <c r="O33" s="79">
        <f t="shared" si="8"/>
        <v>0</v>
      </c>
      <c r="P33" s="80">
        <f>+SUM(D33:O33)</f>
        <v>46.098656345387866</v>
      </c>
      <c r="Q33" s="81">
        <f>+SUM(D33:O33)</f>
        <v>46.098656345387866</v>
      </c>
      <c r="R33" s="82"/>
      <c r="S33" s="3"/>
      <c r="T33" s="68"/>
      <c r="U33" s="72"/>
      <c r="V33" s="68"/>
      <c r="W33" s="70"/>
      <c r="X33" s="71"/>
    </row>
    <row r="34" spans="1:24" x14ac:dyDescent="0.35">
      <c r="A34" s="222"/>
      <c r="B34" s="83" t="s">
        <v>54</v>
      </c>
      <c r="C34" s="79">
        <f>+C25+C28+C31</f>
        <v>10.93</v>
      </c>
      <c r="D34" s="84">
        <v>1.9001530340249608</v>
      </c>
      <c r="E34" s="84">
        <v>3.783725750412521</v>
      </c>
      <c r="F34" s="84">
        <v>6.6361212155625182</v>
      </c>
      <c r="G34" s="84">
        <v>3.7097681426902929</v>
      </c>
      <c r="H34" s="84">
        <v>5.3172178824656431</v>
      </c>
      <c r="I34" s="84">
        <v>6.37301397484406</v>
      </c>
      <c r="J34" s="84">
        <v>5.7080370467785899</v>
      </c>
      <c r="K34" s="84">
        <v>8.8535328987833637</v>
      </c>
      <c r="L34" s="84">
        <v>6.2284300544380438</v>
      </c>
      <c r="M34" s="84">
        <v>6.598848964786419</v>
      </c>
      <c r="N34" s="84">
        <v>10.630594100740474</v>
      </c>
      <c r="O34" s="84">
        <v>11.260556934473103</v>
      </c>
      <c r="P34" s="80">
        <f>+D34+E34+F34+G34+H34+I34</f>
        <v>27.719999999999995</v>
      </c>
      <c r="Q34" s="85">
        <f>+SUM(D34:O34)</f>
        <v>76.999999999999986</v>
      </c>
      <c r="R34" s="82"/>
      <c r="S34" s="3"/>
      <c r="T34" s="68"/>
      <c r="U34" s="69"/>
      <c r="V34" s="68"/>
      <c r="W34" s="70"/>
      <c r="X34" s="71"/>
    </row>
    <row r="35" spans="1:24" x14ac:dyDescent="0.35">
      <c r="A35" s="86"/>
      <c r="B35" s="1"/>
      <c r="C35" s="1"/>
      <c r="D35" s="91"/>
      <c r="E35" s="92"/>
      <c r="F35" s="91"/>
      <c r="G35" s="93"/>
      <c r="H35" s="94"/>
      <c r="I35" s="94"/>
      <c r="J35" s="1"/>
      <c r="K35" s="94"/>
      <c r="L35" s="94"/>
      <c r="M35" s="94"/>
      <c r="N35" s="1"/>
      <c r="O35" s="1"/>
      <c r="P35" s="95">
        <f>+P33/P34</f>
        <v>1.6630106906705582</v>
      </c>
      <c r="Q35" s="96">
        <f>+Q33/Q34</f>
        <v>0.59868384864140101</v>
      </c>
      <c r="R35" s="97"/>
      <c r="S35" s="98"/>
      <c r="T35" s="68"/>
      <c r="U35" s="72"/>
      <c r="V35" s="68"/>
      <c r="W35" s="70"/>
      <c r="X35" s="71"/>
    </row>
    <row r="36" spans="1:24" x14ac:dyDescent="0.35">
      <c r="A36" s="86"/>
      <c r="B36" s="1"/>
      <c r="C36" s="1"/>
      <c r="D36" s="168">
        <f>+D34/$Q$34*$Q$36</f>
        <v>2.1716034674570985</v>
      </c>
      <c r="E36" s="168">
        <f t="shared" ref="E36:O36" si="9">+E34/$Q$34*$Q$36</f>
        <v>4.3242580004714535</v>
      </c>
      <c r="F36" s="168">
        <f t="shared" si="9"/>
        <v>7.5841385320714503</v>
      </c>
      <c r="G36" s="168">
        <f t="shared" si="9"/>
        <v>4.2397350202174779</v>
      </c>
      <c r="H36" s="168">
        <f t="shared" si="9"/>
        <v>6.076820437103593</v>
      </c>
      <c r="I36" s="168">
        <f t="shared" si="9"/>
        <v>7.2834445426789269</v>
      </c>
      <c r="J36" s="168">
        <f t="shared" si="9"/>
        <v>6.5234709106041038</v>
      </c>
      <c r="K36" s="168">
        <f t="shared" si="9"/>
        <v>10.118323312895274</v>
      </c>
      <c r="L36" s="168">
        <f t="shared" si="9"/>
        <v>7.1182057765006235</v>
      </c>
      <c r="M36" s="168">
        <f t="shared" si="9"/>
        <v>7.541541674041623</v>
      </c>
      <c r="N36" s="168">
        <f t="shared" si="9"/>
        <v>12.14925040084626</v>
      </c>
      <c r="O36" s="168">
        <f t="shared" si="9"/>
        <v>12.869207925112118</v>
      </c>
      <c r="P36" s="95"/>
      <c r="Q36" s="167">
        <v>88</v>
      </c>
      <c r="R36" s="97"/>
      <c r="S36" s="98"/>
      <c r="T36" s="68"/>
      <c r="U36" s="72"/>
      <c r="V36" s="68"/>
      <c r="W36" s="70"/>
      <c r="X36" s="71"/>
    </row>
    <row r="37" spans="1:24" x14ac:dyDescent="0.35">
      <c r="A37" s="86"/>
      <c r="B37" s="1"/>
      <c r="C37" s="1"/>
      <c r="D37" s="91"/>
      <c r="E37" s="92"/>
      <c r="F37" s="91"/>
      <c r="G37" s="93"/>
      <c r="H37" s="94"/>
      <c r="I37" s="94"/>
      <c r="J37" s="1"/>
      <c r="K37" s="94"/>
      <c r="L37" s="94"/>
      <c r="M37" s="94"/>
      <c r="N37" s="1"/>
      <c r="O37" s="1"/>
      <c r="P37" s="95"/>
      <c r="Q37" s="97"/>
      <c r="R37" s="97"/>
      <c r="S37" s="98"/>
      <c r="T37" s="68"/>
      <c r="U37" s="72"/>
      <c r="V37" s="68"/>
      <c r="W37" s="70"/>
      <c r="X37" s="71"/>
    </row>
    <row r="38" spans="1:24" ht="15.5" x14ac:dyDescent="0.35">
      <c r="A38" s="219" t="s">
        <v>55</v>
      </c>
      <c r="B38" s="29" t="s">
        <v>56</v>
      </c>
      <c r="C38" s="99" t="s">
        <v>15</v>
      </c>
      <c r="D38" s="99" t="s">
        <v>32</v>
      </c>
      <c r="E38" s="100" t="s">
        <v>5</v>
      </c>
      <c r="F38" s="99" t="s">
        <v>6</v>
      </c>
      <c r="G38" s="99" t="s">
        <v>33</v>
      </c>
      <c r="H38" s="99" t="s">
        <v>8</v>
      </c>
      <c r="I38" s="99" t="s">
        <v>9</v>
      </c>
      <c r="J38" s="99" t="s">
        <v>10</v>
      </c>
      <c r="K38" s="99" t="s">
        <v>34</v>
      </c>
      <c r="L38" s="99" t="s">
        <v>35</v>
      </c>
      <c r="M38" s="99" t="s">
        <v>13</v>
      </c>
      <c r="N38" s="99" t="s">
        <v>14</v>
      </c>
      <c r="O38" s="99" t="s">
        <v>15</v>
      </c>
      <c r="P38" s="101" t="s">
        <v>57</v>
      </c>
      <c r="Q38" s="1"/>
      <c r="R38" s="1"/>
      <c r="S38" s="3"/>
      <c r="T38" s="68"/>
      <c r="U38" s="72"/>
      <c r="V38" s="1"/>
      <c r="W38" s="70"/>
      <c r="X38" s="72"/>
    </row>
    <row r="39" spans="1:24" x14ac:dyDescent="0.35">
      <c r="A39" s="219"/>
      <c r="B39" s="86" t="s">
        <v>58</v>
      </c>
      <c r="C39" s="102">
        <v>13</v>
      </c>
      <c r="D39" s="102">
        <v>10</v>
      </c>
      <c r="E39" s="102">
        <v>10</v>
      </c>
      <c r="F39" s="102">
        <v>10</v>
      </c>
      <c r="G39" s="102">
        <v>10</v>
      </c>
      <c r="H39" s="102">
        <v>10</v>
      </c>
      <c r="I39" s="102">
        <v>7</v>
      </c>
      <c r="J39" s="102">
        <v>8</v>
      </c>
      <c r="K39" s="102"/>
      <c r="L39" s="102"/>
      <c r="M39" s="102"/>
      <c r="N39" s="102"/>
      <c r="O39" s="102"/>
      <c r="P39" s="103">
        <f>+SUM(D39:O39)</f>
        <v>65</v>
      </c>
      <c r="Q39" s="1"/>
      <c r="R39" s="1"/>
      <c r="S39" s="3"/>
      <c r="T39" s="68"/>
      <c r="U39" s="72"/>
      <c r="V39" s="1"/>
      <c r="W39" s="68"/>
      <c r="X39" s="72"/>
    </row>
    <row r="40" spans="1:24" x14ac:dyDescent="0.35">
      <c r="A40" s="219"/>
      <c r="B40" s="104" t="s">
        <v>59</v>
      </c>
      <c r="C40" s="105" t="str">
        <f>+[1]LMM!O64</f>
        <v>Budget</v>
      </c>
      <c r="D40" s="105">
        <v>12</v>
      </c>
      <c r="E40" s="105">
        <v>12</v>
      </c>
      <c r="F40" s="105">
        <v>12</v>
      </c>
      <c r="G40" s="105">
        <v>12</v>
      </c>
      <c r="H40" s="105">
        <v>12</v>
      </c>
      <c r="I40" s="105">
        <f>+[1]LMM!U64</f>
        <v>17</v>
      </c>
      <c r="J40" s="105">
        <v>8</v>
      </c>
      <c r="K40" s="105">
        <v>10</v>
      </c>
      <c r="L40" s="105">
        <v>15</v>
      </c>
      <c r="M40" s="105">
        <v>9</v>
      </c>
      <c r="N40" s="105">
        <v>12</v>
      </c>
      <c r="O40" s="105">
        <v>20</v>
      </c>
      <c r="P40" s="106">
        <f>+SUM(D40:O40)</f>
        <v>151</v>
      </c>
      <c r="Q40" s="1"/>
      <c r="R40" s="1"/>
      <c r="S40" s="3"/>
      <c r="T40" s="68"/>
      <c r="U40" s="72"/>
      <c r="V40" s="1"/>
      <c r="W40" s="68"/>
      <c r="X40" s="72"/>
    </row>
    <row r="41" spans="1:24" x14ac:dyDescent="0.35">
      <c r="A41" s="86"/>
      <c r="B41" s="1"/>
      <c r="C41" s="1"/>
      <c r="D41" s="107"/>
      <c r="E41" s="108"/>
      <c r="F41" s="107"/>
      <c r="G41" s="10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3"/>
      <c r="T41" s="68"/>
      <c r="U41" s="72"/>
      <c r="V41" s="1"/>
      <c r="W41" s="68"/>
      <c r="X41" s="72"/>
    </row>
    <row r="42" spans="1:24" ht="15.5" x14ac:dyDescent="0.35">
      <c r="A42" s="219" t="s">
        <v>60</v>
      </c>
      <c r="B42" s="29" t="s">
        <v>61</v>
      </c>
      <c r="C42" s="99"/>
      <c r="D42" s="99" t="s">
        <v>62</v>
      </c>
      <c r="E42" s="100" t="s">
        <v>63</v>
      </c>
      <c r="F42" s="99" t="s">
        <v>64</v>
      </c>
      <c r="G42" s="99" t="s">
        <v>65</v>
      </c>
      <c r="H42" s="99" t="s">
        <v>66</v>
      </c>
      <c r="I42" s="99" t="s">
        <v>67</v>
      </c>
      <c r="J42" s="99" t="s">
        <v>68</v>
      </c>
      <c r="K42" s="99" t="s">
        <v>69</v>
      </c>
      <c r="L42" s="99" t="s">
        <v>70</v>
      </c>
      <c r="M42" s="99" t="s">
        <v>71</v>
      </c>
      <c r="N42" s="99" t="s">
        <v>72</v>
      </c>
      <c r="O42" s="99" t="s">
        <v>73</v>
      </c>
      <c r="P42" s="101" t="s">
        <v>74</v>
      </c>
      <c r="Q42" s="5"/>
      <c r="R42" s="5"/>
      <c r="S42" s="3"/>
      <c r="T42" s="68"/>
      <c r="U42" s="72"/>
      <c r="V42" s="1"/>
      <c r="W42" s="68"/>
      <c r="X42" s="72"/>
    </row>
    <row r="43" spans="1:24" x14ac:dyDescent="0.35">
      <c r="A43" s="219"/>
      <c r="B43" s="1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1"/>
      <c r="Q43" s="1"/>
      <c r="R43" s="1"/>
      <c r="S43" s="3"/>
      <c r="T43" s="68"/>
      <c r="U43" s="72"/>
      <c r="V43" s="1"/>
      <c r="W43" s="68"/>
      <c r="X43" s="72"/>
    </row>
    <row r="44" spans="1:24" x14ac:dyDescent="0.35">
      <c r="A44" s="223"/>
      <c r="B44" s="112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4"/>
      <c r="Q44" s="1"/>
      <c r="R44" s="1"/>
      <c r="S44" s="3"/>
      <c r="T44" s="1"/>
      <c r="U44" s="1"/>
      <c r="V44" s="4"/>
      <c r="W44" s="68"/>
      <c r="X44" s="72"/>
    </row>
    <row r="45" spans="1:24" x14ac:dyDescent="0.35">
      <c r="A45" s="1"/>
      <c r="B45" s="1"/>
      <c r="C45" s="115"/>
      <c r="D45" s="1"/>
      <c r="E45" s="2"/>
      <c r="F45" s="1"/>
      <c r="G45" s="1"/>
      <c r="H45" s="1"/>
      <c r="I45" s="1"/>
      <c r="J45" s="1"/>
      <c r="K45" s="1"/>
      <c r="L45" s="1"/>
      <c r="M45" s="1"/>
      <c r="N45" s="115"/>
      <c r="O45" s="115"/>
      <c r="P45" s="115"/>
      <c r="Q45" s="1"/>
      <c r="R45" s="1"/>
      <c r="S45" s="3"/>
      <c r="T45" s="1"/>
      <c r="U45" s="4"/>
      <c r="V45" s="4"/>
      <c r="W45" s="68"/>
      <c r="X45" s="72"/>
    </row>
    <row r="46" spans="1:24" ht="15.5" x14ac:dyDescent="0.35">
      <c r="A46" s="116"/>
      <c r="B46" s="117"/>
      <c r="C46" s="118"/>
      <c r="D46" s="117"/>
      <c r="E46" s="119" t="s">
        <v>75</v>
      </c>
      <c r="F46" s="217" t="s">
        <v>76</v>
      </c>
      <c r="G46" s="217"/>
      <c r="H46" s="217"/>
      <c r="I46" s="217"/>
      <c r="J46" s="217"/>
      <c r="K46" s="217"/>
      <c r="L46" s="118" t="s">
        <v>69</v>
      </c>
      <c r="M46" s="118" t="s">
        <v>69</v>
      </c>
      <c r="N46" s="118" t="s">
        <v>69</v>
      </c>
      <c r="O46" s="118" t="s">
        <v>69</v>
      </c>
      <c r="P46" s="118" t="s">
        <v>69</v>
      </c>
      <c r="Q46" s="118" t="s">
        <v>70</v>
      </c>
      <c r="R46" s="118"/>
      <c r="S46" s="118" t="s">
        <v>71</v>
      </c>
      <c r="T46" s="118" t="s">
        <v>72</v>
      </c>
      <c r="U46" s="118" t="s">
        <v>73</v>
      </c>
      <c r="V46" s="120"/>
      <c r="W46" s="120"/>
      <c r="X46" s="121"/>
    </row>
    <row r="47" spans="1:24" x14ac:dyDescent="0.35">
      <c r="A47" s="122" t="s">
        <v>77</v>
      </c>
      <c r="B47" s="123" t="s">
        <v>78</v>
      </c>
      <c r="C47" s="124"/>
      <c r="D47" s="125" t="s">
        <v>79</v>
      </c>
      <c r="E47" s="126" t="s">
        <v>80</v>
      </c>
      <c r="F47" s="225" t="s">
        <v>81</v>
      </c>
      <c r="G47" s="225"/>
      <c r="H47" s="225"/>
      <c r="I47" s="225"/>
      <c r="J47" s="225"/>
      <c r="K47" s="225"/>
      <c r="L47" s="124"/>
      <c r="M47" s="124">
        <f t="shared" ref="M47:P47" si="10">+N47-7</f>
        <v>45069</v>
      </c>
      <c r="N47" s="124">
        <f t="shared" si="10"/>
        <v>45076</v>
      </c>
      <c r="O47" s="124">
        <f t="shared" si="10"/>
        <v>45083</v>
      </c>
      <c r="P47" s="124">
        <f t="shared" si="10"/>
        <v>45090</v>
      </c>
      <c r="Q47" s="124">
        <f t="shared" ref="Q47" si="11">+S47-7</f>
        <v>45097</v>
      </c>
      <c r="R47" s="124"/>
      <c r="S47" s="124">
        <f t="shared" ref="S47" si="12">+T47-7</f>
        <v>45104</v>
      </c>
      <c r="T47" s="124">
        <f>+U47-7</f>
        <v>45111</v>
      </c>
      <c r="U47" s="124">
        <v>45118</v>
      </c>
      <c r="V47" s="125" t="s">
        <v>82</v>
      </c>
      <c r="W47" s="125" t="s">
        <v>83</v>
      </c>
      <c r="X47" s="127" t="s">
        <v>84</v>
      </c>
    </row>
    <row r="48" spans="1:24" x14ac:dyDescent="0.35">
      <c r="A48" s="128" t="s">
        <v>47</v>
      </c>
      <c r="B48" s="128" t="s">
        <v>85</v>
      </c>
      <c r="C48" s="4"/>
      <c r="D48" s="129">
        <v>10.909000000000001</v>
      </c>
      <c r="E48" s="68" t="s">
        <v>86</v>
      </c>
      <c r="F48" s="224" t="s">
        <v>87</v>
      </c>
      <c r="G48" s="224"/>
      <c r="H48" s="224"/>
      <c r="I48" s="224"/>
      <c r="J48" s="224"/>
      <c r="K48" s="224"/>
      <c r="L48" s="4"/>
      <c r="M48" s="130" t="s">
        <v>88</v>
      </c>
      <c r="N48" s="131" t="s">
        <v>89</v>
      </c>
      <c r="O48" s="131" t="s">
        <v>89</v>
      </c>
      <c r="P48" s="131" t="s">
        <v>89</v>
      </c>
      <c r="Q48" s="131" t="s">
        <v>89</v>
      </c>
      <c r="R48" s="131"/>
      <c r="S48" s="131" t="s">
        <v>89</v>
      </c>
      <c r="T48" s="131" t="s">
        <v>89</v>
      </c>
      <c r="U48" s="131" t="s">
        <v>89</v>
      </c>
      <c r="V48" s="4" t="s">
        <v>90</v>
      </c>
      <c r="W48" s="132" t="s">
        <v>91</v>
      </c>
      <c r="X48" s="133" t="str">
        <f t="shared" ref="X48:X62" si="13">+E48</f>
        <v>LMM 1</v>
      </c>
    </row>
    <row r="49" spans="1:24" x14ac:dyDescent="0.35">
      <c r="A49" s="134" t="s">
        <v>92</v>
      </c>
      <c r="B49" s="134" t="s">
        <v>93</v>
      </c>
      <c r="C49" s="135"/>
      <c r="D49" s="136">
        <v>31</v>
      </c>
      <c r="E49" s="137" t="s">
        <v>94</v>
      </c>
      <c r="F49" s="226" t="s">
        <v>95</v>
      </c>
      <c r="G49" s="226"/>
      <c r="H49" s="226"/>
      <c r="I49" s="226"/>
      <c r="J49" s="226"/>
      <c r="K49" s="226"/>
      <c r="L49" s="138" t="s">
        <v>89</v>
      </c>
      <c r="M49" s="138" t="s">
        <v>89</v>
      </c>
      <c r="N49" s="138" t="s">
        <v>89</v>
      </c>
      <c r="O49" s="138" t="s">
        <v>89</v>
      </c>
      <c r="P49" s="138" t="s">
        <v>89</v>
      </c>
      <c r="Q49" s="138" t="s">
        <v>89</v>
      </c>
      <c r="R49" s="138"/>
      <c r="S49" s="138" t="s">
        <v>89</v>
      </c>
      <c r="T49" s="138" t="s">
        <v>89</v>
      </c>
      <c r="U49" s="138" t="s">
        <v>89</v>
      </c>
      <c r="V49" s="135" t="s">
        <v>90</v>
      </c>
      <c r="W49" s="139" t="s">
        <v>91</v>
      </c>
      <c r="X49" s="140" t="str">
        <f t="shared" si="13"/>
        <v>LMM 4</v>
      </c>
    </row>
    <row r="50" spans="1:24" x14ac:dyDescent="0.35">
      <c r="A50" s="134" t="s">
        <v>92</v>
      </c>
      <c r="B50" s="134" t="s">
        <v>96</v>
      </c>
      <c r="C50" s="135"/>
      <c r="D50" s="141">
        <v>14</v>
      </c>
      <c r="E50" s="137" t="s">
        <v>97</v>
      </c>
      <c r="F50" s="226" t="s">
        <v>98</v>
      </c>
      <c r="G50" s="226"/>
      <c r="H50" s="226"/>
      <c r="I50" s="226"/>
      <c r="J50" s="226"/>
      <c r="K50" s="226"/>
      <c r="L50" s="138" t="s">
        <v>89</v>
      </c>
      <c r="M50" s="138" t="s">
        <v>89</v>
      </c>
      <c r="N50" s="138" t="s">
        <v>89</v>
      </c>
      <c r="O50" s="138" t="s">
        <v>89</v>
      </c>
      <c r="P50" s="138" t="s">
        <v>99</v>
      </c>
      <c r="Q50" s="138" t="s">
        <v>89</v>
      </c>
      <c r="R50" s="138"/>
      <c r="S50" s="138" t="s">
        <v>89</v>
      </c>
      <c r="T50" s="138" t="s">
        <v>89</v>
      </c>
      <c r="U50" s="138" t="s">
        <v>89</v>
      </c>
      <c r="V50" s="135" t="s">
        <v>100</v>
      </c>
      <c r="W50" s="139" t="s">
        <v>91</v>
      </c>
      <c r="X50" s="140" t="str">
        <f t="shared" si="13"/>
        <v>LMM 3</v>
      </c>
    </row>
    <row r="51" spans="1:24" x14ac:dyDescent="0.35">
      <c r="A51" s="128" t="s">
        <v>92</v>
      </c>
      <c r="B51" s="128" t="s">
        <v>101</v>
      </c>
      <c r="C51" s="4"/>
      <c r="D51" s="129">
        <v>17</v>
      </c>
      <c r="E51" s="68" t="s">
        <v>94</v>
      </c>
      <c r="F51" s="224" t="s">
        <v>87</v>
      </c>
      <c r="G51" s="224"/>
      <c r="H51" s="224"/>
      <c r="I51" s="224"/>
      <c r="J51" s="224"/>
      <c r="K51" s="224"/>
      <c r="L51" s="131" t="s">
        <v>89</v>
      </c>
      <c r="M51" s="131" t="s">
        <v>89</v>
      </c>
      <c r="N51" s="131" t="s">
        <v>89</v>
      </c>
      <c r="O51" s="131" t="s">
        <v>89</v>
      </c>
      <c r="P51" s="131" t="s">
        <v>89</v>
      </c>
      <c r="Q51" s="131" t="s">
        <v>89</v>
      </c>
      <c r="R51" s="131"/>
      <c r="S51" s="131" t="s">
        <v>89</v>
      </c>
      <c r="T51" s="131" t="s">
        <v>89</v>
      </c>
      <c r="U51" s="131" t="s">
        <v>89</v>
      </c>
      <c r="V51" s="4" t="s">
        <v>100</v>
      </c>
      <c r="W51" s="132" t="s">
        <v>91</v>
      </c>
      <c r="X51" s="133" t="str">
        <f t="shared" si="13"/>
        <v>LMM 4</v>
      </c>
    </row>
    <row r="52" spans="1:24" x14ac:dyDescent="0.35">
      <c r="A52" s="128" t="s">
        <v>92</v>
      </c>
      <c r="B52" s="128" t="s">
        <v>102</v>
      </c>
      <c r="C52" s="4"/>
      <c r="D52" s="142">
        <v>7.17</v>
      </c>
      <c r="E52" s="68" t="s">
        <v>94</v>
      </c>
      <c r="F52" s="224" t="s">
        <v>103</v>
      </c>
      <c r="G52" s="224"/>
      <c r="H52" s="224"/>
      <c r="I52" s="224"/>
      <c r="J52" s="224"/>
      <c r="K52" s="224"/>
      <c r="L52" s="4"/>
      <c r="M52" s="4"/>
      <c r="N52" s="4"/>
      <c r="O52" s="130" t="s">
        <v>88</v>
      </c>
      <c r="P52" s="131" t="s">
        <v>89</v>
      </c>
      <c r="Q52" s="131" t="s">
        <v>89</v>
      </c>
      <c r="R52" s="131"/>
      <c r="S52" s="131" t="s">
        <v>89</v>
      </c>
      <c r="T52" s="131" t="s">
        <v>89</v>
      </c>
      <c r="U52" s="131" t="s">
        <v>89</v>
      </c>
      <c r="V52" s="4" t="s">
        <v>100</v>
      </c>
      <c r="W52" s="132" t="s">
        <v>91</v>
      </c>
      <c r="X52" s="133" t="str">
        <f t="shared" si="13"/>
        <v>LMM 4</v>
      </c>
    </row>
    <row r="53" spans="1:24" x14ac:dyDescent="0.35">
      <c r="A53" s="128" t="s">
        <v>92</v>
      </c>
      <c r="B53" s="128" t="s">
        <v>104</v>
      </c>
      <c r="C53" s="4"/>
      <c r="D53" s="142">
        <v>6.5</v>
      </c>
      <c r="E53" s="68" t="s">
        <v>105</v>
      </c>
      <c r="F53" s="224" t="s">
        <v>106</v>
      </c>
      <c r="G53" s="224"/>
      <c r="H53" s="224"/>
      <c r="I53" s="224"/>
      <c r="J53" s="224"/>
      <c r="K53" s="224"/>
      <c r="L53" s="131" t="s">
        <v>89</v>
      </c>
      <c r="M53" s="131" t="s">
        <v>89</v>
      </c>
      <c r="N53" s="131" t="s">
        <v>89</v>
      </c>
      <c r="O53" s="143" t="s">
        <v>99</v>
      </c>
      <c r="P53" s="143" t="s">
        <v>99</v>
      </c>
      <c r="Q53" s="143" t="s">
        <v>99</v>
      </c>
      <c r="R53" s="143"/>
      <c r="S53" s="131" t="s">
        <v>89</v>
      </c>
      <c r="T53" s="131" t="s">
        <v>89</v>
      </c>
      <c r="U53" s="131" t="s">
        <v>89</v>
      </c>
      <c r="V53" s="4" t="s">
        <v>100</v>
      </c>
      <c r="W53" s="132" t="s">
        <v>91</v>
      </c>
      <c r="X53" s="133" t="str">
        <f t="shared" si="13"/>
        <v>LMM 5</v>
      </c>
    </row>
    <row r="54" spans="1:24" x14ac:dyDescent="0.35">
      <c r="A54" s="128" t="s">
        <v>47</v>
      </c>
      <c r="B54" s="128" t="s">
        <v>107</v>
      </c>
      <c r="C54" s="4"/>
      <c r="D54" s="142">
        <v>4.5</v>
      </c>
      <c r="E54" s="68" t="s">
        <v>108</v>
      </c>
      <c r="F54" s="224" t="s">
        <v>109</v>
      </c>
      <c r="G54" s="224"/>
      <c r="H54" s="224"/>
      <c r="I54" s="224"/>
      <c r="J54" s="224"/>
      <c r="K54" s="224"/>
      <c r="L54" s="4"/>
      <c r="M54" s="4"/>
      <c r="N54" s="4"/>
      <c r="O54" s="4"/>
      <c r="P54" s="130" t="s">
        <v>88</v>
      </c>
      <c r="Q54" s="131" t="s">
        <v>89</v>
      </c>
      <c r="R54" s="131"/>
      <c r="S54" s="131" t="s">
        <v>89</v>
      </c>
      <c r="T54" s="131" t="s">
        <v>89</v>
      </c>
      <c r="U54" s="131" t="s">
        <v>89</v>
      </c>
      <c r="V54" s="4" t="s">
        <v>90</v>
      </c>
      <c r="W54" s="132" t="s">
        <v>91</v>
      </c>
      <c r="X54" s="133" t="str">
        <f t="shared" si="13"/>
        <v>LMM 2</v>
      </c>
    </row>
    <row r="55" spans="1:24" x14ac:dyDescent="0.35">
      <c r="A55" s="128" t="s">
        <v>92</v>
      </c>
      <c r="B55" s="128" t="s">
        <v>110</v>
      </c>
      <c r="C55" s="4"/>
      <c r="D55" s="142">
        <v>3.5</v>
      </c>
      <c r="E55" s="68" t="s">
        <v>94</v>
      </c>
      <c r="F55" s="224" t="s">
        <v>109</v>
      </c>
      <c r="G55" s="224"/>
      <c r="H55" s="224"/>
      <c r="I55" s="224"/>
      <c r="J55" s="224"/>
      <c r="K55" s="224"/>
      <c r="L55" s="131" t="s">
        <v>89</v>
      </c>
      <c r="M55" s="131" t="s">
        <v>89</v>
      </c>
      <c r="N55" s="131" t="s">
        <v>89</v>
      </c>
      <c r="O55" s="131" t="s">
        <v>89</v>
      </c>
      <c r="P55" s="131" t="s">
        <v>89</v>
      </c>
      <c r="Q55" s="131" t="s">
        <v>89</v>
      </c>
      <c r="R55" s="131"/>
      <c r="S55" s="131" t="s">
        <v>89</v>
      </c>
      <c r="T55" s="131" t="s">
        <v>89</v>
      </c>
      <c r="U55" s="131" t="s">
        <v>89</v>
      </c>
      <c r="V55" s="4" t="s">
        <v>100</v>
      </c>
      <c r="W55" s="132" t="s">
        <v>91</v>
      </c>
      <c r="X55" s="133" t="str">
        <f t="shared" si="13"/>
        <v>LMM 4</v>
      </c>
    </row>
    <row r="56" spans="1:24" x14ac:dyDescent="0.35">
      <c r="A56" s="128" t="s">
        <v>92</v>
      </c>
      <c r="B56" s="128" t="s">
        <v>111</v>
      </c>
      <c r="C56" s="4"/>
      <c r="D56" s="142">
        <v>2</v>
      </c>
      <c r="E56" s="68" t="s">
        <v>97</v>
      </c>
      <c r="F56" s="224" t="s">
        <v>109</v>
      </c>
      <c r="G56" s="224"/>
      <c r="H56" s="224"/>
      <c r="I56" s="224"/>
      <c r="J56" s="224"/>
      <c r="K56" s="224"/>
      <c r="L56" s="131" t="s">
        <v>89</v>
      </c>
      <c r="M56" s="131" t="s">
        <v>89</v>
      </c>
      <c r="N56" s="131" t="s">
        <v>89</v>
      </c>
      <c r="O56" s="131" t="s">
        <v>89</v>
      </c>
      <c r="P56" s="131" t="s">
        <v>89</v>
      </c>
      <c r="Q56" s="131" t="s">
        <v>89</v>
      </c>
      <c r="R56" s="131"/>
      <c r="S56" s="131" t="s">
        <v>89</v>
      </c>
      <c r="T56" s="131" t="s">
        <v>89</v>
      </c>
      <c r="U56" s="131" t="s">
        <v>89</v>
      </c>
      <c r="V56" s="4" t="s">
        <v>100</v>
      </c>
      <c r="W56" s="132" t="s">
        <v>91</v>
      </c>
      <c r="X56" s="133" t="str">
        <f t="shared" si="13"/>
        <v>LMM 3</v>
      </c>
    </row>
    <row r="57" spans="1:24" x14ac:dyDescent="0.35">
      <c r="A57" s="128" t="s">
        <v>92</v>
      </c>
      <c r="B57" s="128" t="s">
        <v>112</v>
      </c>
      <c r="C57" s="4"/>
      <c r="D57" s="142">
        <v>5.5</v>
      </c>
      <c r="E57" s="68" t="s">
        <v>86</v>
      </c>
      <c r="F57" s="224" t="s">
        <v>113</v>
      </c>
      <c r="G57" s="224"/>
      <c r="H57" s="224"/>
      <c r="I57" s="224"/>
      <c r="J57" s="224"/>
      <c r="K57" s="224"/>
      <c r="L57" s="131" t="s">
        <v>89</v>
      </c>
      <c r="M57" s="131" t="s">
        <v>89</v>
      </c>
      <c r="N57" s="131" t="s">
        <v>89</v>
      </c>
      <c r="O57" s="131" t="s">
        <v>89</v>
      </c>
      <c r="P57" s="131" t="s">
        <v>89</v>
      </c>
      <c r="Q57" s="131" t="s">
        <v>89</v>
      </c>
      <c r="R57" s="131"/>
      <c r="S57" s="131" t="s">
        <v>89</v>
      </c>
      <c r="T57" s="131" t="s">
        <v>89</v>
      </c>
      <c r="U57" s="131" t="s">
        <v>89</v>
      </c>
      <c r="V57" s="4" t="s">
        <v>100</v>
      </c>
      <c r="W57" s="132" t="s">
        <v>91</v>
      </c>
      <c r="X57" s="133" t="str">
        <f t="shared" si="13"/>
        <v>LMM 1</v>
      </c>
    </row>
    <row r="58" spans="1:24" x14ac:dyDescent="0.35">
      <c r="A58" s="128" t="s">
        <v>92</v>
      </c>
      <c r="B58" s="128" t="s">
        <v>114</v>
      </c>
      <c r="C58" s="4"/>
      <c r="D58" s="142">
        <v>4</v>
      </c>
      <c r="E58" s="68" t="s">
        <v>94</v>
      </c>
      <c r="F58" s="224" t="s">
        <v>109</v>
      </c>
      <c r="G58" s="224"/>
      <c r="H58" s="224"/>
      <c r="I58" s="224"/>
      <c r="J58" s="224"/>
      <c r="K58" s="224"/>
      <c r="L58" s="131" t="s">
        <v>89</v>
      </c>
      <c r="M58" s="131" t="s">
        <v>89</v>
      </c>
      <c r="N58" s="131" t="s">
        <v>89</v>
      </c>
      <c r="O58" s="131" t="s">
        <v>89</v>
      </c>
      <c r="P58" s="131" t="s">
        <v>89</v>
      </c>
      <c r="Q58" s="131" t="s">
        <v>89</v>
      </c>
      <c r="R58" s="131"/>
      <c r="S58" s="131" t="s">
        <v>89</v>
      </c>
      <c r="T58" s="131" t="s">
        <v>89</v>
      </c>
      <c r="U58" s="131" t="s">
        <v>89</v>
      </c>
      <c r="V58" s="4" t="s">
        <v>100</v>
      </c>
      <c r="W58" s="132" t="s">
        <v>91</v>
      </c>
      <c r="X58" s="133" t="str">
        <f t="shared" si="13"/>
        <v>LMM 4</v>
      </c>
    </row>
    <row r="59" spans="1:24" x14ac:dyDescent="0.35">
      <c r="A59" s="128" t="s">
        <v>92</v>
      </c>
      <c r="B59" s="128" t="s">
        <v>115</v>
      </c>
      <c r="C59" s="4"/>
      <c r="D59" s="142">
        <v>5.87</v>
      </c>
      <c r="E59" s="68" t="s">
        <v>94</v>
      </c>
      <c r="F59" s="224" t="s">
        <v>109</v>
      </c>
      <c r="G59" s="224"/>
      <c r="H59" s="224"/>
      <c r="I59" s="224"/>
      <c r="J59" s="224"/>
      <c r="K59" s="224"/>
      <c r="L59" s="131" t="s">
        <v>89</v>
      </c>
      <c r="M59" s="131" t="s">
        <v>89</v>
      </c>
      <c r="N59" s="131" t="s">
        <v>89</v>
      </c>
      <c r="O59" s="131" t="s">
        <v>89</v>
      </c>
      <c r="P59" s="131" t="s">
        <v>89</v>
      </c>
      <c r="Q59" s="131" t="s">
        <v>89</v>
      </c>
      <c r="R59" s="131"/>
      <c r="S59" s="131" t="s">
        <v>89</v>
      </c>
      <c r="T59" s="131" t="s">
        <v>89</v>
      </c>
      <c r="U59" s="131" t="s">
        <v>89</v>
      </c>
      <c r="V59" s="4" t="s">
        <v>100</v>
      </c>
      <c r="W59" s="132" t="s">
        <v>91</v>
      </c>
      <c r="X59" s="133" t="str">
        <f t="shared" si="13"/>
        <v>LMM 4</v>
      </c>
    </row>
    <row r="60" spans="1:24" x14ac:dyDescent="0.35">
      <c r="A60" s="128" t="s">
        <v>47</v>
      </c>
      <c r="B60" s="128" t="s">
        <v>116</v>
      </c>
      <c r="C60" s="4"/>
      <c r="D60" s="142">
        <f>0.6*17</f>
        <v>10.199999999999999</v>
      </c>
      <c r="E60" s="68" t="s">
        <v>94</v>
      </c>
      <c r="F60" s="224" t="s">
        <v>117</v>
      </c>
      <c r="G60" s="224"/>
      <c r="H60" s="224"/>
      <c r="I60" s="224"/>
      <c r="J60" s="224"/>
      <c r="K60" s="224"/>
      <c r="L60" s="131" t="s">
        <v>89</v>
      </c>
      <c r="M60" s="131" t="s">
        <v>89</v>
      </c>
      <c r="N60" s="131" t="s">
        <v>89</v>
      </c>
      <c r="O60" s="131" t="s">
        <v>89</v>
      </c>
      <c r="P60" s="131" t="s">
        <v>89</v>
      </c>
      <c r="Q60" s="131" t="s">
        <v>89</v>
      </c>
      <c r="R60" s="131"/>
      <c r="S60" s="131" t="s">
        <v>89</v>
      </c>
      <c r="T60" s="131" t="s">
        <v>89</v>
      </c>
      <c r="U60" s="131" t="s">
        <v>89</v>
      </c>
      <c r="V60" s="4" t="s">
        <v>100</v>
      </c>
      <c r="W60" s="132" t="s">
        <v>91</v>
      </c>
      <c r="X60" s="133" t="str">
        <f t="shared" si="13"/>
        <v>LMM 4</v>
      </c>
    </row>
    <row r="61" spans="1:24" x14ac:dyDescent="0.35">
      <c r="A61" s="128" t="s">
        <v>47</v>
      </c>
      <c r="B61" s="128" t="s">
        <v>118</v>
      </c>
      <c r="C61" s="4"/>
      <c r="D61" s="142">
        <v>10</v>
      </c>
      <c r="E61" s="68" t="s">
        <v>108</v>
      </c>
      <c r="F61" s="224" t="s">
        <v>117</v>
      </c>
      <c r="G61" s="224"/>
      <c r="H61" s="224"/>
      <c r="I61" s="224"/>
      <c r="J61" s="224"/>
      <c r="K61" s="224"/>
      <c r="L61" s="144"/>
      <c r="M61" s="144"/>
      <c r="N61" s="144"/>
      <c r="O61" s="130" t="s">
        <v>88</v>
      </c>
      <c r="P61" s="131" t="s">
        <v>89</v>
      </c>
      <c r="Q61" s="131" t="s">
        <v>89</v>
      </c>
      <c r="R61" s="131"/>
      <c r="S61" s="131" t="s">
        <v>89</v>
      </c>
      <c r="T61" s="131" t="s">
        <v>89</v>
      </c>
      <c r="U61" s="131" t="s">
        <v>89</v>
      </c>
      <c r="V61" s="4" t="s">
        <v>100</v>
      </c>
      <c r="W61" s="132" t="s">
        <v>91</v>
      </c>
      <c r="X61" s="133" t="str">
        <f t="shared" si="13"/>
        <v>LMM 2</v>
      </c>
    </row>
    <row r="62" spans="1:24" x14ac:dyDescent="0.35">
      <c r="A62" s="128" t="s">
        <v>47</v>
      </c>
      <c r="B62" s="128" t="s">
        <v>107</v>
      </c>
      <c r="C62" s="4"/>
      <c r="D62" s="142">
        <v>4.5</v>
      </c>
      <c r="E62" s="68" t="s">
        <v>108</v>
      </c>
      <c r="F62" s="224" t="s">
        <v>117</v>
      </c>
      <c r="G62" s="224"/>
      <c r="H62" s="224"/>
      <c r="I62" s="224"/>
      <c r="J62" s="224"/>
      <c r="K62" s="224"/>
      <c r="L62" s="144"/>
      <c r="M62" s="144"/>
      <c r="N62" s="144"/>
      <c r="O62" s="144"/>
      <c r="P62" s="130" t="s">
        <v>88</v>
      </c>
      <c r="Q62" s="131" t="s">
        <v>89</v>
      </c>
      <c r="R62" s="131"/>
      <c r="S62" s="131" t="s">
        <v>89</v>
      </c>
      <c r="T62" s="131" t="s">
        <v>89</v>
      </c>
      <c r="U62" s="131" t="s">
        <v>89</v>
      </c>
      <c r="V62" s="4" t="s">
        <v>100</v>
      </c>
      <c r="W62" s="132" t="s">
        <v>91</v>
      </c>
      <c r="X62" s="133" t="str">
        <f t="shared" si="13"/>
        <v>LMM 2</v>
      </c>
    </row>
    <row r="63" spans="1:24" x14ac:dyDescent="0.35">
      <c r="A63" s="134" t="s">
        <v>92</v>
      </c>
      <c r="B63" s="134" t="s">
        <v>119</v>
      </c>
      <c r="C63" s="135"/>
      <c r="D63" s="136">
        <f>1.8*16.73</f>
        <v>30.114000000000001</v>
      </c>
      <c r="E63" s="137" t="s">
        <v>94</v>
      </c>
      <c r="F63" s="226" t="s">
        <v>95</v>
      </c>
      <c r="G63" s="226"/>
      <c r="H63" s="226"/>
      <c r="I63" s="226"/>
      <c r="J63" s="226"/>
      <c r="K63" s="226"/>
      <c r="L63" s="138" t="s">
        <v>89</v>
      </c>
      <c r="M63" s="138" t="s">
        <v>89</v>
      </c>
      <c r="N63" s="138" t="s">
        <v>89</v>
      </c>
      <c r="O63" s="138" t="s">
        <v>89</v>
      </c>
      <c r="P63" s="138" t="s">
        <v>89</v>
      </c>
      <c r="Q63" s="138" t="s">
        <v>89</v>
      </c>
      <c r="R63" s="138"/>
      <c r="S63" s="138" t="s">
        <v>89</v>
      </c>
      <c r="T63" s="138" t="s">
        <v>89</v>
      </c>
      <c r="U63" s="138" t="s">
        <v>89</v>
      </c>
      <c r="V63" s="135" t="s">
        <v>100</v>
      </c>
      <c r="W63" s="139" t="s">
        <v>91</v>
      </c>
      <c r="X63" s="140" t="str">
        <f t="shared" ref="X63" si="14">+E63</f>
        <v>LMM 4</v>
      </c>
    </row>
    <row r="64" spans="1:24" x14ac:dyDescent="0.35">
      <c r="A64" s="128"/>
      <c r="B64" s="128"/>
      <c r="C64" s="4"/>
      <c r="D64" s="142"/>
      <c r="E64" s="68"/>
      <c r="F64" s="224"/>
      <c r="G64" s="224"/>
      <c r="H64" s="224"/>
      <c r="I64" s="224"/>
      <c r="J64" s="224"/>
      <c r="K64" s="22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4"/>
      <c r="W64" s="132"/>
      <c r="X64" s="111"/>
    </row>
    <row r="65" spans="1:24" x14ac:dyDescent="0.35">
      <c r="A65" s="128"/>
      <c r="B65" s="128"/>
      <c r="C65" s="4"/>
      <c r="D65" s="142"/>
      <c r="E65" s="68"/>
      <c r="F65" s="224"/>
      <c r="G65" s="224"/>
      <c r="H65" s="224"/>
      <c r="I65" s="224"/>
      <c r="J65" s="224"/>
      <c r="K65" s="224"/>
      <c r="L65" s="4"/>
      <c r="M65" s="144"/>
      <c r="N65" s="144"/>
      <c r="O65" s="144"/>
      <c r="P65" s="144"/>
      <c r="Q65" s="144"/>
      <c r="R65" s="144"/>
      <c r="S65" s="144"/>
      <c r="T65" s="144"/>
      <c r="U65" s="144"/>
      <c r="V65" s="4"/>
      <c r="W65" s="132"/>
      <c r="X65" s="111"/>
    </row>
    <row r="66" spans="1:24" x14ac:dyDescent="0.3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3"/>
      <c r="T66" s="1"/>
      <c r="U66" s="4"/>
      <c r="V66" s="4"/>
      <c r="W66" s="4"/>
      <c r="X66" s="4"/>
    </row>
    <row r="67" spans="1:24" x14ac:dyDescent="0.3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3"/>
      <c r="T67" s="1"/>
      <c r="U67" s="4"/>
      <c r="V67" s="4"/>
      <c r="W67" s="4"/>
      <c r="X67" s="4"/>
    </row>
    <row r="68" spans="1:24" x14ac:dyDescent="0.3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3"/>
      <c r="T68" s="1"/>
      <c r="U68" s="4"/>
      <c r="V68" s="4"/>
      <c r="W68" s="4"/>
      <c r="X68" s="4"/>
    </row>
    <row r="69" spans="1:24" x14ac:dyDescent="0.3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3"/>
      <c r="T69" s="1"/>
      <c r="U69" s="4"/>
      <c r="V69" s="4"/>
      <c r="W69" s="4"/>
      <c r="X69" s="4"/>
    </row>
    <row r="70" spans="1:24" x14ac:dyDescent="0.3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3"/>
      <c r="T70" s="1"/>
      <c r="U70" s="4"/>
      <c r="V70" s="4"/>
      <c r="W70" s="4"/>
      <c r="X70" s="4"/>
    </row>
    <row r="71" spans="1:24" x14ac:dyDescent="0.3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3"/>
      <c r="T71" s="1"/>
      <c r="U71" s="4"/>
      <c r="V71" s="4"/>
      <c r="W71" s="4"/>
      <c r="X71" s="4"/>
    </row>
    <row r="72" spans="1:24" x14ac:dyDescent="0.3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3"/>
      <c r="T72" s="1"/>
      <c r="U72" s="4"/>
      <c r="V72" s="4"/>
      <c r="W72" s="4"/>
      <c r="X72" s="4"/>
    </row>
    <row r="73" spans="1:24" x14ac:dyDescent="0.3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3"/>
      <c r="T73" s="1"/>
      <c r="U73" s="4"/>
      <c r="V73" s="4"/>
      <c r="W73" s="4"/>
      <c r="X73" s="4"/>
    </row>
    <row r="74" spans="1:24" x14ac:dyDescent="0.3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3"/>
      <c r="T74" s="1"/>
      <c r="U74" s="4"/>
      <c r="V74" s="4"/>
      <c r="W74" s="4"/>
      <c r="X74" s="4"/>
    </row>
    <row r="75" spans="1:24" x14ac:dyDescent="0.3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3"/>
      <c r="T75" s="1"/>
      <c r="U75" s="4"/>
      <c r="V75" s="4"/>
      <c r="W75" s="4"/>
      <c r="X75" s="4"/>
    </row>
    <row r="76" spans="1:24" x14ac:dyDescent="0.3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3"/>
      <c r="T76" s="1"/>
      <c r="U76" s="4"/>
      <c r="V76" s="4"/>
      <c r="W76" s="4"/>
      <c r="X76" s="4"/>
    </row>
    <row r="77" spans="1:24" x14ac:dyDescent="0.3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3"/>
      <c r="T77" s="1"/>
      <c r="U77" s="4"/>
      <c r="V77" s="4"/>
      <c r="W77" s="4"/>
      <c r="X77" s="4"/>
    </row>
    <row r="78" spans="1:24" x14ac:dyDescent="0.3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3"/>
      <c r="T78" s="1"/>
      <c r="U78" s="4"/>
      <c r="V78" s="4"/>
      <c r="W78" s="4"/>
      <c r="X78" s="4"/>
    </row>
    <row r="79" spans="1:24" x14ac:dyDescent="0.3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3"/>
      <c r="T79" s="1"/>
      <c r="U79" s="4"/>
      <c r="V79" s="4"/>
      <c r="W79" s="4"/>
      <c r="X79" s="4"/>
    </row>
    <row r="80" spans="1:24" x14ac:dyDescent="0.3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3"/>
      <c r="T80" s="1"/>
      <c r="U80" s="4"/>
      <c r="V80" s="4"/>
      <c r="W80" s="4"/>
      <c r="X80" s="4"/>
    </row>
    <row r="81" spans="1:24" x14ac:dyDescent="0.3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3"/>
      <c r="T81" s="1"/>
      <c r="U81" s="4"/>
      <c r="V81" s="4"/>
      <c r="W81" s="4"/>
      <c r="X81" s="4"/>
    </row>
    <row r="82" spans="1:24" x14ac:dyDescent="0.3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3"/>
      <c r="T82" s="1"/>
      <c r="U82" s="4"/>
      <c r="V82" s="4"/>
      <c r="W82" s="4"/>
      <c r="X82" s="4"/>
    </row>
    <row r="83" spans="1:24" x14ac:dyDescent="0.3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3"/>
      <c r="T83" s="1"/>
      <c r="U83" s="4"/>
      <c r="V83" s="4"/>
      <c r="W83" s="4"/>
      <c r="X83" s="4"/>
    </row>
    <row r="84" spans="1:24" x14ac:dyDescent="0.3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3"/>
      <c r="T84" s="1"/>
      <c r="U84" s="4"/>
      <c r="V84" s="4"/>
      <c r="W84" s="4"/>
      <c r="X84" s="4"/>
    </row>
    <row r="85" spans="1:24" x14ac:dyDescent="0.3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3"/>
      <c r="T85" s="1"/>
      <c r="U85" s="4"/>
      <c r="V85" s="4"/>
      <c r="W85" s="4"/>
      <c r="X85" s="4"/>
    </row>
    <row r="86" spans="1:24" x14ac:dyDescent="0.3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3"/>
      <c r="T86" s="1"/>
      <c r="U86" s="4"/>
      <c r="V86" s="4"/>
      <c r="W86" s="4"/>
      <c r="X86" s="4"/>
    </row>
    <row r="87" spans="1:24" x14ac:dyDescent="0.3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3"/>
      <c r="T87" s="1"/>
      <c r="U87" s="4"/>
      <c r="V87" s="4"/>
      <c r="W87" s="4"/>
      <c r="X87" s="4"/>
    </row>
    <row r="88" spans="1:24" x14ac:dyDescent="0.3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3"/>
      <c r="T88" s="1"/>
      <c r="U88" s="4"/>
      <c r="V88" s="4"/>
      <c r="W88" s="4"/>
      <c r="X88" s="4"/>
    </row>
    <row r="89" spans="1:24" x14ac:dyDescent="0.3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3"/>
      <c r="T89" s="1"/>
      <c r="U89" s="4"/>
      <c r="V89" s="4"/>
      <c r="W89" s="4"/>
      <c r="X89" s="4"/>
    </row>
    <row r="90" spans="1:24" x14ac:dyDescent="0.3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3"/>
      <c r="T90" s="1"/>
      <c r="U90" s="4"/>
      <c r="V90" s="4"/>
      <c r="W90" s="4"/>
      <c r="X90" s="4"/>
    </row>
    <row r="91" spans="1:24" x14ac:dyDescent="0.3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3"/>
      <c r="T91" s="1"/>
      <c r="U91" s="4"/>
      <c r="V91" s="4"/>
      <c r="W91" s="4"/>
      <c r="X91" s="4"/>
    </row>
    <row r="92" spans="1:24" x14ac:dyDescent="0.3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3"/>
      <c r="T92" s="1"/>
      <c r="U92" s="4"/>
      <c r="V92" s="4"/>
      <c r="W92" s="4"/>
      <c r="X92" s="4"/>
    </row>
    <row r="93" spans="1:24" x14ac:dyDescent="0.3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3"/>
      <c r="T93" s="1"/>
      <c r="U93" s="4"/>
      <c r="V93" s="4"/>
      <c r="W93" s="4"/>
      <c r="X93" s="4"/>
    </row>
    <row r="94" spans="1:24" x14ac:dyDescent="0.3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3"/>
      <c r="T94" s="1"/>
      <c r="U94" s="4"/>
      <c r="V94" s="4"/>
      <c r="W94" s="4"/>
      <c r="X94" s="4"/>
    </row>
    <row r="95" spans="1:24" x14ac:dyDescent="0.3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3"/>
      <c r="T95" s="1"/>
      <c r="U95" s="4"/>
      <c r="V95" s="4"/>
      <c r="W95" s="4"/>
      <c r="X95" s="4"/>
    </row>
    <row r="96" spans="1:24" x14ac:dyDescent="0.3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3"/>
      <c r="T96" s="1"/>
      <c r="U96" s="4"/>
      <c r="V96" s="4"/>
      <c r="W96" s="4"/>
      <c r="X96" s="4"/>
    </row>
    <row r="97" spans="1:24" x14ac:dyDescent="0.3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3"/>
      <c r="T97" s="1"/>
      <c r="U97" s="4"/>
      <c r="V97" s="4"/>
      <c r="W97" s="4"/>
      <c r="X97" s="4"/>
    </row>
    <row r="98" spans="1:24" x14ac:dyDescent="0.3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3"/>
      <c r="T98" s="1"/>
      <c r="U98" s="4"/>
      <c r="V98" s="4"/>
      <c r="W98" s="4"/>
      <c r="X98" s="4"/>
    </row>
    <row r="99" spans="1:24" x14ac:dyDescent="0.3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3"/>
      <c r="T99" s="1"/>
      <c r="U99" s="4"/>
      <c r="V99" s="4"/>
      <c r="W99" s="4"/>
      <c r="X99" s="4"/>
    </row>
    <row r="100" spans="1:24" x14ac:dyDescent="0.3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3"/>
      <c r="T100" s="1"/>
      <c r="U100" s="4"/>
      <c r="V100" s="4"/>
      <c r="W100" s="4"/>
      <c r="X100" s="4"/>
    </row>
    <row r="101" spans="1:24" x14ac:dyDescent="0.3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3"/>
      <c r="T101" s="1"/>
      <c r="U101" s="4"/>
      <c r="V101" s="4"/>
      <c r="W101" s="4"/>
      <c r="X101" s="4"/>
    </row>
    <row r="102" spans="1:24" x14ac:dyDescent="0.3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3"/>
      <c r="T102" s="1"/>
      <c r="U102" s="4"/>
      <c r="V102" s="4"/>
      <c r="W102" s="4"/>
      <c r="X102" s="4"/>
    </row>
    <row r="103" spans="1:24" x14ac:dyDescent="0.3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3"/>
      <c r="T103" s="1"/>
      <c r="U103" s="4"/>
      <c r="V103" s="4"/>
      <c r="W103" s="4"/>
      <c r="X103" s="4"/>
    </row>
    <row r="104" spans="1:24" x14ac:dyDescent="0.3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3"/>
      <c r="T104" s="1"/>
      <c r="U104" s="4"/>
      <c r="V104" s="4"/>
      <c r="W104" s="4"/>
      <c r="X104" s="4"/>
    </row>
    <row r="105" spans="1:24" x14ac:dyDescent="0.3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3"/>
      <c r="T105" s="1"/>
      <c r="U105" s="4"/>
      <c r="V105" s="4"/>
      <c r="W105" s="4"/>
      <c r="X105" s="4"/>
    </row>
    <row r="106" spans="1:24" x14ac:dyDescent="0.3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3"/>
      <c r="T106" s="1"/>
      <c r="U106" s="4"/>
      <c r="V106" s="4"/>
      <c r="W106" s="4"/>
      <c r="X106" s="4"/>
    </row>
    <row r="107" spans="1:24" x14ac:dyDescent="0.3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3"/>
      <c r="T107" s="1"/>
      <c r="U107" s="4"/>
      <c r="V107" s="4"/>
      <c r="W107" s="4"/>
      <c r="X107" s="4"/>
    </row>
    <row r="108" spans="1:24" x14ac:dyDescent="0.3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3"/>
      <c r="T108" s="1"/>
      <c r="U108" s="4"/>
      <c r="V108" s="4"/>
      <c r="W108" s="4"/>
      <c r="X108" s="4"/>
    </row>
  </sheetData>
  <mergeCells count="37">
    <mergeCell ref="F65:K65"/>
    <mergeCell ref="F59:K59"/>
    <mergeCell ref="F60:K60"/>
    <mergeCell ref="F61:K61"/>
    <mergeCell ref="F62:K62"/>
    <mergeCell ref="F63:K63"/>
    <mergeCell ref="F64:K64"/>
    <mergeCell ref="F58:K58"/>
    <mergeCell ref="F47:K47"/>
    <mergeCell ref="F48:K48"/>
    <mergeCell ref="F49:K49"/>
    <mergeCell ref="F50:K50"/>
    <mergeCell ref="F51:K51"/>
    <mergeCell ref="F52:K52"/>
    <mergeCell ref="F53:K53"/>
    <mergeCell ref="F54:K54"/>
    <mergeCell ref="F55:K55"/>
    <mergeCell ref="F56:K56"/>
    <mergeCell ref="F57:K57"/>
    <mergeCell ref="T26:U26"/>
    <mergeCell ref="A30:A31"/>
    <mergeCell ref="A33:A34"/>
    <mergeCell ref="A38:A40"/>
    <mergeCell ref="A42:A44"/>
    <mergeCell ref="F46:K46"/>
    <mergeCell ref="A9:A10"/>
    <mergeCell ref="A11:A12"/>
    <mergeCell ref="A13:A14"/>
    <mergeCell ref="A15:A16"/>
    <mergeCell ref="A18:A19"/>
    <mergeCell ref="A22:A28"/>
    <mergeCell ref="A7:A8"/>
    <mergeCell ref="A1:B1"/>
    <mergeCell ref="P2:U2"/>
    <mergeCell ref="A3:B3"/>
    <mergeCell ref="Q3:R3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288C-0999-43AC-AB6A-CDF866915762}">
  <dimension ref="A1:AH120"/>
  <sheetViews>
    <sheetView workbookViewId="0">
      <pane xSplit="2" ySplit="4" topLeftCell="C9" activePane="bottomRight" state="frozen"/>
      <selection pane="topRight" activeCell="C1" sqref="C1"/>
      <selection pane="bottomLeft" activeCell="A5" sqref="A5"/>
      <selection pane="bottomRight" activeCell="A9" sqref="A9:A10"/>
    </sheetView>
  </sheetViews>
  <sheetFormatPr baseColWidth="10" defaultRowHeight="14.5" x14ac:dyDescent="0.35"/>
  <cols>
    <col min="1" max="1" width="27" customWidth="1"/>
    <col min="2" max="2" width="24.26953125" customWidth="1"/>
    <col min="3" max="13" width="10.7265625" customWidth="1"/>
    <col min="14" max="14" width="11" customWidth="1"/>
    <col min="15" max="15" width="9.90625" customWidth="1"/>
    <col min="16" max="16" width="10.453125" customWidth="1"/>
    <col min="17" max="17" width="10.1796875" customWidth="1"/>
    <col min="18" max="25" width="10.453125" customWidth="1"/>
    <col min="26" max="26" width="13.54296875" customWidth="1"/>
    <col min="28" max="28" width="14.1796875" customWidth="1"/>
    <col min="30" max="30" width="13.08984375" customWidth="1"/>
    <col min="33" max="33" width="12.26953125" customWidth="1"/>
  </cols>
  <sheetData>
    <row r="1" spans="1:34" ht="23.5" x14ac:dyDescent="0.55000000000000004">
      <c r="A1" s="209" t="s">
        <v>0</v>
      </c>
      <c r="B1" s="209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1"/>
      <c r="W1" s="4"/>
      <c r="X1" s="4"/>
      <c r="Y1" s="4"/>
      <c r="Z1" s="4"/>
    </row>
    <row r="2" spans="1:34" x14ac:dyDescent="0.35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231" t="s">
        <v>1</v>
      </c>
      <c r="S2" s="232"/>
      <c r="T2" s="232"/>
      <c r="U2" s="232"/>
      <c r="V2" s="232"/>
      <c r="W2" s="232"/>
      <c r="X2" s="232"/>
      <c r="Y2" s="232"/>
      <c r="Z2" s="4"/>
    </row>
    <row r="3" spans="1:34" ht="18.5" x14ac:dyDescent="0.35">
      <c r="A3" s="213" t="s">
        <v>2</v>
      </c>
      <c r="B3" s="214"/>
      <c r="C3" s="6" t="s">
        <v>3</v>
      </c>
      <c r="D3" s="6" t="s">
        <v>170</v>
      </c>
      <c r="E3" s="6" t="s">
        <v>220</v>
      </c>
      <c r="F3" s="7" t="s">
        <v>4</v>
      </c>
      <c r="G3" s="8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10" t="s">
        <v>12</v>
      </c>
      <c r="O3" s="10" t="s">
        <v>13</v>
      </c>
      <c r="P3" s="10" t="s">
        <v>14</v>
      </c>
      <c r="Q3" s="11" t="s">
        <v>15</v>
      </c>
      <c r="R3" s="7"/>
      <c r="S3" s="215">
        <v>45644</v>
      </c>
      <c r="T3" s="216"/>
      <c r="U3" s="215">
        <v>45656</v>
      </c>
      <c r="V3" s="216"/>
      <c r="W3" s="215"/>
      <c r="X3" s="216"/>
      <c r="Y3" s="215"/>
      <c r="Z3" s="216"/>
      <c r="AA3" s="215"/>
      <c r="AB3" s="216"/>
      <c r="AC3" s="215"/>
      <c r="AD3" s="216"/>
      <c r="AE3" s="215"/>
      <c r="AF3" s="216"/>
      <c r="AG3" s="215"/>
      <c r="AH3" s="216"/>
    </row>
    <row r="4" spans="1:34" ht="18.5" x14ac:dyDescent="0.35">
      <c r="A4" s="12"/>
      <c r="B4" s="13"/>
      <c r="C4" s="14"/>
      <c r="D4" s="14"/>
      <c r="E4" s="14"/>
      <c r="F4" s="15"/>
      <c r="G4" s="16"/>
      <c r="H4" s="10"/>
      <c r="I4" s="10"/>
      <c r="J4" s="10"/>
      <c r="K4" s="10"/>
      <c r="L4" s="10"/>
      <c r="M4" s="10"/>
      <c r="N4" s="10"/>
      <c r="O4" s="10"/>
      <c r="P4" s="10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</row>
    <row r="5" spans="1:34" x14ac:dyDescent="0.35">
      <c r="A5" s="207" t="s">
        <v>19</v>
      </c>
      <c r="B5" s="17" t="s">
        <v>20</v>
      </c>
      <c r="C5" s="18">
        <v>78.468000000000004</v>
      </c>
      <c r="D5" s="145">
        <v>670.22863410000002</v>
      </c>
      <c r="E5" s="145">
        <v>596.06265619999999</v>
      </c>
      <c r="F5" s="18">
        <v>596.06265619999999</v>
      </c>
      <c r="G5" s="18"/>
      <c r="H5" s="18"/>
      <c r="I5" s="18"/>
      <c r="J5" s="18"/>
      <c r="K5" s="18"/>
      <c r="L5" s="18"/>
      <c r="M5" s="19"/>
      <c r="N5" s="19"/>
      <c r="O5" s="145"/>
      <c r="P5" s="145"/>
      <c r="Q5" s="145"/>
      <c r="R5" s="18"/>
      <c r="S5" s="18">
        <v>35.307000000000002</v>
      </c>
      <c r="T5" s="145">
        <f>+S5*20.4173</f>
        <v>720.87361110000006</v>
      </c>
      <c r="U5" s="18">
        <v>29.193999999999999</v>
      </c>
      <c r="V5" s="145">
        <f>+U5*20.4173</f>
        <v>596.06265619999999</v>
      </c>
      <c r="W5" s="18"/>
      <c r="X5" s="145"/>
      <c r="Y5" s="18"/>
      <c r="Z5" s="145"/>
      <c r="AA5" s="18"/>
      <c r="AB5" s="145"/>
      <c r="AC5" s="18"/>
      <c r="AD5" s="145"/>
      <c r="AE5" s="18"/>
      <c r="AF5" s="145"/>
      <c r="AG5" s="18"/>
      <c r="AH5" s="145"/>
    </row>
    <row r="6" spans="1:34" x14ac:dyDescent="0.35">
      <c r="A6" s="208"/>
      <c r="B6" s="21" t="s">
        <v>21</v>
      </c>
      <c r="C6" s="22">
        <v>231</v>
      </c>
      <c r="D6" s="146"/>
      <c r="E6" s="146"/>
      <c r="F6" s="22"/>
      <c r="G6" s="22"/>
      <c r="H6" s="22"/>
      <c r="I6" s="22"/>
      <c r="J6" s="22"/>
      <c r="K6" s="22"/>
      <c r="L6" s="22"/>
      <c r="M6" s="22"/>
      <c r="N6" s="22"/>
      <c r="O6" s="146"/>
      <c r="P6" s="146"/>
      <c r="Q6" s="146"/>
      <c r="R6" s="22"/>
      <c r="S6" s="22">
        <v>92</v>
      </c>
      <c r="T6" s="146"/>
      <c r="U6" s="22">
        <v>78</v>
      </c>
      <c r="V6" s="146"/>
      <c r="W6" s="22"/>
      <c r="X6" s="146"/>
      <c r="Y6" s="22"/>
      <c r="Z6" s="146"/>
      <c r="AA6" s="22"/>
      <c r="AB6" s="146"/>
      <c r="AC6" s="22"/>
      <c r="AD6" s="146"/>
      <c r="AE6" s="22"/>
      <c r="AF6" s="146"/>
      <c r="AG6" s="22"/>
      <c r="AH6" s="146"/>
    </row>
    <row r="7" spans="1:34" x14ac:dyDescent="0.35">
      <c r="A7" s="207" t="s">
        <v>22</v>
      </c>
      <c r="B7" s="17" t="s">
        <v>20</v>
      </c>
      <c r="C7" s="18">
        <v>28.087</v>
      </c>
      <c r="D7" s="145">
        <v>598.36150829999997</v>
      </c>
      <c r="E7" s="145">
        <v>440.31949179999998</v>
      </c>
      <c r="F7" s="18">
        <v>440.31949179999998</v>
      </c>
      <c r="G7" s="18"/>
      <c r="H7" s="18"/>
      <c r="I7" s="18"/>
      <c r="J7" s="18"/>
      <c r="K7" s="18"/>
      <c r="L7" s="18"/>
      <c r="M7" s="19"/>
      <c r="N7" s="19"/>
      <c r="O7" s="145"/>
      <c r="P7" s="145"/>
      <c r="Q7" s="145"/>
      <c r="R7" s="18"/>
      <c r="S7" s="18">
        <v>21.552</v>
      </c>
      <c r="T7" s="145">
        <f>+S7*20.4173</f>
        <v>440.03364959999999</v>
      </c>
      <c r="U7" s="18">
        <v>21.565999999999999</v>
      </c>
      <c r="V7" s="145">
        <f>+U7*20.4173</f>
        <v>440.31949179999998</v>
      </c>
      <c r="W7" s="18"/>
      <c r="X7" s="145"/>
      <c r="Y7" s="18"/>
      <c r="Z7" s="145"/>
      <c r="AA7" s="18"/>
      <c r="AB7" s="145"/>
      <c r="AC7" s="18"/>
      <c r="AD7" s="145"/>
      <c r="AE7" s="18"/>
      <c r="AF7" s="145"/>
      <c r="AG7" s="18"/>
      <c r="AH7" s="145"/>
    </row>
    <row r="8" spans="1:34" x14ac:dyDescent="0.35">
      <c r="A8" s="208"/>
      <c r="B8" s="21" t="s">
        <v>21</v>
      </c>
      <c r="C8" s="22">
        <v>74</v>
      </c>
      <c r="D8" s="146"/>
      <c r="E8" s="146"/>
      <c r="F8" s="22"/>
      <c r="G8" s="22"/>
      <c r="H8" s="22"/>
      <c r="I8" s="22"/>
      <c r="J8" s="22"/>
      <c r="K8" s="22"/>
      <c r="L8" s="22"/>
      <c r="M8" s="22"/>
      <c r="N8" s="22"/>
      <c r="O8" s="146"/>
      <c r="P8" s="146"/>
      <c r="Q8" s="146"/>
      <c r="R8" s="22"/>
      <c r="S8" s="22">
        <v>55</v>
      </c>
      <c r="T8" s="146"/>
      <c r="U8" s="22">
        <v>50</v>
      </c>
      <c r="V8" s="146"/>
      <c r="W8" s="22"/>
      <c r="X8" s="146"/>
      <c r="Y8" s="22"/>
      <c r="Z8" s="146"/>
      <c r="AA8" s="22"/>
      <c r="AB8" s="146"/>
      <c r="AC8" s="22"/>
      <c r="AD8" s="146"/>
      <c r="AE8" s="22"/>
      <c r="AF8" s="146"/>
      <c r="AG8" s="22"/>
      <c r="AH8" s="146"/>
    </row>
    <row r="9" spans="1:34" x14ac:dyDescent="0.35">
      <c r="A9" s="207" t="s">
        <v>23</v>
      </c>
      <c r="B9" s="17" t="s">
        <v>20</v>
      </c>
      <c r="C9" s="18">
        <v>8.16</v>
      </c>
      <c r="D9" s="145">
        <v>201.67005330000001</v>
      </c>
      <c r="E9" s="145">
        <v>188.90085960000002</v>
      </c>
      <c r="F9" s="18">
        <v>188.90085960000002</v>
      </c>
      <c r="G9" s="18"/>
      <c r="H9" s="18"/>
      <c r="I9" s="18"/>
      <c r="J9" s="18"/>
      <c r="K9" s="18"/>
      <c r="L9" s="18"/>
      <c r="M9" s="19"/>
      <c r="N9" s="19"/>
      <c r="O9" s="145"/>
      <c r="P9" s="145"/>
      <c r="Q9" s="145"/>
      <c r="R9" s="18"/>
      <c r="S9" s="18">
        <v>9.8209999999999997</v>
      </c>
      <c r="T9" s="145">
        <f>+S9*20.4173</f>
        <v>200.51830330000001</v>
      </c>
      <c r="U9" s="18">
        <v>9.2520000000000007</v>
      </c>
      <c r="V9" s="145">
        <f>+U9*20.4173</f>
        <v>188.90085960000002</v>
      </c>
      <c r="W9" s="18"/>
      <c r="X9" s="145"/>
      <c r="Y9" s="18"/>
      <c r="Z9" s="145"/>
      <c r="AA9" s="18"/>
      <c r="AB9" s="145"/>
      <c r="AC9" s="18"/>
      <c r="AD9" s="145"/>
      <c r="AE9" s="18"/>
      <c r="AF9" s="145"/>
      <c r="AG9" s="18"/>
      <c r="AH9" s="145"/>
    </row>
    <row r="10" spans="1:34" x14ac:dyDescent="0.35">
      <c r="A10" s="208"/>
      <c r="B10" s="21" t="s">
        <v>21</v>
      </c>
      <c r="C10" s="22">
        <v>20</v>
      </c>
      <c r="D10" s="146"/>
      <c r="E10" s="146"/>
      <c r="F10" s="22"/>
      <c r="G10" s="22"/>
      <c r="H10" s="22"/>
      <c r="I10" s="22"/>
      <c r="J10" s="22"/>
      <c r="K10" s="22"/>
      <c r="L10" s="22"/>
      <c r="M10" s="22"/>
      <c r="N10" s="22"/>
      <c r="O10" s="146"/>
      <c r="P10" s="146"/>
      <c r="Q10" s="146"/>
      <c r="R10" s="22"/>
      <c r="S10" s="22">
        <v>28</v>
      </c>
      <c r="T10" s="146"/>
      <c r="U10" s="22">
        <v>27</v>
      </c>
      <c r="V10" s="146"/>
      <c r="W10" s="22"/>
      <c r="X10" s="146"/>
      <c r="Y10" s="22"/>
      <c r="Z10" s="146"/>
      <c r="AA10" s="22"/>
      <c r="AB10" s="146"/>
      <c r="AC10" s="22"/>
      <c r="AD10" s="146"/>
      <c r="AE10" s="22"/>
      <c r="AF10" s="146"/>
      <c r="AG10" s="22"/>
      <c r="AH10" s="146"/>
    </row>
    <row r="11" spans="1:34" x14ac:dyDescent="0.35">
      <c r="A11" s="207" t="s">
        <v>24</v>
      </c>
      <c r="B11" s="17" t="s">
        <v>20</v>
      </c>
      <c r="C11" s="18">
        <v>7.7080000000000002</v>
      </c>
      <c r="D11" s="145">
        <v>522.46749299999999</v>
      </c>
      <c r="E11" s="145">
        <v>334.08827990000003</v>
      </c>
      <c r="F11" s="18">
        <v>334.08827990000003</v>
      </c>
      <c r="G11" s="18"/>
      <c r="H11" s="18"/>
      <c r="I11" s="18"/>
      <c r="J11" s="18"/>
      <c r="K11" s="18"/>
      <c r="L11" s="18"/>
      <c r="M11" s="19"/>
      <c r="N11" s="19"/>
      <c r="O11" s="145"/>
      <c r="P11" s="145"/>
      <c r="Q11" s="145"/>
      <c r="R11" s="18"/>
      <c r="S11" s="18">
        <v>31.222999999999999</v>
      </c>
      <c r="T11" s="145">
        <f>+S11*20.4173</f>
        <v>637.48935789999996</v>
      </c>
      <c r="U11" s="18">
        <v>16.363</v>
      </c>
      <c r="V11" s="145">
        <f>+U11*20.4173</f>
        <v>334.08827990000003</v>
      </c>
      <c r="W11" s="18"/>
      <c r="X11" s="145"/>
      <c r="Y11" s="18"/>
      <c r="Z11" s="145"/>
      <c r="AA11" s="18"/>
      <c r="AB11" s="145"/>
      <c r="AC11" s="18"/>
      <c r="AD11" s="145"/>
      <c r="AE11" s="18"/>
      <c r="AF11" s="145"/>
      <c r="AG11" s="18"/>
      <c r="AH11" s="145"/>
    </row>
    <row r="12" spans="1:34" x14ac:dyDescent="0.35">
      <c r="A12" s="208"/>
      <c r="B12" s="21" t="s">
        <v>21</v>
      </c>
      <c r="C12" s="22">
        <v>20</v>
      </c>
      <c r="D12" s="146"/>
      <c r="E12" s="146"/>
      <c r="F12" s="22"/>
      <c r="G12" s="22"/>
      <c r="H12" s="22"/>
      <c r="I12" s="22"/>
      <c r="J12" s="22"/>
      <c r="K12" s="22"/>
      <c r="L12" s="22"/>
      <c r="M12" s="22"/>
      <c r="N12" s="22"/>
      <c r="O12" s="146"/>
      <c r="P12" s="146"/>
      <c r="Q12" s="146"/>
      <c r="R12" s="22"/>
      <c r="S12" s="22">
        <v>60</v>
      </c>
      <c r="T12" s="146"/>
      <c r="U12" s="22">
        <v>33</v>
      </c>
      <c r="V12" s="146"/>
      <c r="W12" s="22"/>
      <c r="X12" s="146"/>
      <c r="Y12" s="22"/>
      <c r="Z12" s="146"/>
      <c r="AA12" s="22"/>
      <c r="AB12" s="146"/>
      <c r="AC12" s="22"/>
      <c r="AD12" s="146"/>
      <c r="AE12" s="22"/>
      <c r="AF12" s="146"/>
      <c r="AG12" s="22"/>
      <c r="AH12" s="146"/>
    </row>
    <row r="13" spans="1:34" x14ac:dyDescent="0.35">
      <c r="A13" s="207" t="s">
        <v>25</v>
      </c>
      <c r="B13" s="17" t="s">
        <v>20</v>
      </c>
      <c r="C13" s="18">
        <v>11.074</v>
      </c>
      <c r="D13" s="145">
        <v>290.82710040000001</v>
      </c>
      <c r="E13" s="145">
        <v>211.91115669999999</v>
      </c>
      <c r="F13" s="18">
        <v>211.91115669999999</v>
      </c>
      <c r="G13" s="18"/>
      <c r="H13" s="18"/>
      <c r="I13" s="18"/>
      <c r="J13" s="18"/>
      <c r="K13" s="18"/>
      <c r="L13" s="18"/>
      <c r="M13" s="19"/>
      <c r="N13" s="19"/>
      <c r="O13" s="145"/>
      <c r="P13" s="145"/>
      <c r="Q13" s="145"/>
      <c r="R13" s="18"/>
      <c r="S13" s="18">
        <v>10.311</v>
      </c>
      <c r="T13" s="145">
        <f>+S13*20.4173</f>
        <v>210.52278030000002</v>
      </c>
      <c r="U13" s="18">
        <v>10.379</v>
      </c>
      <c r="V13" s="145">
        <f>+U13*20.4173</f>
        <v>211.91115669999999</v>
      </c>
      <c r="W13" s="18"/>
      <c r="X13" s="145"/>
      <c r="Y13" s="18"/>
      <c r="Z13" s="145"/>
      <c r="AA13" s="18"/>
      <c r="AB13" s="145"/>
      <c r="AC13" s="18"/>
      <c r="AD13" s="145"/>
      <c r="AE13" s="18"/>
      <c r="AF13" s="145"/>
      <c r="AG13" s="18"/>
      <c r="AH13" s="145"/>
    </row>
    <row r="14" spans="1:34" x14ac:dyDescent="0.35">
      <c r="A14" s="208"/>
      <c r="B14" s="21" t="s">
        <v>21</v>
      </c>
      <c r="C14" s="22">
        <v>43</v>
      </c>
      <c r="D14" s="146"/>
      <c r="E14" s="146"/>
      <c r="F14" s="22"/>
      <c r="G14" s="22"/>
      <c r="H14" s="22"/>
      <c r="I14" s="22"/>
      <c r="J14" s="22"/>
      <c r="K14" s="22"/>
      <c r="L14" s="22"/>
      <c r="M14" s="22"/>
      <c r="N14" s="22"/>
      <c r="O14" s="146"/>
      <c r="P14" s="146"/>
      <c r="Q14" s="146"/>
      <c r="R14" s="22"/>
      <c r="S14" s="22">
        <v>39</v>
      </c>
      <c r="T14" s="146"/>
      <c r="U14" s="22">
        <v>42</v>
      </c>
      <c r="V14" s="146"/>
      <c r="W14" s="22"/>
      <c r="X14" s="146"/>
      <c r="Y14" s="22"/>
      <c r="Z14" s="146"/>
      <c r="AA14" s="22"/>
      <c r="AB14" s="146"/>
      <c r="AC14" s="22"/>
      <c r="AD14" s="146"/>
      <c r="AE14" s="22"/>
      <c r="AF14" s="146"/>
      <c r="AG14" s="22"/>
      <c r="AH14" s="146"/>
    </row>
    <row r="15" spans="1:34" ht="15.5" x14ac:dyDescent="0.35">
      <c r="A15" s="207" t="s">
        <v>26</v>
      </c>
      <c r="B15" s="17" t="s">
        <v>20</v>
      </c>
      <c r="C15" s="27">
        <f t="shared" ref="C15:C16" si="0">+C5+C7+C9+C11+C13</f>
        <v>133.49700000000001</v>
      </c>
      <c r="D15" s="147">
        <v>2283.5547890999997</v>
      </c>
      <c r="E15" s="147">
        <v>1771.2824442000001</v>
      </c>
      <c r="F15" s="27">
        <v>1771.2824442000001</v>
      </c>
      <c r="G15" s="27"/>
      <c r="H15" s="27"/>
      <c r="I15" s="27"/>
      <c r="J15" s="27"/>
      <c r="K15" s="27"/>
      <c r="L15" s="27"/>
      <c r="M15" s="27"/>
      <c r="N15" s="27"/>
      <c r="O15" s="147"/>
      <c r="P15" s="147"/>
      <c r="Q15" s="147"/>
      <c r="R15" s="27"/>
      <c r="S15" s="27">
        <f t="shared" ref="S15:U15" si="1">+S5+S7+S9+S11+S13</f>
        <v>108.214</v>
      </c>
      <c r="T15" s="188">
        <f t="shared" si="1"/>
        <v>2209.4377021999999</v>
      </c>
      <c r="U15" s="27">
        <f t="shared" si="1"/>
        <v>86.754000000000005</v>
      </c>
      <c r="V15" s="188">
        <f>+V5+V7+V9+V11+V13+195</f>
        <v>1966.2824442000001</v>
      </c>
      <c r="W15" s="27"/>
      <c r="X15" s="188"/>
      <c r="Y15" s="27"/>
      <c r="Z15" s="188"/>
      <c r="AA15" s="27"/>
      <c r="AB15" s="188"/>
      <c r="AC15" s="27"/>
      <c r="AD15" s="147"/>
      <c r="AE15" s="27"/>
      <c r="AF15" s="147"/>
      <c r="AG15" s="27"/>
      <c r="AH15" s="147"/>
    </row>
    <row r="16" spans="1:34" ht="15.5" x14ac:dyDescent="0.35">
      <c r="A16" s="208"/>
      <c r="B16" s="21" t="s">
        <v>21</v>
      </c>
      <c r="C16" s="28">
        <f t="shared" si="0"/>
        <v>388</v>
      </c>
      <c r="D16" s="148">
        <v>288</v>
      </c>
      <c r="E16" s="148">
        <v>230</v>
      </c>
      <c r="F16" s="28">
        <v>230</v>
      </c>
      <c r="G16" s="28"/>
      <c r="H16" s="28"/>
      <c r="I16" s="28"/>
      <c r="J16" s="28"/>
      <c r="K16" s="28"/>
      <c r="L16" s="28"/>
      <c r="M16" s="28"/>
      <c r="N16" s="28"/>
      <c r="O16" s="148"/>
      <c r="P16" s="148"/>
      <c r="Q16" s="148"/>
      <c r="R16" s="28"/>
      <c r="S16" s="28">
        <f t="shared" ref="S16" si="2">+S6+S8+S10+S12+S14</f>
        <v>274</v>
      </c>
      <c r="T16" s="148">
        <f>+S16</f>
        <v>274</v>
      </c>
      <c r="U16" s="28">
        <f t="shared" ref="U16" si="3">+U6+U8+U10+U12+U14</f>
        <v>230</v>
      </c>
      <c r="V16" s="148">
        <f>+U16</f>
        <v>230</v>
      </c>
      <c r="W16" s="28"/>
      <c r="X16" s="148"/>
      <c r="Y16" s="28"/>
      <c r="Z16" s="148"/>
      <c r="AA16" s="28"/>
      <c r="AB16" s="148"/>
      <c r="AC16" s="28"/>
      <c r="AD16" s="148"/>
      <c r="AE16" s="28"/>
      <c r="AF16" s="148"/>
      <c r="AG16" s="28"/>
      <c r="AH16" s="148"/>
    </row>
    <row r="17" spans="1:32" ht="15.5" hidden="1" x14ac:dyDescent="0.35">
      <c r="A17" s="29" t="s">
        <v>27</v>
      </c>
      <c r="B17" s="30"/>
      <c r="C17" s="31">
        <f t="shared" ref="C17:L17" si="4">+C15/C16</f>
        <v>0.34406443298969075</v>
      </c>
      <c r="D17" s="149">
        <v>7.9290096843749991</v>
      </c>
      <c r="E17" s="149"/>
      <c r="F17" s="31">
        <f t="shared" si="4"/>
        <v>7.7012280182608697</v>
      </c>
      <c r="G17" s="31" t="e">
        <f t="shared" si="4"/>
        <v>#DIV/0!</v>
      </c>
      <c r="H17" s="31" t="e">
        <f t="shared" si="4"/>
        <v>#DIV/0!</v>
      </c>
      <c r="I17" s="31" t="e">
        <f t="shared" si="4"/>
        <v>#DIV/0!</v>
      </c>
      <c r="J17" s="31" t="e">
        <f t="shared" si="4"/>
        <v>#DIV/0!</v>
      </c>
      <c r="K17" s="31" t="e">
        <f t="shared" si="4"/>
        <v>#DIV/0!</v>
      </c>
      <c r="L17" s="31" t="e">
        <f t="shared" si="4"/>
        <v>#DIV/0!</v>
      </c>
      <c r="M17" s="31">
        <v>7.3395326097560973</v>
      </c>
      <c r="N17" s="31">
        <v>7.7443498039215681</v>
      </c>
      <c r="O17" s="31">
        <v>7.8119581276346608</v>
      </c>
      <c r="P17" s="149">
        <v>7.9677477941176473</v>
      </c>
      <c r="Q17" s="149">
        <v>7.9290096843749991</v>
      </c>
      <c r="R17" s="31"/>
      <c r="S17" s="31">
        <f t="shared" ref="S17:T17" si="5">+S15/S16</f>
        <v>0.39494160583941607</v>
      </c>
      <c r="T17" s="149">
        <f t="shared" si="5"/>
        <v>8.0636412489051086</v>
      </c>
      <c r="U17" s="31">
        <f t="shared" ref="U17:V17" si="6">+U15/U16</f>
        <v>0.37719130434782611</v>
      </c>
      <c r="V17" s="149">
        <f t="shared" si="6"/>
        <v>8.5490541052173921</v>
      </c>
      <c r="W17" s="31" t="e">
        <f t="shared" ref="W17:X17" si="7">+W15/W16</f>
        <v>#DIV/0!</v>
      </c>
      <c r="X17" s="149" t="e">
        <f t="shared" si="7"/>
        <v>#DIV/0!</v>
      </c>
      <c r="Y17" s="31" t="e">
        <f t="shared" ref="Y17:Z17" si="8">+Y15/Y16</f>
        <v>#DIV/0!</v>
      </c>
      <c r="Z17" s="149" t="e">
        <f t="shared" si="8"/>
        <v>#DIV/0!</v>
      </c>
      <c r="AA17" s="31" t="e">
        <f t="shared" ref="AA17:AB17" si="9">+AA15/AA16</f>
        <v>#DIV/0!</v>
      </c>
      <c r="AB17" s="149" t="e">
        <f t="shared" si="9"/>
        <v>#DIV/0!</v>
      </c>
    </row>
    <row r="18" spans="1:32" hidden="1" x14ac:dyDescent="0.35">
      <c r="A18" s="207" t="s">
        <v>28</v>
      </c>
      <c r="B18" s="17" t="s">
        <v>20</v>
      </c>
      <c r="C18" s="32">
        <v>3.71</v>
      </c>
      <c r="D18" s="32"/>
      <c r="E18" s="32"/>
      <c r="F18" s="32">
        <v>3.19</v>
      </c>
      <c r="G18" s="32">
        <v>5.91</v>
      </c>
      <c r="H18" s="32">
        <v>5.9</v>
      </c>
      <c r="I18" s="32">
        <v>6.48</v>
      </c>
      <c r="J18" s="32">
        <v>4.04</v>
      </c>
      <c r="K18" s="32">
        <v>4.53</v>
      </c>
      <c r="L18" s="19"/>
      <c r="M18" s="19"/>
      <c r="N18" s="18"/>
      <c r="O18" s="18"/>
      <c r="P18" s="32"/>
      <c r="Q18" s="32"/>
      <c r="R18" s="32"/>
      <c r="S18" s="32"/>
      <c r="T18" s="32"/>
      <c r="U18" s="32"/>
      <c r="V18" s="32"/>
      <c r="W18" s="32"/>
      <c r="X18" s="33"/>
      <c r="Y18" s="4"/>
      <c r="Z18" s="4"/>
    </row>
    <row r="19" spans="1:32" hidden="1" x14ac:dyDescent="0.35">
      <c r="A19" s="208"/>
      <c r="B19" s="21" t="s">
        <v>21</v>
      </c>
      <c r="C19" s="22">
        <v>44</v>
      </c>
      <c r="D19" s="22"/>
      <c r="E19" s="22"/>
      <c r="F19" s="22">
        <v>33</v>
      </c>
      <c r="G19" s="22">
        <v>57</v>
      </c>
      <c r="H19" s="22">
        <v>59</v>
      </c>
      <c r="I19" s="22">
        <v>69</v>
      </c>
      <c r="J19" s="22">
        <v>46</v>
      </c>
      <c r="K19" s="22">
        <v>51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33"/>
      <c r="Y19" s="4"/>
      <c r="Z19" s="4"/>
    </row>
    <row r="20" spans="1:32" ht="15.5" hidden="1" x14ac:dyDescent="0.35">
      <c r="A20" s="34" t="s">
        <v>29</v>
      </c>
      <c r="B20" s="1"/>
      <c r="C20" s="31">
        <f t="shared" ref="C20:K20" si="10">+C18/C19</f>
        <v>8.431818181818182E-2</v>
      </c>
      <c r="D20" s="31"/>
      <c r="E20" s="31"/>
      <c r="F20" s="31">
        <f t="shared" si="10"/>
        <v>9.6666666666666665E-2</v>
      </c>
      <c r="G20" s="31">
        <f t="shared" si="10"/>
        <v>0.1036842105263158</v>
      </c>
      <c r="H20" s="31">
        <f t="shared" si="10"/>
        <v>0.1</v>
      </c>
      <c r="I20" s="31">
        <f t="shared" si="10"/>
        <v>9.3913043478260877E-2</v>
      </c>
      <c r="J20" s="31">
        <f t="shared" si="10"/>
        <v>8.7826086956521734E-2</v>
      </c>
      <c r="K20" s="31">
        <f t="shared" si="10"/>
        <v>8.8823529411764704E-2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162"/>
      <c r="W20" s="162"/>
      <c r="X20" s="163"/>
      <c r="Y20" s="4"/>
      <c r="Z20" s="4"/>
    </row>
    <row r="21" spans="1:32" x14ac:dyDescent="0.35">
      <c r="A21" s="1"/>
      <c r="B21" s="1"/>
      <c r="C21" s="150">
        <f>+F21</f>
        <v>18.779299999999999</v>
      </c>
      <c r="D21" s="150"/>
      <c r="E21" s="150"/>
      <c r="F21" s="150">
        <v>18.779299999999999</v>
      </c>
      <c r="G21" s="151">
        <v>18.407699999999998</v>
      </c>
      <c r="H21" s="150">
        <v>18.09</v>
      </c>
      <c r="I21" s="150">
        <v>18.07</v>
      </c>
      <c r="J21" s="150">
        <v>17.653199999999998</v>
      </c>
      <c r="K21" s="150">
        <v>17.1187</v>
      </c>
      <c r="L21" s="150">
        <v>16.73</v>
      </c>
      <c r="M21" s="150">
        <v>17.02</v>
      </c>
      <c r="N21" s="150">
        <v>17.02</v>
      </c>
      <c r="O21" s="150">
        <v>17.02</v>
      </c>
      <c r="P21" s="150">
        <v>17.02</v>
      </c>
      <c r="Q21" s="150">
        <v>17.02</v>
      </c>
      <c r="R21" s="1"/>
      <c r="S21" s="1"/>
      <c r="T21" s="1"/>
      <c r="U21" s="35"/>
      <c r="V21" s="36"/>
      <c r="W21" s="4"/>
      <c r="X21" s="4"/>
      <c r="Y21" s="4"/>
      <c r="Z21" s="4"/>
    </row>
    <row r="22" spans="1:32" ht="15.5" x14ac:dyDescent="0.35">
      <c r="A22" s="218" t="s">
        <v>30</v>
      </c>
      <c r="B22" s="37" t="s">
        <v>31</v>
      </c>
      <c r="C22" s="38" t="s">
        <v>3</v>
      </c>
      <c r="D22" s="38" t="s">
        <v>170</v>
      </c>
      <c r="E22" s="38" t="s">
        <v>220</v>
      </c>
      <c r="F22" s="38" t="s">
        <v>4</v>
      </c>
      <c r="G22" s="39" t="s">
        <v>5</v>
      </c>
      <c r="H22" s="39" t="s">
        <v>6</v>
      </c>
      <c r="I22" s="39" t="s">
        <v>33</v>
      </c>
      <c r="J22" s="39" t="s">
        <v>8</v>
      </c>
      <c r="K22" s="39" t="s">
        <v>9</v>
      </c>
      <c r="L22" s="39" t="s">
        <v>10</v>
      </c>
      <c r="M22" s="39" t="s">
        <v>34</v>
      </c>
      <c r="N22" s="39" t="s">
        <v>35</v>
      </c>
      <c r="O22" s="39" t="s">
        <v>13</v>
      </c>
      <c r="P22" s="39" t="s">
        <v>14</v>
      </c>
      <c r="Q22" s="39" t="s">
        <v>15</v>
      </c>
      <c r="R22" s="40"/>
      <c r="S22" s="41" t="s">
        <v>202</v>
      </c>
      <c r="T22" s="42"/>
      <c r="U22" s="3"/>
      <c r="V22" s="164"/>
      <c r="W22" s="44"/>
      <c r="X22" s="45"/>
      <c r="Y22" s="4"/>
      <c r="Z22" s="65" t="s">
        <v>176</v>
      </c>
    </row>
    <row r="23" spans="1:32" x14ac:dyDescent="0.35">
      <c r="A23" s="219"/>
      <c r="B23" s="46" t="s">
        <v>41</v>
      </c>
      <c r="C23" s="47">
        <f>+'[1]LMM Formato'!C23*[1]Pesos!D21</f>
        <v>155.117018</v>
      </c>
      <c r="D23" s="47">
        <v>1065.6300000000001</v>
      </c>
      <c r="E23" s="48">
        <v>1285.5999999999999</v>
      </c>
      <c r="F23" s="47">
        <v>101.67</v>
      </c>
      <c r="G23" s="47">
        <v>109.62</v>
      </c>
      <c r="H23" s="47">
        <v>66.599999999999994</v>
      </c>
      <c r="I23" s="47">
        <v>103.69</v>
      </c>
      <c r="J23" s="47">
        <v>96.6</v>
      </c>
      <c r="K23" s="47">
        <v>101.76</v>
      </c>
      <c r="L23" s="47">
        <v>153.75</v>
      </c>
      <c r="M23" s="47">
        <v>84</v>
      </c>
      <c r="N23" s="47">
        <v>128.41999999999999</v>
      </c>
      <c r="O23" s="47">
        <v>76.150000000000006</v>
      </c>
      <c r="P23" s="47">
        <v>129.08000000000001</v>
      </c>
      <c r="Q23" s="47">
        <v>134.26</v>
      </c>
      <c r="R23" s="48">
        <f>+SUM(F23:Q23)</f>
        <v>1285.5999999999999</v>
      </c>
      <c r="S23" s="49">
        <f>+SUM(F23:Q23)</f>
        <v>1285.5999999999999</v>
      </c>
      <c r="T23" s="50"/>
      <c r="U23" s="3"/>
      <c r="V23" s="165"/>
      <c r="W23" s="52"/>
      <c r="X23" s="53"/>
      <c r="Y23" s="4"/>
      <c r="Z23" s="65" t="s">
        <v>175</v>
      </c>
    </row>
    <row r="24" spans="1:32" x14ac:dyDescent="0.35">
      <c r="A24" s="219"/>
      <c r="B24" s="57" t="s">
        <v>43</v>
      </c>
      <c r="C24" s="54">
        <f>+'[1]LMM Formato'!C25*[1]Pesos!C21</f>
        <v>191.36106699999999</v>
      </c>
      <c r="D24" s="54">
        <v>1579</v>
      </c>
      <c r="E24" s="48">
        <v>1384</v>
      </c>
      <c r="F24" s="54">
        <v>35.199108701656158</v>
      </c>
      <c r="G24" s="54">
        <v>70.113861920282062</v>
      </c>
      <c r="H24" s="54">
        <v>104.85619343744628</v>
      </c>
      <c r="I24" s="54">
        <v>102.94196054188629</v>
      </c>
      <c r="J24" s="54">
        <v>93.361570800334817</v>
      </c>
      <c r="K24" s="54">
        <v>119.4473045983944</v>
      </c>
      <c r="L24" s="54">
        <v>95.476456383106992</v>
      </c>
      <c r="M24" s="54">
        <v>141.37058949107438</v>
      </c>
      <c r="N24" s="54">
        <v>158.09407893319207</v>
      </c>
      <c r="O24" s="54">
        <v>92.82276845105207</v>
      </c>
      <c r="P24" s="54">
        <v>172.79906207259359</v>
      </c>
      <c r="Q24" s="54">
        <v>197.5170446689809</v>
      </c>
      <c r="R24" s="48">
        <f>+SUM(F24:Q24)</f>
        <v>1384</v>
      </c>
      <c r="S24" s="56">
        <v>1384</v>
      </c>
      <c r="T24" s="50"/>
      <c r="U24" s="3"/>
      <c r="V24" s="166"/>
      <c r="W24" s="59"/>
      <c r="X24" s="60"/>
      <c r="Y24" s="4"/>
      <c r="Z24" s="65"/>
    </row>
    <row r="25" spans="1:32" x14ac:dyDescent="0.35">
      <c r="A25" s="219"/>
      <c r="B25" s="57"/>
      <c r="C25" s="54"/>
      <c r="D25" s="54"/>
      <c r="E25" s="62">
        <v>0.9289017341040462</v>
      </c>
      <c r="F25" s="54"/>
      <c r="G25" s="61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62">
        <f>+R23/R24</f>
        <v>0.9289017341040462</v>
      </c>
      <c r="S25" s="63">
        <f>+S23/S24</f>
        <v>0.9289017341040462</v>
      </c>
      <c r="T25" s="64"/>
      <c r="U25" s="3"/>
      <c r="V25" s="228"/>
      <c r="W25" s="229"/>
      <c r="X25" s="66"/>
      <c r="Y25" s="66"/>
      <c r="Z25" s="230" t="s">
        <v>181</v>
      </c>
      <c r="AC25" s="178"/>
      <c r="AF25" s="186"/>
    </row>
    <row r="26" spans="1:32" hidden="1" x14ac:dyDescent="0.35">
      <c r="A26" s="219"/>
      <c r="B26" s="46" t="s">
        <v>46</v>
      </c>
      <c r="C26" s="47">
        <f>+'[1]LMM Formato'!C27*[1]Pesos!C21</f>
        <v>5.6337899999999994</v>
      </c>
      <c r="D26" s="47"/>
      <c r="E26" s="48">
        <v>13.648137999999999</v>
      </c>
      <c r="F26" s="47">
        <f>+'[1]LMM Formato'!D27*[1]Pesos!D21</f>
        <v>0.56337899999999996</v>
      </c>
      <c r="G26" s="47">
        <f>+'[1]LMM Formato'!E27*[1]Pesos!E21</f>
        <v>0</v>
      </c>
      <c r="H26" s="47">
        <f>+'[1]LMM Formato'!F27*[1]Pesos!F21</f>
        <v>3.7988999999999997</v>
      </c>
      <c r="I26" s="47">
        <f>+'[1]LMM Formato'!G27*[1]Pesos!G21</f>
        <v>2.8912</v>
      </c>
      <c r="J26" s="47">
        <f>+'[1]LMM Formato'!H27*[1]Pesos!H21</f>
        <v>2.6479799999999996</v>
      </c>
      <c r="K26" s="47">
        <f>+'[1]LMM Formato'!I27*[1]Pesos!I21</f>
        <v>2.9101790000000003</v>
      </c>
      <c r="L26" s="47">
        <f>+'[1]LMM Formato'!J27*[1]Pesos!J21</f>
        <v>0.83650000000000002</v>
      </c>
      <c r="M26" s="47">
        <f>+'[1]LMM Formato'!K27*[1]Pesos!K21</f>
        <v>0</v>
      </c>
      <c r="N26" s="47"/>
      <c r="O26" s="47"/>
      <c r="P26" s="47"/>
      <c r="Q26" s="47"/>
      <c r="R26" s="48">
        <f>+SUM(F26:Q26)</f>
        <v>13.648137999999999</v>
      </c>
      <c r="S26" s="49">
        <f>+SUM(F26:Q26)</f>
        <v>13.648137999999999</v>
      </c>
      <c r="T26" s="50"/>
      <c r="U26" s="3"/>
      <c r="V26" s="68"/>
      <c r="W26" s="69"/>
      <c r="X26" s="1"/>
      <c r="Y26" s="70"/>
      <c r="Z26" s="230"/>
      <c r="AC26" s="178"/>
      <c r="AE26" t="s">
        <v>216</v>
      </c>
      <c r="AF26" s="186"/>
    </row>
    <row r="27" spans="1:32" hidden="1" x14ac:dyDescent="0.35">
      <c r="A27" s="219"/>
      <c r="B27" s="57" t="s">
        <v>48</v>
      </c>
      <c r="C27" s="54">
        <f>+'[1]LMM Formato'!C28*[1]Pesos!C21</f>
        <v>13.896681999999998</v>
      </c>
      <c r="D27" s="54"/>
      <c r="E27" s="48" t="e">
        <v>#REF!</v>
      </c>
      <c r="F27" s="54">
        <f>+'[1]LMM Formato'!D28*[1]Pesos!D21</f>
        <v>3.0085445691682078</v>
      </c>
      <c r="G27" s="54">
        <f>+'[1]LMM Formato'!E28*[1]Pesos!E21</f>
        <v>4.9150204272680993</v>
      </c>
      <c r="H27" s="54">
        <f>+'[1]LMM Formato'!F28*[1]Pesos!F21</f>
        <v>9.0322920157283999</v>
      </c>
      <c r="I27" s="54">
        <f>+'[1]LMM Formato'!G28*[1]Pesos!G21</f>
        <v>6.3512549577554962</v>
      </c>
      <c r="J27" s="54">
        <f>+'[1]LMM Formato'!H28*[1]Pesos!H21</f>
        <v>7.364940911840657</v>
      </c>
      <c r="K27" s="54">
        <f>+'[1]LMM Formato'!I28*[1]Pesos!I21</f>
        <v>13.349266544642905</v>
      </c>
      <c r="L27" s="54">
        <f>+'[1]LMM Formato'!J28*[1]Pesos!J21</f>
        <v>6.1826603367246165</v>
      </c>
      <c r="M27" s="54">
        <f>+'[1]LMM Formato'!K28*[1]Pesos!K21</f>
        <v>8.2554036818294652</v>
      </c>
      <c r="N27" s="54">
        <f>+'[1]LMM Formato'!L28*[1]Pesos!L21</f>
        <v>8.9924932962784965</v>
      </c>
      <c r="O27" s="54">
        <f>+'[1]LMM Formato'!M28*[1]Pesos!M21</f>
        <v>5.8475776079625392</v>
      </c>
      <c r="P27" s="54">
        <f>+'[1]LMM Formato'!N28*[1]Pesos!N21</f>
        <v>9.6254279664641373</v>
      </c>
      <c r="Q27" s="54">
        <f>+'[1]LMM Formato'!O28*[1]Pesos!O21</f>
        <v>12.474766070833379</v>
      </c>
      <c r="R27" s="48" t="e">
        <f>+SUM(C27:Q27)</f>
        <v>#REF!</v>
      </c>
      <c r="S27" s="56">
        <f>+SUM(F27:Q27)</f>
        <v>95.399648386496395</v>
      </c>
      <c r="T27" s="50"/>
      <c r="U27" s="3"/>
      <c r="V27" s="68"/>
      <c r="W27" s="72"/>
      <c r="X27" s="1"/>
      <c r="Y27" s="70"/>
      <c r="Z27" s="230"/>
      <c r="AC27" s="178"/>
      <c r="AE27" t="s">
        <v>215</v>
      </c>
      <c r="AF27" s="186"/>
    </row>
    <row r="28" spans="1:32" hidden="1" x14ac:dyDescent="0.35">
      <c r="A28" s="73"/>
      <c r="B28" s="1"/>
      <c r="C28" s="74"/>
      <c r="D28" s="74"/>
      <c r="E28" s="77" t="e">
        <v>#REF!</v>
      </c>
      <c r="F28" s="75">
        <v>2.2428750788557035</v>
      </c>
      <c r="G28" s="75">
        <v>3.7381251314261634</v>
      </c>
      <c r="H28" s="75">
        <v>6.9901651863016916</v>
      </c>
      <c r="I28" s="75">
        <v>4.9207287995892059</v>
      </c>
      <c r="J28" s="75">
        <v>5.8408205178533752</v>
      </c>
      <c r="K28" s="75">
        <v>10.917285285973858</v>
      </c>
      <c r="L28" s="75">
        <v>5.1737743403553278</v>
      </c>
      <c r="M28" s="75">
        <v>6.7905788217163643</v>
      </c>
      <c r="N28" s="75">
        <v>7.3968805022267299</v>
      </c>
      <c r="O28" s="75">
        <v>4.8099933320490917</v>
      </c>
      <c r="P28" s="75">
        <v>7.9175083155404185</v>
      </c>
      <c r="Q28" s="76">
        <v>10.261264688112062</v>
      </c>
      <c r="R28" s="77" t="e">
        <f>+R26/R27</f>
        <v>#REF!</v>
      </c>
      <c r="S28" s="63">
        <f>+S26/S27</f>
        <v>0.14306277046962221</v>
      </c>
      <c r="T28" s="64"/>
      <c r="U28" s="3"/>
      <c r="V28" s="68"/>
      <c r="W28" s="69"/>
      <c r="X28" s="68"/>
      <c r="Y28" s="70"/>
      <c r="Z28" s="230"/>
      <c r="AC28" s="178"/>
      <c r="AF28" s="186"/>
    </row>
    <row r="29" spans="1:32" x14ac:dyDescent="0.35">
      <c r="A29" s="221" t="s">
        <v>49</v>
      </c>
      <c r="B29" s="78" t="s">
        <v>50</v>
      </c>
      <c r="C29" s="79">
        <f>+'[1]LMM Formato'!C30*[1]Pesos!C21</f>
        <v>0</v>
      </c>
      <c r="D29" s="79">
        <v>104</v>
      </c>
      <c r="E29" s="80">
        <v>121.544</v>
      </c>
      <c r="F29" s="79">
        <v>4</v>
      </c>
      <c r="G29" s="79">
        <v>11.78</v>
      </c>
      <c r="H29" s="79">
        <v>20.157</v>
      </c>
      <c r="I29" s="79">
        <v>7.4470000000000001</v>
      </c>
      <c r="J29" s="79">
        <v>10.664</v>
      </c>
      <c r="K29" s="79">
        <v>9</v>
      </c>
      <c r="L29" s="79">
        <v>6</v>
      </c>
      <c r="M29" s="79">
        <v>4.9489999999999998</v>
      </c>
      <c r="N29" s="79">
        <v>17.257999999999999</v>
      </c>
      <c r="O29" s="79">
        <v>11.9</v>
      </c>
      <c r="P29" s="79">
        <v>8.3889999999999993</v>
      </c>
      <c r="Q29" s="79">
        <v>10</v>
      </c>
      <c r="R29" s="80">
        <f t="shared" ref="R29" si="11">+SUM(F29:Q29)</f>
        <v>121.544</v>
      </c>
      <c r="S29" s="81">
        <f>+SUM(F29:Q29)</f>
        <v>121.544</v>
      </c>
      <c r="T29" s="82"/>
      <c r="U29" s="3"/>
      <c r="V29" s="68"/>
      <c r="W29" s="72"/>
      <c r="X29" s="68"/>
      <c r="Y29" s="70"/>
      <c r="Z29" s="230"/>
      <c r="AA29" t="s">
        <v>249</v>
      </c>
      <c r="AC29" t="s">
        <v>47</v>
      </c>
      <c r="AD29" s="178">
        <v>95</v>
      </c>
      <c r="AF29" s="186"/>
    </row>
    <row r="30" spans="1:32" x14ac:dyDescent="0.35">
      <c r="A30" s="222"/>
      <c r="B30" s="83" t="s">
        <v>51</v>
      </c>
      <c r="C30" s="84"/>
      <c r="D30" s="84">
        <v>123.17</v>
      </c>
      <c r="E30" s="80">
        <v>135</v>
      </c>
      <c r="F30" s="84">
        <f>+F24/$R$24*$R$30</f>
        <v>3.4334390713320673</v>
      </c>
      <c r="G30" s="84">
        <f t="shared" ref="G30:Q30" si="12">+G24/$R$24*$R$30</f>
        <v>6.8391411555188428</v>
      </c>
      <c r="H30" s="84">
        <f t="shared" si="12"/>
        <v>10.228024648883849</v>
      </c>
      <c r="I30" s="84">
        <f t="shared" si="12"/>
        <v>10.041303954591509</v>
      </c>
      <c r="J30" s="84">
        <f t="shared" si="12"/>
        <v>9.1068006199748552</v>
      </c>
      <c r="K30" s="84">
        <f t="shared" si="12"/>
        <v>11.651290549698874</v>
      </c>
      <c r="L30" s="84">
        <f t="shared" si="12"/>
        <v>9.3130936500863033</v>
      </c>
      <c r="M30" s="84">
        <f t="shared" si="12"/>
        <v>13.789761258161159</v>
      </c>
      <c r="N30" s="84">
        <f t="shared" si="12"/>
        <v>15.421026485535354</v>
      </c>
      <c r="O30" s="84">
        <f t="shared" si="12"/>
        <v>9.0542440324364382</v>
      </c>
      <c r="P30" s="84">
        <f t="shared" si="12"/>
        <v>16.855399840896052</v>
      </c>
      <c r="Q30" s="84">
        <f t="shared" si="12"/>
        <v>19.266474732884699</v>
      </c>
      <c r="R30" s="80">
        <v>135</v>
      </c>
      <c r="S30" s="85">
        <v>135</v>
      </c>
      <c r="T30" s="82"/>
      <c r="U30" s="3"/>
      <c r="V30" s="68"/>
      <c r="W30" s="69"/>
      <c r="X30" s="68"/>
      <c r="Y30" s="70"/>
      <c r="Z30" s="230"/>
      <c r="AA30" t="s">
        <v>250</v>
      </c>
      <c r="AC30" t="s">
        <v>47</v>
      </c>
      <c r="AD30" s="178">
        <v>64.882000000000005</v>
      </c>
      <c r="AF30" s="186"/>
    </row>
    <row r="31" spans="1:32" x14ac:dyDescent="0.35">
      <c r="A31" s="86"/>
      <c r="B31" s="1"/>
      <c r="C31" s="87"/>
      <c r="D31" s="87"/>
      <c r="E31" s="87"/>
      <c r="F31" s="88">
        <f>+F23-F24</f>
        <v>66.470891298343844</v>
      </c>
      <c r="G31" s="88">
        <f t="shared" ref="G31:R31" si="13">+G23-G24</f>
        <v>39.506138079717942</v>
      </c>
      <c r="H31" s="88">
        <f t="shared" si="13"/>
        <v>-38.256193437446285</v>
      </c>
      <c r="I31" s="88">
        <f t="shared" si="13"/>
        <v>0.74803945811370909</v>
      </c>
      <c r="J31" s="88">
        <f t="shared" si="13"/>
        <v>3.2384291996651768</v>
      </c>
      <c r="K31" s="88">
        <f t="shared" si="13"/>
        <v>-17.687304598394391</v>
      </c>
      <c r="L31" s="88">
        <f t="shared" si="13"/>
        <v>58.273543616893008</v>
      </c>
      <c r="M31" s="88">
        <f t="shared" si="13"/>
        <v>-57.370589491074384</v>
      </c>
      <c r="N31" s="88">
        <f t="shared" si="13"/>
        <v>-29.674078933192078</v>
      </c>
      <c r="O31" s="88">
        <f t="shared" si="13"/>
        <v>-16.672768451052065</v>
      </c>
      <c r="P31" s="88">
        <f t="shared" si="13"/>
        <v>-43.719062072593573</v>
      </c>
      <c r="Q31" s="88">
        <f t="shared" si="13"/>
        <v>-63.25704466898091</v>
      </c>
      <c r="R31" s="88">
        <f t="shared" si="13"/>
        <v>-98.400000000000091</v>
      </c>
      <c r="S31" s="89">
        <f>+S29/S30</f>
        <v>0.90032592592592586</v>
      </c>
      <c r="T31" s="90"/>
      <c r="U31" s="3"/>
      <c r="V31" s="68"/>
      <c r="W31" s="69"/>
      <c r="X31" s="68"/>
      <c r="Y31" s="70"/>
      <c r="Z31" s="230"/>
      <c r="AA31" t="s">
        <v>251</v>
      </c>
      <c r="AC31" t="s">
        <v>47</v>
      </c>
      <c r="AD31" s="178">
        <v>20</v>
      </c>
      <c r="AF31" s="186"/>
    </row>
    <row r="32" spans="1:32" x14ac:dyDescent="0.35">
      <c r="A32" s="86"/>
      <c r="B32" s="1"/>
      <c r="C32" s="1"/>
      <c r="D32" s="1"/>
      <c r="E32" s="1"/>
      <c r="F32" s="189">
        <f>+F31/F24</f>
        <v>1.8884254104768372</v>
      </c>
      <c r="G32" s="189">
        <f t="shared" ref="G32:Q32" si="14">+G31/G24</f>
        <v>0.56345688281492134</v>
      </c>
      <c r="H32" s="189">
        <f t="shared" si="14"/>
        <v>-0.3648443852796226</v>
      </c>
      <c r="I32" s="189">
        <f t="shared" si="14"/>
        <v>7.2666136741133622E-3</v>
      </c>
      <c r="J32" s="189">
        <f t="shared" si="14"/>
        <v>3.4686961368623023E-2</v>
      </c>
      <c r="K32" s="189">
        <f t="shared" si="14"/>
        <v>-0.14807621367315593</v>
      </c>
      <c r="L32" s="189">
        <f t="shared" si="14"/>
        <v>0.61034464227563823</v>
      </c>
      <c r="M32" s="189">
        <f t="shared" si="14"/>
        <v>-0.40581700690083455</v>
      </c>
      <c r="N32" s="189">
        <f t="shared" si="14"/>
        <v>-0.1876988634453024</v>
      </c>
      <c r="O32" s="189">
        <f t="shared" si="14"/>
        <v>-0.17961938357660664</v>
      </c>
      <c r="P32" s="189">
        <f t="shared" si="14"/>
        <v>-0.25300520470549209</v>
      </c>
      <c r="Q32" s="189">
        <f t="shared" si="14"/>
        <v>-0.32026119454649338</v>
      </c>
      <c r="R32" s="190"/>
      <c r="S32" s="96"/>
      <c r="T32" s="97"/>
      <c r="U32" s="98"/>
      <c r="V32" s="68"/>
      <c r="W32" s="72"/>
      <c r="X32" s="68"/>
      <c r="Y32" s="70"/>
      <c r="Z32" s="230"/>
      <c r="AA32" t="s">
        <v>252</v>
      </c>
      <c r="AC32" t="s">
        <v>47</v>
      </c>
      <c r="AD32" s="178">
        <v>13.3</v>
      </c>
      <c r="AF32" s="186"/>
    </row>
    <row r="33" spans="1:32" ht="15.5" x14ac:dyDescent="0.35">
      <c r="A33" s="219" t="s">
        <v>55</v>
      </c>
      <c r="B33" s="29" t="s">
        <v>56</v>
      </c>
      <c r="C33" s="99" t="s">
        <v>15</v>
      </c>
      <c r="D33" s="170">
        <v>45261</v>
      </c>
      <c r="E33" s="170"/>
      <c r="F33" s="99" t="s">
        <v>32</v>
      </c>
      <c r="G33" s="100" t="s">
        <v>5</v>
      </c>
      <c r="H33" s="99" t="s">
        <v>6</v>
      </c>
      <c r="I33" s="99" t="s">
        <v>33</v>
      </c>
      <c r="J33" s="99" t="s">
        <v>8</v>
      </c>
      <c r="K33" s="99" t="s">
        <v>9</v>
      </c>
      <c r="L33" s="99" t="s">
        <v>10</v>
      </c>
      <c r="M33" s="99" t="s">
        <v>34</v>
      </c>
      <c r="N33" s="99" t="s">
        <v>35</v>
      </c>
      <c r="O33" s="99" t="s">
        <v>13</v>
      </c>
      <c r="P33" s="99" t="s">
        <v>14</v>
      </c>
      <c r="Q33" s="99" t="s">
        <v>15</v>
      </c>
      <c r="R33" s="101" t="s">
        <v>57</v>
      </c>
      <c r="S33" s="1"/>
      <c r="T33" s="1"/>
      <c r="U33" s="3"/>
      <c r="V33" s="68"/>
      <c r="W33" s="72"/>
      <c r="X33" s="1"/>
      <c r="Y33" s="70"/>
      <c r="Z33" s="230"/>
      <c r="AA33" t="s">
        <v>248</v>
      </c>
      <c r="AC33" s="178" t="s">
        <v>25</v>
      </c>
      <c r="AD33" s="178">
        <v>15.5</v>
      </c>
      <c r="AF33" s="186"/>
    </row>
    <row r="34" spans="1:32" x14ac:dyDescent="0.35">
      <c r="A34" s="219"/>
      <c r="B34" s="86" t="s">
        <v>186</v>
      </c>
      <c r="C34" s="102"/>
      <c r="D34" s="102"/>
      <c r="E34" s="102"/>
      <c r="F34" s="102">
        <v>7</v>
      </c>
      <c r="G34" s="102">
        <v>9</v>
      </c>
      <c r="H34" s="102">
        <v>8</v>
      </c>
      <c r="I34" s="102">
        <v>10</v>
      </c>
      <c r="J34" s="102">
        <v>16</v>
      </c>
      <c r="K34" s="102">
        <v>10</v>
      </c>
      <c r="L34" s="102">
        <v>12</v>
      </c>
      <c r="M34" s="102">
        <v>6</v>
      </c>
      <c r="N34" s="102">
        <v>7</v>
      </c>
      <c r="O34" s="102">
        <v>9</v>
      </c>
      <c r="P34" s="102">
        <v>7</v>
      </c>
      <c r="Q34" s="102">
        <v>10</v>
      </c>
      <c r="R34" s="103">
        <f>+SUM(F34:Q34)</f>
        <v>111</v>
      </c>
      <c r="S34" s="1"/>
      <c r="T34" s="1"/>
      <c r="U34" s="3"/>
      <c r="V34" s="68"/>
      <c r="W34" s="72"/>
      <c r="X34" s="1"/>
      <c r="Y34" s="68"/>
      <c r="Z34" s="230"/>
      <c r="AC34" s="185"/>
      <c r="AF34" s="186"/>
    </row>
    <row r="35" spans="1:32" x14ac:dyDescent="0.35">
      <c r="A35" s="219"/>
      <c r="B35" s="86" t="s">
        <v>187</v>
      </c>
      <c r="C35" s="102"/>
      <c r="D35" s="102"/>
      <c r="E35" s="102"/>
      <c r="F35" s="105">
        <v>4</v>
      </c>
      <c r="G35" s="105">
        <v>7</v>
      </c>
      <c r="H35" s="105">
        <v>12</v>
      </c>
      <c r="I35" s="105">
        <v>9</v>
      </c>
      <c r="J35" s="105">
        <v>10</v>
      </c>
      <c r="K35" s="105">
        <v>19</v>
      </c>
      <c r="L35" s="105">
        <v>9</v>
      </c>
      <c r="M35" s="105">
        <v>12</v>
      </c>
      <c r="N35" s="105">
        <v>13</v>
      </c>
      <c r="O35" s="105">
        <v>8</v>
      </c>
      <c r="P35" s="105">
        <v>14</v>
      </c>
      <c r="Q35" s="105">
        <v>18</v>
      </c>
      <c r="R35" s="106">
        <f>+SUM(F35:Q35)</f>
        <v>135</v>
      </c>
      <c r="S35" s="1"/>
      <c r="T35" s="1"/>
      <c r="U35" s="3"/>
      <c r="V35" s="68"/>
      <c r="W35" s="72"/>
      <c r="X35" s="1"/>
      <c r="Y35" s="68"/>
      <c r="Z35" s="175"/>
      <c r="AC35" s="185"/>
      <c r="AF35" s="186"/>
    </row>
    <row r="36" spans="1:32" x14ac:dyDescent="0.35">
      <c r="A36" s="219"/>
      <c r="B36" s="86" t="s">
        <v>189</v>
      </c>
      <c r="C36" s="102"/>
      <c r="D36" s="102"/>
      <c r="E36" s="102"/>
      <c r="F36" s="105">
        <f>+F34</f>
        <v>7</v>
      </c>
      <c r="G36" s="105">
        <f>+F34+G34</f>
        <v>16</v>
      </c>
      <c r="H36" s="105">
        <f>+G36+H34</f>
        <v>24</v>
      </c>
      <c r="I36" s="105">
        <f>+H36+I34</f>
        <v>34</v>
      </c>
      <c r="J36" s="105">
        <f>+I36+J34</f>
        <v>50</v>
      </c>
      <c r="K36" s="105">
        <f t="shared" ref="K36:P36" si="15">+J36+K34</f>
        <v>60</v>
      </c>
      <c r="L36" s="105">
        <f t="shared" si="15"/>
        <v>72</v>
      </c>
      <c r="M36" s="105">
        <f t="shared" si="15"/>
        <v>78</v>
      </c>
      <c r="N36" s="105">
        <f t="shared" si="15"/>
        <v>85</v>
      </c>
      <c r="O36" s="105">
        <f t="shared" si="15"/>
        <v>94</v>
      </c>
      <c r="P36" s="105">
        <f t="shared" si="15"/>
        <v>101</v>
      </c>
      <c r="Q36" s="105"/>
      <c r="R36" s="106"/>
      <c r="S36" s="1"/>
      <c r="T36" s="1"/>
      <c r="U36" s="3"/>
      <c r="V36" s="68"/>
      <c r="W36" s="72"/>
      <c r="X36" s="1"/>
      <c r="Y36" s="68"/>
      <c r="Z36" s="175"/>
      <c r="AC36" s="185"/>
    </row>
    <row r="37" spans="1:32" x14ac:dyDescent="0.35">
      <c r="A37" s="219"/>
      <c r="B37" s="104" t="s">
        <v>188</v>
      </c>
      <c r="C37" s="105"/>
      <c r="D37" s="105"/>
      <c r="E37" s="105"/>
      <c r="F37" s="105">
        <v>4</v>
      </c>
      <c r="G37" s="105">
        <f>+G35+F35</f>
        <v>11</v>
      </c>
      <c r="H37" s="105">
        <f>+G37+H35</f>
        <v>23</v>
      </c>
      <c r="I37" s="105">
        <f t="shared" ref="I37:Q37" si="16">+H37+I35</f>
        <v>32</v>
      </c>
      <c r="J37" s="105">
        <f t="shared" si="16"/>
        <v>42</v>
      </c>
      <c r="K37" s="105">
        <f t="shared" si="16"/>
        <v>61</v>
      </c>
      <c r="L37" s="105">
        <f t="shared" si="16"/>
        <v>70</v>
      </c>
      <c r="M37" s="105">
        <f t="shared" si="16"/>
        <v>82</v>
      </c>
      <c r="N37" s="105">
        <f t="shared" si="16"/>
        <v>95</v>
      </c>
      <c r="O37" s="105">
        <f t="shared" si="16"/>
        <v>103</v>
      </c>
      <c r="P37" s="105">
        <f t="shared" si="16"/>
        <v>117</v>
      </c>
      <c r="Q37" s="105">
        <f t="shared" si="16"/>
        <v>135</v>
      </c>
      <c r="R37" s="106"/>
      <c r="S37" s="1"/>
      <c r="T37" s="1"/>
      <c r="U37" s="3"/>
      <c r="V37" s="68"/>
      <c r="W37" s="72"/>
      <c r="X37" s="1"/>
      <c r="Y37" s="68"/>
      <c r="Z37" s="72"/>
    </row>
    <row r="38" spans="1:32" x14ac:dyDescent="0.35">
      <c r="A38" s="86"/>
      <c r="B38" s="1"/>
      <c r="C38" s="1"/>
      <c r="D38" s="1"/>
      <c r="E38" s="1"/>
      <c r="F38" s="107"/>
      <c r="G38" s="108"/>
      <c r="H38" s="107"/>
      <c r="I38" s="10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3"/>
      <c r="V38" s="68"/>
      <c r="W38" s="72"/>
      <c r="X38" s="1"/>
      <c r="Y38" s="68"/>
      <c r="Z38" s="171" t="s">
        <v>177</v>
      </c>
      <c r="AA38" s="173"/>
      <c r="AB38" s="172"/>
      <c r="AC38" s="179"/>
      <c r="AD38" s="179">
        <f>+SUM(AD25:AD33)</f>
        <v>208.68200000000002</v>
      </c>
    </row>
    <row r="39" spans="1:32" ht="15.5" hidden="1" x14ac:dyDescent="0.35">
      <c r="A39" s="219" t="s">
        <v>60</v>
      </c>
      <c r="B39" s="29" t="s">
        <v>61</v>
      </c>
      <c r="C39" s="99"/>
      <c r="D39" s="99"/>
      <c r="E39" s="99"/>
      <c r="F39" s="99" t="s">
        <v>62</v>
      </c>
      <c r="G39" s="100" t="s">
        <v>63</v>
      </c>
      <c r="H39" s="99" t="s">
        <v>64</v>
      </c>
      <c r="I39" s="99" t="s">
        <v>65</v>
      </c>
      <c r="J39" s="99" t="s">
        <v>66</v>
      </c>
      <c r="K39" s="99" t="s">
        <v>67</v>
      </c>
      <c r="L39" s="99" t="s">
        <v>68</v>
      </c>
      <c r="M39" s="99" t="s">
        <v>69</v>
      </c>
      <c r="N39" s="99" t="s">
        <v>70</v>
      </c>
      <c r="O39" s="99" t="s">
        <v>71</v>
      </c>
      <c r="P39" s="99" t="s">
        <v>72</v>
      </c>
      <c r="Q39" s="99" t="s">
        <v>73</v>
      </c>
      <c r="R39" s="101" t="s">
        <v>74</v>
      </c>
      <c r="S39" s="5"/>
      <c r="T39" s="5"/>
      <c r="U39" s="3"/>
      <c r="V39" s="68"/>
      <c r="W39" s="72"/>
      <c r="X39" s="1"/>
      <c r="Y39" s="68"/>
      <c r="Z39" s="72"/>
    </row>
    <row r="40" spans="1:32" hidden="1" x14ac:dyDescent="0.35">
      <c r="A40" s="219"/>
      <c r="B40" s="1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1"/>
      <c r="S40" s="1"/>
      <c r="T40" s="1"/>
      <c r="U40" s="3"/>
      <c r="V40" s="68"/>
      <c r="W40" s="72"/>
      <c r="X40" s="1"/>
      <c r="Y40" s="68"/>
      <c r="Z40" s="72"/>
    </row>
    <row r="41" spans="1:32" hidden="1" x14ac:dyDescent="0.35">
      <c r="A41" s="223"/>
      <c r="B41" s="112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4"/>
      <c r="S41" s="1"/>
      <c r="T41" s="1"/>
      <c r="U41" s="3"/>
      <c r="V41" s="1"/>
      <c r="W41" s="1"/>
      <c r="X41" s="4"/>
      <c r="Y41" s="68"/>
      <c r="Z41" s="72"/>
    </row>
    <row r="42" spans="1:32" hidden="1" x14ac:dyDescent="0.35">
      <c r="A42" s="1"/>
      <c r="B42" s="1"/>
      <c r="C42" s="115"/>
      <c r="D42" s="169"/>
      <c r="E42" s="169"/>
      <c r="F42" s="1"/>
      <c r="G42" s="2"/>
      <c r="H42" s="1"/>
      <c r="I42" s="1"/>
      <c r="J42" s="1"/>
      <c r="K42" s="1"/>
      <c r="L42" s="1"/>
      <c r="M42" s="1"/>
      <c r="N42" s="1"/>
      <c r="O42" s="1"/>
      <c r="P42" s="115"/>
      <c r="Q42" s="115"/>
      <c r="R42" s="115"/>
      <c r="S42" s="1"/>
      <c r="T42" s="1"/>
      <c r="U42" s="3"/>
      <c r="V42" s="1"/>
      <c r="W42" s="4"/>
      <c r="X42" s="4"/>
      <c r="Y42" s="68"/>
      <c r="Z42" s="72"/>
    </row>
    <row r="43" spans="1:32" ht="15.5" x14ac:dyDescent="0.35">
      <c r="A43" s="116"/>
      <c r="B43" s="117"/>
      <c r="C43" s="118"/>
      <c r="D43" s="118"/>
      <c r="E43" s="118"/>
      <c r="F43" s="117"/>
      <c r="G43" s="119" t="s">
        <v>75</v>
      </c>
      <c r="H43" s="217" t="s">
        <v>76</v>
      </c>
      <c r="I43" s="217"/>
      <c r="J43" s="217"/>
      <c r="K43" s="217"/>
      <c r="L43" s="217"/>
      <c r="M43" s="217"/>
      <c r="N43" s="118" t="s">
        <v>63</v>
      </c>
      <c r="O43" s="118" t="s">
        <v>64</v>
      </c>
      <c r="P43" s="118" t="s">
        <v>65</v>
      </c>
      <c r="Q43" s="118" t="s">
        <v>66</v>
      </c>
      <c r="R43" s="118" t="s">
        <v>67</v>
      </c>
      <c r="S43" s="118" t="s">
        <v>69</v>
      </c>
      <c r="T43" s="118" t="s">
        <v>70</v>
      </c>
      <c r="U43" s="118" t="s">
        <v>71</v>
      </c>
      <c r="V43" s="118" t="s">
        <v>72</v>
      </c>
      <c r="W43" s="118" t="s">
        <v>73</v>
      </c>
      <c r="X43" s="120"/>
      <c r="Y43" s="120"/>
      <c r="Z43" s="121"/>
    </row>
    <row r="44" spans="1:32" x14ac:dyDescent="0.35">
      <c r="A44" s="122" t="s">
        <v>77</v>
      </c>
      <c r="B44" s="123" t="s">
        <v>78</v>
      </c>
      <c r="C44" s="124"/>
      <c r="D44" s="124"/>
      <c r="E44" s="124"/>
      <c r="F44" s="125" t="s">
        <v>79</v>
      </c>
      <c r="G44" s="126" t="s">
        <v>80</v>
      </c>
      <c r="H44" s="225" t="s">
        <v>81</v>
      </c>
      <c r="I44" s="225"/>
      <c r="J44" s="225"/>
      <c r="K44" s="225"/>
      <c r="L44" s="225"/>
      <c r="M44" s="225"/>
      <c r="N44" s="124">
        <f t="shared" ref="N44" si="17">+O44-7</f>
        <v>45539</v>
      </c>
      <c r="O44" s="124">
        <f t="shared" ref="O44" si="18">+P44-7</f>
        <v>45546</v>
      </c>
      <c r="P44" s="124">
        <f t="shared" ref="P44" si="19">+Q44-7</f>
        <v>45553</v>
      </c>
      <c r="Q44" s="124">
        <f t="shared" ref="Q44" si="20">+R44-7</f>
        <v>45560</v>
      </c>
      <c r="R44" s="124">
        <f t="shared" ref="R44" si="21">+S44-7</f>
        <v>45567</v>
      </c>
      <c r="S44" s="124">
        <f t="shared" ref="S44" si="22">+T44-7</f>
        <v>45574</v>
      </c>
      <c r="T44" s="124">
        <f t="shared" ref="T44" si="23">+U44-7</f>
        <v>45581</v>
      </c>
      <c r="U44" s="124">
        <f t="shared" ref="U44" si="24">+V44-7</f>
        <v>45588</v>
      </c>
      <c r="V44" s="124">
        <f>+W44-7</f>
        <v>45595</v>
      </c>
      <c r="W44" s="124">
        <v>45602</v>
      </c>
      <c r="X44" s="125" t="s">
        <v>82</v>
      </c>
      <c r="Y44" s="125" t="s">
        <v>83</v>
      </c>
      <c r="Z44" s="127" t="s">
        <v>84</v>
      </c>
    </row>
    <row r="45" spans="1:32" x14ac:dyDescent="0.35">
      <c r="A45" s="128" t="s">
        <v>47</v>
      </c>
      <c r="B45" s="128" t="s">
        <v>221</v>
      </c>
      <c r="C45" s="4"/>
      <c r="D45" s="4"/>
      <c r="E45" s="4"/>
      <c r="F45" s="142">
        <v>8</v>
      </c>
      <c r="G45" s="68" t="s">
        <v>97</v>
      </c>
      <c r="H45" s="224" t="s">
        <v>222</v>
      </c>
      <c r="I45" s="224"/>
      <c r="J45" s="224"/>
      <c r="K45" s="224"/>
      <c r="L45" s="224"/>
      <c r="M45" s="224"/>
      <c r="N45" s="144"/>
      <c r="O45" s="130" t="s">
        <v>88</v>
      </c>
      <c r="P45" s="131" t="s">
        <v>89</v>
      </c>
      <c r="Q45" s="131" t="s">
        <v>89</v>
      </c>
      <c r="R45" s="131" t="s">
        <v>89</v>
      </c>
      <c r="S45" s="131" t="s">
        <v>89</v>
      </c>
      <c r="T45" s="131" t="s">
        <v>89</v>
      </c>
      <c r="U45" s="131" t="s">
        <v>89</v>
      </c>
      <c r="V45" s="131" t="s">
        <v>89</v>
      </c>
      <c r="W45" s="131" t="s">
        <v>89</v>
      </c>
      <c r="X45" s="4" t="s">
        <v>100</v>
      </c>
      <c r="Y45" s="139" t="s">
        <v>214</v>
      </c>
      <c r="Z45" s="4" t="str">
        <f t="shared" ref="Z45:Z49" si="25">+G45</f>
        <v>LMM 3</v>
      </c>
    </row>
    <row r="46" spans="1:32" x14ac:dyDescent="0.35">
      <c r="A46" s="128" t="s">
        <v>47</v>
      </c>
      <c r="B46" s="128" t="s">
        <v>223</v>
      </c>
      <c r="C46" s="4"/>
      <c r="D46" s="4"/>
      <c r="E46" s="4"/>
      <c r="F46" s="142">
        <v>6.07</v>
      </c>
      <c r="G46" s="68" t="s">
        <v>97</v>
      </c>
      <c r="H46" s="224" t="s">
        <v>224</v>
      </c>
      <c r="I46" s="224"/>
      <c r="J46" s="224"/>
      <c r="K46" s="224"/>
      <c r="L46" s="224"/>
      <c r="M46" s="224"/>
      <c r="N46" s="144"/>
      <c r="O46" s="144"/>
      <c r="P46" s="144"/>
      <c r="Q46" s="130" t="s">
        <v>88</v>
      </c>
      <c r="R46" s="131" t="s">
        <v>89</v>
      </c>
      <c r="S46" s="131" t="s">
        <v>89</v>
      </c>
      <c r="T46" s="131" t="s">
        <v>89</v>
      </c>
      <c r="U46" s="131" t="s">
        <v>89</v>
      </c>
      <c r="V46" s="131" t="s">
        <v>89</v>
      </c>
      <c r="W46" s="131" t="s">
        <v>89</v>
      </c>
      <c r="X46" s="4" t="s">
        <v>90</v>
      </c>
      <c r="Y46" s="139" t="s">
        <v>214</v>
      </c>
      <c r="Z46" s="133" t="str">
        <f t="shared" si="25"/>
        <v>LMM 3</v>
      </c>
    </row>
    <row r="47" spans="1:32" ht="15" customHeight="1" x14ac:dyDescent="0.35">
      <c r="A47" s="128" t="s">
        <v>47</v>
      </c>
      <c r="B47" s="128" t="s">
        <v>225</v>
      </c>
      <c r="C47" s="4"/>
      <c r="D47" s="4"/>
      <c r="E47" s="4"/>
      <c r="F47" s="142">
        <v>5</v>
      </c>
      <c r="G47" s="68" t="s">
        <v>94</v>
      </c>
      <c r="H47" s="224" t="s">
        <v>226</v>
      </c>
      <c r="I47" s="224"/>
      <c r="J47" s="224"/>
      <c r="K47" s="224"/>
      <c r="L47" s="224"/>
      <c r="M47" s="224"/>
      <c r="N47" s="144"/>
      <c r="O47" s="130" t="s">
        <v>88</v>
      </c>
      <c r="P47" s="131" t="s">
        <v>89</v>
      </c>
      <c r="Q47" s="131" t="s">
        <v>89</v>
      </c>
      <c r="R47" s="131" t="s">
        <v>89</v>
      </c>
      <c r="S47" s="131" t="s">
        <v>89</v>
      </c>
      <c r="T47" s="131" t="s">
        <v>89</v>
      </c>
      <c r="U47" s="131" t="s">
        <v>89</v>
      </c>
      <c r="V47" s="131" t="s">
        <v>89</v>
      </c>
      <c r="W47" s="131" t="s">
        <v>89</v>
      </c>
      <c r="X47" s="4" t="s">
        <v>90</v>
      </c>
      <c r="Y47" s="139" t="s">
        <v>214</v>
      </c>
      <c r="Z47" s="133" t="str">
        <f t="shared" si="25"/>
        <v>LMM 4</v>
      </c>
    </row>
    <row r="48" spans="1:32" x14ac:dyDescent="0.35">
      <c r="A48" s="128" t="s">
        <v>47</v>
      </c>
      <c r="B48" s="128" t="s">
        <v>162</v>
      </c>
      <c r="C48" s="4"/>
      <c r="D48" s="4"/>
      <c r="E48" s="4"/>
      <c r="F48" s="142">
        <v>5</v>
      </c>
      <c r="G48" s="68" t="s">
        <v>94</v>
      </c>
      <c r="H48" s="224" t="s">
        <v>227</v>
      </c>
      <c r="I48" s="224"/>
      <c r="J48" s="224"/>
      <c r="K48" s="224"/>
      <c r="L48" s="224"/>
      <c r="M48" s="224"/>
      <c r="N48" s="130" t="s">
        <v>88</v>
      </c>
      <c r="O48" s="131" t="s">
        <v>89</v>
      </c>
      <c r="P48" s="131" t="s">
        <v>89</v>
      </c>
      <c r="Q48" s="131" t="s">
        <v>89</v>
      </c>
      <c r="R48" s="131" t="s">
        <v>89</v>
      </c>
      <c r="S48" s="131" t="s">
        <v>89</v>
      </c>
      <c r="T48" s="131" t="s">
        <v>89</v>
      </c>
      <c r="U48" s="131" t="s">
        <v>89</v>
      </c>
      <c r="V48" s="131" t="s">
        <v>89</v>
      </c>
      <c r="W48" s="131" t="s">
        <v>89</v>
      </c>
      <c r="X48" s="4" t="s">
        <v>100</v>
      </c>
      <c r="Y48" s="139" t="s">
        <v>214</v>
      </c>
      <c r="Z48" s="133" t="str">
        <f t="shared" si="25"/>
        <v>LMM 4</v>
      </c>
    </row>
    <row r="49" spans="1:26" ht="15" customHeight="1" x14ac:dyDescent="0.35">
      <c r="A49" s="128" t="s">
        <v>47</v>
      </c>
      <c r="B49" s="128" t="s">
        <v>228</v>
      </c>
      <c r="C49" s="4"/>
      <c r="D49" s="4"/>
      <c r="E49" s="4"/>
      <c r="F49" s="142">
        <v>4.45</v>
      </c>
      <c r="G49" s="68" t="s">
        <v>94</v>
      </c>
      <c r="H49" s="224" t="s">
        <v>229</v>
      </c>
      <c r="I49" s="224"/>
      <c r="J49" s="224"/>
      <c r="K49" s="224"/>
      <c r="L49" s="224"/>
      <c r="M49" s="224"/>
      <c r="N49" s="131" t="s">
        <v>89</v>
      </c>
      <c r="O49" s="131" t="s">
        <v>89</v>
      </c>
      <c r="P49" s="131" t="s">
        <v>89</v>
      </c>
      <c r="Q49" s="131" t="s">
        <v>89</v>
      </c>
      <c r="R49" s="131" t="s">
        <v>89</v>
      </c>
      <c r="S49" s="131" t="s">
        <v>89</v>
      </c>
      <c r="T49" s="131" t="s">
        <v>89</v>
      </c>
      <c r="U49" s="131" t="s">
        <v>89</v>
      </c>
      <c r="V49" s="131" t="s">
        <v>89</v>
      </c>
      <c r="W49" s="131" t="s">
        <v>89</v>
      </c>
      <c r="X49" s="4" t="s">
        <v>90</v>
      </c>
      <c r="Y49" s="139" t="s">
        <v>214</v>
      </c>
      <c r="Z49" s="133" t="str">
        <f t="shared" si="25"/>
        <v>LMM 4</v>
      </c>
    </row>
    <row r="50" spans="1:26" x14ac:dyDescent="0.35">
      <c r="A50" s="128" t="s">
        <v>25</v>
      </c>
      <c r="B50" s="128" t="s">
        <v>230</v>
      </c>
      <c r="C50" s="4"/>
      <c r="D50" s="4"/>
      <c r="E50" s="4"/>
      <c r="F50" s="142">
        <v>4.22</v>
      </c>
      <c r="G50" s="68" t="s">
        <v>94</v>
      </c>
      <c r="H50" s="224" t="s">
        <v>231</v>
      </c>
      <c r="I50" s="224"/>
      <c r="J50" s="224"/>
      <c r="K50" s="224"/>
      <c r="L50" s="224"/>
      <c r="M50" s="224"/>
      <c r="N50" s="131" t="s">
        <v>89</v>
      </c>
      <c r="O50" s="131" t="s">
        <v>89</v>
      </c>
      <c r="P50" s="131" t="s">
        <v>89</v>
      </c>
      <c r="Q50" s="131" t="s">
        <v>89</v>
      </c>
      <c r="R50" s="131" t="s">
        <v>89</v>
      </c>
      <c r="S50" s="131" t="s">
        <v>89</v>
      </c>
      <c r="T50" s="131" t="s">
        <v>89</v>
      </c>
      <c r="U50" s="131" t="s">
        <v>89</v>
      </c>
      <c r="V50" s="131" t="s">
        <v>89</v>
      </c>
      <c r="W50" s="131" t="s">
        <v>89</v>
      </c>
      <c r="X50" s="4" t="s">
        <v>90</v>
      </c>
      <c r="Y50" s="139" t="s">
        <v>214</v>
      </c>
      <c r="Z50" s="133" t="str">
        <f t="shared" ref="Z50:Z53" si="26">+G50</f>
        <v>LMM 4</v>
      </c>
    </row>
    <row r="51" spans="1:26" ht="15" customHeight="1" x14ac:dyDescent="0.35">
      <c r="A51" s="128" t="s">
        <v>25</v>
      </c>
      <c r="B51" s="128" t="s">
        <v>232</v>
      </c>
      <c r="C51" s="4"/>
      <c r="D51" s="4"/>
      <c r="E51" s="4"/>
      <c r="F51" s="142">
        <v>2.9649999999999999</v>
      </c>
      <c r="G51" s="68" t="s">
        <v>108</v>
      </c>
      <c r="H51" s="224" t="s">
        <v>233</v>
      </c>
      <c r="I51" s="224"/>
      <c r="J51" s="224"/>
      <c r="K51" s="224"/>
      <c r="L51" s="224"/>
      <c r="M51" s="224"/>
      <c r="N51" s="131" t="s">
        <v>89</v>
      </c>
      <c r="O51" s="131" t="s">
        <v>89</v>
      </c>
      <c r="P51" s="131" t="s">
        <v>89</v>
      </c>
      <c r="Q51" s="131" t="s">
        <v>89</v>
      </c>
      <c r="R51" s="131" t="s">
        <v>89</v>
      </c>
      <c r="S51" s="131" t="s">
        <v>89</v>
      </c>
      <c r="T51" s="131" t="s">
        <v>89</v>
      </c>
      <c r="U51" s="131" t="s">
        <v>89</v>
      </c>
      <c r="V51" s="131" t="s">
        <v>89</v>
      </c>
      <c r="W51" s="131" t="s">
        <v>89</v>
      </c>
      <c r="X51" s="4" t="s">
        <v>100</v>
      </c>
      <c r="Y51" s="139" t="s">
        <v>214</v>
      </c>
      <c r="Z51" s="4" t="str">
        <f t="shared" ref="Z51" si="27">+G51</f>
        <v>LMM 2</v>
      </c>
    </row>
    <row r="52" spans="1:26" ht="15" customHeight="1" x14ac:dyDescent="0.35">
      <c r="A52" s="128" t="s">
        <v>25</v>
      </c>
      <c r="B52" s="128" t="s">
        <v>234</v>
      </c>
      <c r="C52" s="4"/>
      <c r="D52" s="4"/>
      <c r="E52" s="4"/>
      <c r="F52" s="142">
        <v>2.76</v>
      </c>
      <c r="G52" s="68" t="s">
        <v>86</v>
      </c>
      <c r="H52" s="224" t="s">
        <v>231</v>
      </c>
      <c r="I52" s="224"/>
      <c r="J52" s="224"/>
      <c r="K52" s="224"/>
      <c r="L52" s="224"/>
      <c r="M52" s="224"/>
      <c r="N52" s="131" t="s">
        <v>89</v>
      </c>
      <c r="O52" s="131" t="s">
        <v>89</v>
      </c>
      <c r="P52" s="131" t="s">
        <v>89</v>
      </c>
      <c r="Q52" s="131" t="s">
        <v>89</v>
      </c>
      <c r="R52" s="131" t="s">
        <v>89</v>
      </c>
      <c r="S52" s="131" t="s">
        <v>89</v>
      </c>
      <c r="T52" s="131" t="s">
        <v>89</v>
      </c>
      <c r="U52" s="131" t="s">
        <v>89</v>
      </c>
      <c r="V52" s="131" t="s">
        <v>89</v>
      </c>
      <c r="W52" s="131" t="s">
        <v>89</v>
      </c>
      <c r="X52" s="4" t="s">
        <v>100</v>
      </c>
      <c r="Y52" s="139" t="s">
        <v>214</v>
      </c>
      <c r="Z52" s="133" t="str">
        <f t="shared" si="26"/>
        <v>LMM 1</v>
      </c>
    </row>
    <row r="53" spans="1:26" ht="15" customHeight="1" x14ac:dyDescent="0.35">
      <c r="A53" s="128" t="s">
        <v>25</v>
      </c>
      <c r="B53" s="128" t="s">
        <v>195</v>
      </c>
      <c r="C53" s="4"/>
      <c r="D53" s="4"/>
      <c r="E53" s="4"/>
      <c r="F53" s="142">
        <v>4</v>
      </c>
      <c r="G53" s="68" t="s">
        <v>108</v>
      </c>
      <c r="H53" s="224" t="s">
        <v>235</v>
      </c>
      <c r="I53" s="224"/>
      <c r="J53" s="224"/>
      <c r="K53" s="224"/>
      <c r="L53" s="224"/>
      <c r="M53" s="224"/>
      <c r="N53" s="131" t="s">
        <v>89</v>
      </c>
      <c r="O53" s="131" t="s">
        <v>89</v>
      </c>
      <c r="P53" s="131" t="s">
        <v>89</v>
      </c>
      <c r="Q53" s="131" t="s">
        <v>89</v>
      </c>
      <c r="R53" s="131" t="s">
        <v>89</v>
      </c>
      <c r="S53" s="131" t="s">
        <v>89</v>
      </c>
      <c r="T53" s="131" t="s">
        <v>89</v>
      </c>
      <c r="U53" s="131" t="s">
        <v>89</v>
      </c>
      <c r="V53" s="131" t="s">
        <v>89</v>
      </c>
      <c r="W53" s="131" t="s">
        <v>89</v>
      </c>
      <c r="X53" s="4" t="s">
        <v>90</v>
      </c>
      <c r="Y53" s="139" t="s">
        <v>214</v>
      </c>
      <c r="Z53" s="133" t="str">
        <f t="shared" si="26"/>
        <v>LMM 2</v>
      </c>
    </row>
    <row r="54" spans="1:26" ht="15" customHeight="1" x14ac:dyDescent="0.35">
      <c r="A54" s="128" t="s">
        <v>25</v>
      </c>
      <c r="B54" s="128" t="s">
        <v>236</v>
      </c>
      <c r="C54" s="4"/>
      <c r="D54" s="4"/>
      <c r="E54" s="4"/>
      <c r="F54" s="142">
        <v>2.4449999999999998</v>
      </c>
      <c r="G54" s="68" t="s">
        <v>86</v>
      </c>
      <c r="H54" s="224" t="s">
        <v>237</v>
      </c>
      <c r="I54" s="224"/>
      <c r="J54" s="224"/>
      <c r="K54" s="224"/>
      <c r="L54" s="224"/>
      <c r="M54" s="224"/>
      <c r="N54" s="131" t="s">
        <v>89</v>
      </c>
      <c r="O54" s="131" t="s">
        <v>89</v>
      </c>
      <c r="P54" s="131" t="s">
        <v>89</v>
      </c>
      <c r="Q54" s="131" t="s">
        <v>89</v>
      </c>
      <c r="R54" s="131" t="s">
        <v>89</v>
      </c>
      <c r="S54" s="131" t="s">
        <v>89</v>
      </c>
      <c r="T54" s="131" t="s">
        <v>89</v>
      </c>
      <c r="U54" s="131" t="s">
        <v>89</v>
      </c>
      <c r="V54" s="131" t="s">
        <v>89</v>
      </c>
      <c r="W54" s="131" t="s">
        <v>89</v>
      </c>
      <c r="X54" s="4" t="s">
        <v>90</v>
      </c>
      <c r="Y54" s="139" t="s">
        <v>214</v>
      </c>
      <c r="Z54" s="133" t="str">
        <f t="shared" ref="Z54:Z56" si="28">+G54</f>
        <v>LMM 1</v>
      </c>
    </row>
    <row r="55" spans="1:26" ht="15" customHeight="1" x14ac:dyDescent="0.35">
      <c r="A55" s="128" t="s">
        <v>25</v>
      </c>
      <c r="B55" s="128" t="s">
        <v>238</v>
      </c>
      <c r="C55" s="4"/>
      <c r="D55" s="4"/>
      <c r="E55" s="4"/>
      <c r="F55" s="142">
        <v>1.9279999999999999</v>
      </c>
      <c r="G55" s="68" t="s">
        <v>86</v>
      </c>
      <c r="H55" s="224" t="s">
        <v>239</v>
      </c>
      <c r="I55" s="224"/>
      <c r="J55" s="224"/>
      <c r="K55" s="224"/>
      <c r="L55" s="224"/>
      <c r="M55" s="224"/>
      <c r="N55" s="131" t="s">
        <v>89</v>
      </c>
      <c r="O55" s="131" t="s">
        <v>89</v>
      </c>
      <c r="P55" s="131" t="s">
        <v>89</v>
      </c>
      <c r="Q55" s="131" t="s">
        <v>89</v>
      </c>
      <c r="R55" s="131" t="s">
        <v>89</v>
      </c>
      <c r="S55" s="131" t="s">
        <v>89</v>
      </c>
      <c r="T55" s="131" t="s">
        <v>89</v>
      </c>
      <c r="U55" s="131" t="s">
        <v>89</v>
      </c>
      <c r="V55" s="131" t="s">
        <v>89</v>
      </c>
      <c r="W55" s="131" t="s">
        <v>89</v>
      </c>
      <c r="X55" s="4" t="s">
        <v>90</v>
      </c>
      <c r="Y55" s="139" t="s">
        <v>214</v>
      </c>
      <c r="Z55" s="133" t="str">
        <f t="shared" si="28"/>
        <v>LMM 1</v>
      </c>
    </row>
    <row r="56" spans="1:26" ht="15" customHeight="1" x14ac:dyDescent="0.35">
      <c r="A56" s="128" t="s">
        <v>25</v>
      </c>
      <c r="B56" s="128" t="s">
        <v>240</v>
      </c>
      <c r="C56" s="4"/>
      <c r="D56" s="4"/>
      <c r="E56" s="4"/>
      <c r="F56" s="142">
        <v>1.696</v>
      </c>
      <c r="G56" s="68" t="s">
        <v>97</v>
      </c>
      <c r="H56" s="224" t="s">
        <v>241</v>
      </c>
      <c r="I56" s="224"/>
      <c r="J56" s="224"/>
      <c r="K56" s="224"/>
      <c r="L56" s="224"/>
      <c r="M56" s="224"/>
      <c r="N56" s="131" t="s">
        <v>89</v>
      </c>
      <c r="O56" s="131" t="s">
        <v>89</v>
      </c>
      <c r="P56" s="131" t="s">
        <v>89</v>
      </c>
      <c r="Q56" s="131" t="s">
        <v>89</v>
      </c>
      <c r="R56" s="131" t="s">
        <v>89</v>
      </c>
      <c r="S56" s="131" t="s">
        <v>89</v>
      </c>
      <c r="T56" s="131" t="s">
        <v>89</v>
      </c>
      <c r="U56" s="131" t="s">
        <v>89</v>
      </c>
      <c r="V56" s="131" t="s">
        <v>89</v>
      </c>
      <c r="W56" s="131" t="s">
        <v>89</v>
      </c>
      <c r="X56" s="4" t="s">
        <v>90</v>
      </c>
      <c r="Y56" s="139" t="s">
        <v>214</v>
      </c>
      <c r="Z56" s="133" t="str">
        <f t="shared" si="28"/>
        <v>LMM 3</v>
      </c>
    </row>
    <row r="57" spans="1:26" x14ac:dyDescent="0.35">
      <c r="A57" s="152"/>
      <c r="B57" s="128"/>
      <c r="C57" s="4"/>
      <c r="D57" s="4"/>
      <c r="E57" s="4"/>
      <c r="F57" s="142"/>
      <c r="G57" s="68"/>
      <c r="H57" s="181"/>
      <c r="I57" s="181"/>
      <c r="J57" s="181"/>
      <c r="K57" s="181"/>
      <c r="L57" s="181"/>
      <c r="M57" s="181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"/>
      <c r="Y57" s="1"/>
      <c r="Z57" s="1"/>
    </row>
    <row r="58" spans="1:26" x14ac:dyDescent="0.35">
      <c r="A58" s="152"/>
      <c r="B58" s="128"/>
      <c r="C58" s="4"/>
      <c r="D58" s="4"/>
      <c r="E58" s="4"/>
      <c r="F58" s="142"/>
      <c r="G58" s="68"/>
      <c r="H58" s="181"/>
      <c r="I58" s="181"/>
      <c r="J58" s="181"/>
      <c r="K58" s="181"/>
      <c r="L58" s="181"/>
      <c r="M58" s="181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"/>
      <c r="Y58" s="1"/>
      <c r="Z58" s="1"/>
    </row>
    <row r="59" spans="1:26" x14ac:dyDescent="0.35">
      <c r="A59" s="152"/>
      <c r="B59" s="128"/>
      <c r="C59" s="4"/>
      <c r="D59" s="4"/>
      <c r="E59" s="4"/>
      <c r="F59" s="142"/>
      <c r="G59" s="68"/>
      <c r="H59" s="181"/>
      <c r="I59" s="181"/>
      <c r="J59" s="181"/>
      <c r="K59" s="181"/>
      <c r="L59" s="181"/>
      <c r="M59" s="181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"/>
      <c r="Y59" s="1"/>
      <c r="Z59" s="1"/>
    </row>
    <row r="60" spans="1:26" ht="15" customHeight="1" x14ac:dyDescent="0.35">
      <c r="A60" s="152"/>
      <c r="B60" s="128"/>
      <c r="C60" s="4"/>
      <c r="D60" s="4"/>
      <c r="E60" s="4"/>
      <c r="F60" s="142"/>
      <c r="G60" s="68"/>
      <c r="H60" s="181"/>
      <c r="I60" s="181"/>
      <c r="J60" s="181"/>
      <c r="K60" s="181"/>
      <c r="L60" s="181"/>
      <c r="M60" s="181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"/>
      <c r="Y60" s="1"/>
      <c r="Z60" s="1"/>
    </row>
    <row r="61" spans="1:26" ht="15" customHeight="1" x14ac:dyDescent="0.35">
      <c r="A61" s="152"/>
      <c r="B61" s="128"/>
      <c r="C61" s="4"/>
      <c r="D61" s="4"/>
      <c r="E61" s="4"/>
      <c r="F61" s="142"/>
      <c r="G61" s="68"/>
      <c r="H61" s="181"/>
      <c r="I61" s="181"/>
      <c r="J61" s="181"/>
      <c r="K61" s="181"/>
      <c r="L61" s="181"/>
      <c r="M61" s="181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"/>
      <c r="Y61" s="1"/>
      <c r="Z61" s="1"/>
    </row>
    <row r="62" spans="1:26" x14ac:dyDescent="0.35">
      <c r="A62" s="152"/>
      <c r="B62" s="128"/>
      <c r="C62" s="4"/>
      <c r="D62" s="4"/>
      <c r="E62" s="4"/>
      <c r="F62" s="142"/>
      <c r="G62" s="68"/>
      <c r="H62" s="224"/>
      <c r="I62" s="224"/>
      <c r="J62" s="224"/>
      <c r="K62" s="224"/>
      <c r="L62" s="224"/>
      <c r="M62" s="22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"/>
      <c r="Y62" s="1"/>
      <c r="Z62" s="1"/>
    </row>
    <row r="63" spans="1:26" x14ac:dyDescent="0.35">
      <c r="A63" s="152"/>
      <c r="B63" s="156"/>
      <c r="C63" s="4"/>
      <c r="D63" s="4"/>
      <c r="E63" s="4"/>
      <c r="F63" s="153"/>
      <c r="G63" s="154"/>
      <c r="H63" s="157"/>
      <c r="I63" s="157"/>
      <c r="J63" s="157"/>
      <c r="K63" s="157"/>
      <c r="L63" s="157"/>
      <c r="M63" s="157"/>
      <c r="N63" s="1"/>
      <c r="O63" s="1"/>
      <c r="P63" s="4"/>
      <c r="Q63" s="4"/>
      <c r="R63" s="155"/>
      <c r="S63" s="4"/>
      <c r="T63" s="4"/>
      <c r="U63" s="3"/>
      <c r="V63" s="1"/>
      <c r="W63" s="1"/>
      <c r="X63" s="1"/>
      <c r="Y63" s="1"/>
      <c r="Z63" s="1"/>
    </row>
    <row r="64" spans="1:26" x14ac:dyDescent="0.35">
      <c r="A64" s="152"/>
      <c r="B64" s="156"/>
      <c r="C64" s="4"/>
      <c r="D64" s="4"/>
      <c r="E64" s="4"/>
      <c r="F64" s="153"/>
      <c r="G64" s="154"/>
      <c r="H64" s="157"/>
      <c r="I64" s="157"/>
      <c r="J64" s="157"/>
      <c r="K64" s="157"/>
      <c r="L64" s="157"/>
      <c r="M64" s="157"/>
      <c r="N64" s="1"/>
      <c r="O64" s="1"/>
      <c r="P64" s="4"/>
      <c r="Q64" s="4"/>
      <c r="R64" s="155"/>
      <c r="S64" s="4"/>
      <c r="T64" s="4"/>
      <c r="U64" s="3"/>
      <c r="V64" s="1"/>
      <c r="W64" s="1"/>
      <c r="X64" s="1"/>
      <c r="Y64" s="1"/>
      <c r="Z64" s="1"/>
    </row>
    <row r="65" spans="1:26" ht="15.5" x14ac:dyDescent="0.35">
      <c r="A65" s="116"/>
      <c r="B65" s="117"/>
      <c r="C65" s="118"/>
      <c r="D65" s="118"/>
      <c r="E65" s="118"/>
      <c r="F65" s="117"/>
      <c r="G65" s="119" t="s">
        <v>75</v>
      </c>
      <c r="H65" s="217" t="s">
        <v>76</v>
      </c>
      <c r="I65" s="217"/>
      <c r="J65" s="217"/>
      <c r="K65" s="217"/>
      <c r="L65" s="217"/>
      <c r="M65" s="217"/>
      <c r="N65" s="118" t="s">
        <v>64</v>
      </c>
      <c r="O65" s="118" t="s">
        <v>65</v>
      </c>
      <c r="P65" s="118" t="s">
        <v>66</v>
      </c>
      <c r="Q65" s="118" t="s">
        <v>67</v>
      </c>
      <c r="R65" s="118" t="s">
        <v>68</v>
      </c>
      <c r="S65" s="118" t="s">
        <v>69</v>
      </c>
      <c r="T65" s="118" t="s">
        <v>70</v>
      </c>
      <c r="U65" s="118" t="s">
        <v>71</v>
      </c>
      <c r="V65" s="118" t="s">
        <v>72</v>
      </c>
      <c r="W65" s="118" t="s">
        <v>73</v>
      </c>
      <c r="X65" s="120"/>
      <c r="Y65" s="120"/>
      <c r="Z65" s="121"/>
    </row>
    <row r="66" spans="1:26" x14ac:dyDescent="0.35">
      <c r="A66" s="122" t="s">
        <v>77</v>
      </c>
      <c r="B66" s="123" t="s">
        <v>78</v>
      </c>
      <c r="C66" s="124"/>
      <c r="D66" s="124"/>
      <c r="E66" s="124"/>
      <c r="F66" s="125" t="s">
        <v>120</v>
      </c>
      <c r="G66" s="126" t="s">
        <v>80</v>
      </c>
      <c r="H66" s="225" t="s">
        <v>81</v>
      </c>
      <c r="I66" s="225"/>
      <c r="J66" s="225"/>
      <c r="K66" s="225"/>
      <c r="L66" s="225"/>
      <c r="M66" s="225"/>
      <c r="N66" s="124">
        <f t="shared" ref="N66" si="29">+O66-7</f>
        <v>45160</v>
      </c>
      <c r="O66" s="124">
        <f t="shared" ref="O66" si="30">+P66-7</f>
        <v>45167</v>
      </c>
      <c r="P66" s="124">
        <f t="shared" ref="P66" si="31">+Q66-7</f>
        <v>45174</v>
      </c>
      <c r="Q66" s="124">
        <f t="shared" ref="Q66" si="32">+R66-7</f>
        <v>45181</v>
      </c>
      <c r="R66" s="124">
        <f t="shared" ref="R66" si="33">+S66-7</f>
        <v>45188</v>
      </c>
      <c r="S66" s="124">
        <f t="shared" ref="S66" si="34">+T66-7</f>
        <v>45195</v>
      </c>
      <c r="T66" s="124">
        <f t="shared" ref="T66:U66" si="35">+U66-7</f>
        <v>45202</v>
      </c>
      <c r="U66" s="124">
        <f t="shared" si="35"/>
        <v>45209</v>
      </c>
      <c r="V66" s="124">
        <f>+W66-7</f>
        <v>45216</v>
      </c>
      <c r="W66" s="124">
        <v>45223</v>
      </c>
      <c r="X66" s="125" t="s">
        <v>82</v>
      </c>
      <c r="Y66" s="125" t="s">
        <v>83</v>
      </c>
      <c r="Z66" s="127" t="s">
        <v>84</v>
      </c>
    </row>
    <row r="67" spans="1:26" hidden="1" x14ac:dyDescent="0.35">
      <c r="A67" s="152" t="s">
        <v>25</v>
      </c>
      <c r="B67" s="152" t="s">
        <v>121</v>
      </c>
      <c r="C67" s="4"/>
      <c r="D67" s="4"/>
      <c r="E67" s="4"/>
      <c r="F67" s="68">
        <v>1.5</v>
      </c>
      <c r="G67" s="158">
        <v>2</v>
      </c>
      <c r="H67" s="227" t="s">
        <v>122</v>
      </c>
      <c r="I67" s="227"/>
      <c r="J67" s="227"/>
      <c r="K67" s="227"/>
      <c r="L67" s="227"/>
      <c r="M67" s="227"/>
      <c r="N67" s="143" t="s">
        <v>99</v>
      </c>
      <c r="O67" s="131" t="s">
        <v>89</v>
      </c>
      <c r="P67" s="131" t="s">
        <v>89</v>
      </c>
      <c r="Q67" s="131" t="s">
        <v>89</v>
      </c>
      <c r="R67" s="131" t="s">
        <v>89</v>
      </c>
      <c r="S67" s="131" t="s">
        <v>89</v>
      </c>
      <c r="T67" s="131" t="s">
        <v>89</v>
      </c>
      <c r="U67" s="131" t="s">
        <v>89</v>
      </c>
      <c r="V67" s="131" t="s">
        <v>89</v>
      </c>
      <c r="W67" s="131" t="s">
        <v>89</v>
      </c>
      <c r="X67" s="159"/>
      <c r="Y67" s="159"/>
      <c r="Z67" s="159"/>
    </row>
    <row r="68" spans="1:26" ht="29" hidden="1" x14ac:dyDescent="0.35">
      <c r="A68" s="152" t="s">
        <v>148</v>
      </c>
      <c r="B68" s="176" t="s">
        <v>123</v>
      </c>
      <c r="C68" s="4"/>
      <c r="D68" s="4"/>
      <c r="E68" s="4"/>
      <c r="F68" s="68">
        <v>1.2</v>
      </c>
      <c r="G68" s="158">
        <v>3</v>
      </c>
      <c r="H68" s="227" t="s">
        <v>182</v>
      </c>
      <c r="I68" s="227"/>
      <c r="J68" s="227"/>
      <c r="K68" s="227"/>
      <c r="L68" s="227"/>
      <c r="M68" s="227"/>
      <c r="N68" s="131" t="s">
        <v>89</v>
      </c>
      <c r="O68" s="131" t="s">
        <v>89</v>
      </c>
      <c r="P68" s="131" t="s">
        <v>89</v>
      </c>
      <c r="Q68" s="131" t="s">
        <v>89</v>
      </c>
      <c r="R68" s="131" t="s">
        <v>89</v>
      </c>
      <c r="S68" s="131" t="s">
        <v>89</v>
      </c>
      <c r="T68" s="131" t="s">
        <v>89</v>
      </c>
      <c r="U68" s="131" t="s">
        <v>89</v>
      </c>
      <c r="V68" s="131" t="s">
        <v>89</v>
      </c>
      <c r="W68" s="131" t="s">
        <v>89</v>
      </c>
      <c r="X68" s="159"/>
      <c r="Y68" s="159"/>
      <c r="Z68" s="159"/>
    </row>
    <row r="69" spans="1:26" hidden="1" x14ac:dyDescent="0.35">
      <c r="A69" s="152" t="s">
        <v>25</v>
      </c>
      <c r="B69" s="176" t="s">
        <v>126</v>
      </c>
      <c r="C69" s="4"/>
      <c r="D69" s="4"/>
      <c r="E69" s="4"/>
      <c r="F69" s="68">
        <v>1.5</v>
      </c>
      <c r="G69" s="158">
        <v>2</v>
      </c>
      <c r="H69" s="233" t="s">
        <v>125</v>
      </c>
      <c r="I69" s="233"/>
      <c r="J69" s="233"/>
      <c r="K69" s="233"/>
      <c r="L69" s="233"/>
      <c r="M69" s="233"/>
      <c r="N69" s="131" t="s">
        <v>89</v>
      </c>
      <c r="O69" s="143" t="s">
        <v>99</v>
      </c>
      <c r="P69" s="143" t="s">
        <v>99</v>
      </c>
      <c r="Q69" s="143" t="s">
        <v>99</v>
      </c>
      <c r="R69" s="143" t="s">
        <v>99</v>
      </c>
      <c r="S69" s="143" t="s">
        <v>99</v>
      </c>
      <c r="T69" s="143" t="s">
        <v>99</v>
      </c>
      <c r="U69" s="143" t="s">
        <v>99</v>
      </c>
      <c r="V69" s="143" t="s">
        <v>99</v>
      </c>
      <c r="W69" s="143" t="s">
        <v>99</v>
      </c>
      <c r="X69" s="159"/>
      <c r="Y69" s="159"/>
      <c r="Z69" s="159"/>
    </row>
    <row r="70" spans="1:26" hidden="1" x14ac:dyDescent="0.35">
      <c r="A70" s="152" t="s">
        <v>25</v>
      </c>
      <c r="B70" s="180" t="s">
        <v>127</v>
      </c>
      <c r="C70" s="4"/>
      <c r="D70" s="4"/>
      <c r="E70" s="4"/>
      <c r="F70" s="68">
        <v>1</v>
      </c>
      <c r="G70" s="158">
        <v>4</v>
      </c>
      <c r="H70" s="227" t="s">
        <v>87</v>
      </c>
      <c r="I70" s="227"/>
      <c r="J70" s="227"/>
      <c r="K70" s="227"/>
      <c r="L70" s="227"/>
      <c r="M70" s="227"/>
      <c r="N70" s="131" t="s">
        <v>89</v>
      </c>
      <c r="O70" s="131" t="s">
        <v>89</v>
      </c>
      <c r="P70" s="131" t="s">
        <v>89</v>
      </c>
      <c r="Q70" s="131" t="s">
        <v>89</v>
      </c>
      <c r="R70" s="131" t="s">
        <v>89</v>
      </c>
      <c r="S70" s="131" t="s">
        <v>89</v>
      </c>
      <c r="T70" s="131" t="s">
        <v>89</v>
      </c>
      <c r="U70" s="131" t="s">
        <v>89</v>
      </c>
      <c r="V70" s="131" t="s">
        <v>89</v>
      </c>
      <c r="W70" s="131" t="s">
        <v>89</v>
      </c>
      <c r="X70" s="159"/>
      <c r="Y70" s="159"/>
      <c r="Z70" s="159"/>
    </row>
    <row r="71" spans="1:26" hidden="1" x14ac:dyDescent="0.35">
      <c r="A71" s="152" t="s">
        <v>25</v>
      </c>
      <c r="B71" s="160" t="s">
        <v>130</v>
      </c>
      <c r="C71" s="4"/>
      <c r="D71" s="4"/>
      <c r="E71" s="4"/>
      <c r="F71" s="68">
        <v>2</v>
      </c>
      <c r="G71" s="158" t="s">
        <v>129</v>
      </c>
      <c r="H71" s="227" t="s">
        <v>156</v>
      </c>
      <c r="I71" s="227"/>
      <c r="J71" s="227"/>
      <c r="K71" s="227"/>
      <c r="L71" s="227"/>
      <c r="M71" s="227"/>
      <c r="N71" s="131" t="s">
        <v>89</v>
      </c>
      <c r="O71" s="131" t="s">
        <v>89</v>
      </c>
      <c r="P71" s="131" t="s">
        <v>89</v>
      </c>
      <c r="Q71" s="131" t="s">
        <v>89</v>
      </c>
      <c r="R71" s="131" t="s">
        <v>89</v>
      </c>
      <c r="S71" s="131" t="s">
        <v>89</v>
      </c>
      <c r="T71" s="131" t="s">
        <v>89</v>
      </c>
      <c r="U71" s="131" t="s">
        <v>89</v>
      </c>
      <c r="V71" s="131" t="s">
        <v>89</v>
      </c>
      <c r="W71" s="131" t="s">
        <v>89</v>
      </c>
      <c r="X71" s="159"/>
      <c r="Y71" s="159"/>
      <c r="Z71" s="159"/>
    </row>
    <row r="72" spans="1:26" hidden="1" x14ac:dyDescent="0.35">
      <c r="A72" s="152" t="s">
        <v>131</v>
      </c>
      <c r="B72" s="152" t="s">
        <v>132</v>
      </c>
      <c r="C72" s="4"/>
      <c r="D72" s="4"/>
      <c r="E72" s="4"/>
      <c r="F72" s="68">
        <v>1.5</v>
      </c>
      <c r="G72" s="158" t="s">
        <v>133</v>
      </c>
      <c r="H72" s="227" t="s">
        <v>134</v>
      </c>
      <c r="I72" s="227"/>
      <c r="J72" s="227"/>
      <c r="K72" s="227"/>
      <c r="L72" s="227"/>
      <c r="M72" s="227"/>
      <c r="N72" s="143" t="s">
        <v>99</v>
      </c>
      <c r="O72" s="143" t="s">
        <v>99</v>
      </c>
      <c r="P72" s="143" t="s">
        <v>99</v>
      </c>
      <c r="Q72" s="143" t="s">
        <v>99</v>
      </c>
      <c r="R72" s="143" t="s">
        <v>99</v>
      </c>
      <c r="S72" s="143" t="s">
        <v>99</v>
      </c>
      <c r="T72" s="143" t="s">
        <v>99</v>
      </c>
      <c r="U72" s="143" t="s">
        <v>99</v>
      </c>
      <c r="V72" s="143" t="s">
        <v>99</v>
      </c>
      <c r="W72" s="143" t="s">
        <v>99</v>
      </c>
      <c r="X72" s="159"/>
      <c r="Y72" s="159"/>
      <c r="Z72" s="159"/>
    </row>
    <row r="73" spans="1:26" hidden="1" x14ac:dyDescent="0.35">
      <c r="A73" s="152" t="s">
        <v>128</v>
      </c>
      <c r="B73" s="152" t="s">
        <v>135</v>
      </c>
      <c r="C73" s="4"/>
      <c r="D73" s="4"/>
      <c r="E73" s="4"/>
      <c r="F73" s="68">
        <v>1</v>
      </c>
      <c r="G73" s="158" t="s">
        <v>136</v>
      </c>
      <c r="H73" s="227" t="s">
        <v>137</v>
      </c>
      <c r="I73" s="227"/>
      <c r="J73" s="227"/>
      <c r="K73" s="227"/>
      <c r="L73" s="227"/>
      <c r="M73" s="227"/>
      <c r="N73" s="143" t="s">
        <v>99</v>
      </c>
      <c r="O73" s="143" t="s">
        <v>99</v>
      </c>
      <c r="P73" s="143" t="s">
        <v>99</v>
      </c>
      <c r="Q73" s="143" t="s">
        <v>99</v>
      </c>
      <c r="R73" s="143" t="s">
        <v>99</v>
      </c>
      <c r="S73" s="143" t="s">
        <v>99</v>
      </c>
      <c r="T73" s="143" t="s">
        <v>99</v>
      </c>
      <c r="U73" s="143" t="s">
        <v>99</v>
      </c>
      <c r="V73" s="143" t="s">
        <v>99</v>
      </c>
      <c r="W73" s="143" t="s">
        <v>99</v>
      </c>
      <c r="X73" s="159"/>
      <c r="Y73" s="159"/>
      <c r="Z73" s="159"/>
    </row>
    <row r="74" spans="1:26" hidden="1" x14ac:dyDescent="0.35">
      <c r="A74" s="152" t="s">
        <v>47</v>
      </c>
      <c r="B74" s="152" t="s">
        <v>138</v>
      </c>
      <c r="C74" s="4"/>
      <c r="D74" s="4"/>
      <c r="E74" s="4"/>
      <c r="F74" s="68">
        <v>1</v>
      </c>
      <c r="G74" s="158" t="s">
        <v>136</v>
      </c>
      <c r="H74" s="227" t="s">
        <v>139</v>
      </c>
      <c r="I74" s="227"/>
      <c r="J74" s="227"/>
      <c r="K74" s="227"/>
      <c r="L74" s="227"/>
      <c r="M74" s="227"/>
      <c r="N74" s="131" t="s">
        <v>89</v>
      </c>
      <c r="O74" s="131" t="s">
        <v>89</v>
      </c>
      <c r="P74" s="131" t="s">
        <v>89</v>
      </c>
      <c r="Q74" s="131" t="s">
        <v>89</v>
      </c>
      <c r="R74" s="131" t="s">
        <v>89</v>
      </c>
      <c r="S74" s="131" t="s">
        <v>89</v>
      </c>
      <c r="T74" s="131" t="s">
        <v>89</v>
      </c>
      <c r="U74" s="131" t="s">
        <v>89</v>
      </c>
      <c r="V74" s="131" t="s">
        <v>89</v>
      </c>
      <c r="W74" s="131" t="s">
        <v>89</v>
      </c>
      <c r="X74" s="159"/>
      <c r="Y74" s="159"/>
      <c r="Z74" s="159"/>
    </row>
    <row r="75" spans="1:26" hidden="1" x14ac:dyDescent="0.35">
      <c r="A75" s="152" t="s">
        <v>25</v>
      </c>
      <c r="B75" s="152" t="s">
        <v>96</v>
      </c>
      <c r="C75" s="4"/>
      <c r="D75" s="4"/>
      <c r="E75" s="4"/>
      <c r="F75" s="68">
        <v>1.5</v>
      </c>
      <c r="G75" s="158" t="s">
        <v>140</v>
      </c>
      <c r="H75" s="227" t="s">
        <v>163</v>
      </c>
      <c r="I75" s="227"/>
      <c r="J75" s="227"/>
      <c r="K75" s="227"/>
      <c r="L75" s="227"/>
      <c r="M75" s="227"/>
      <c r="N75" s="131" t="s">
        <v>89</v>
      </c>
      <c r="O75" s="131" t="s">
        <v>89</v>
      </c>
      <c r="P75" s="131" t="s">
        <v>89</v>
      </c>
      <c r="Q75" s="131" t="s">
        <v>89</v>
      </c>
      <c r="R75" s="131" t="s">
        <v>89</v>
      </c>
      <c r="S75" s="131" t="s">
        <v>89</v>
      </c>
      <c r="T75" s="131" t="s">
        <v>89</v>
      </c>
      <c r="U75" s="131" t="s">
        <v>89</v>
      </c>
      <c r="V75" s="131" t="s">
        <v>89</v>
      </c>
      <c r="W75" s="131" t="s">
        <v>89</v>
      </c>
      <c r="X75" s="159"/>
      <c r="Y75" s="159"/>
      <c r="Z75" s="159"/>
    </row>
    <row r="76" spans="1:26" hidden="1" x14ac:dyDescent="0.35">
      <c r="A76" s="152" t="s">
        <v>47</v>
      </c>
      <c r="B76" s="152" t="s">
        <v>141</v>
      </c>
      <c r="C76" s="4"/>
      <c r="D76" s="4"/>
      <c r="E76" s="4"/>
      <c r="F76" s="68">
        <v>1.2</v>
      </c>
      <c r="G76" s="158" t="s">
        <v>140</v>
      </c>
      <c r="H76" s="227" t="s">
        <v>171</v>
      </c>
      <c r="I76" s="227"/>
      <c r="J76" s="227"/>
      <c r="K76" s="227"/>
      <c r="L76" s="227"/>
      <c r="M76" s="227"/>
      <c r="N76" s="131" t="s">
        <v>89</v>
      </c>
      <c r="O76" s="131" t="s">
        <v>89</v>
      </c>
      <c r="P76" s="131" t="s">
        <v>89</v>
      </c>
      <c r="Q76" s="131" t="s">
        <v>89</v>
      </c>
      <c r="R76" s="131" t="s">
        <v>89</v>
      </c>
      <c r="S76" s="131" t="s">
        <v>89</v>
      </c>
      <c r="T76" s="131" t="s">
        <v>89</v>
      </c>
      <c r="U76" s="131" t="s">
        <v>89</v>
      </c>
      <c r="V76" s="131" t="s">
        <v>89</v>
      </c>
      <c r="W76" s="131" t="s">
        <v>89</v>
      </c>
      <c r="X76" s="159"/>
      <c r="Y76" s="159"/>
      <c r="Z76" s="159"/>
    </row>
    <row r="77" spans="1:26" hidden="1" x14ac:dyDescent="0.35">
      <c r="A77" s="152" t="s">
        <v>47</v>
      </c>
      <c r="B77" s="152" t="s">
        <v>142</v>
      </c>
      <c r="C77" s="4"/>
      <c r="D77" s="4"/>
      <c r="E77" s="4"/>
      <c r="F77" s="68">
        <v>1</v>
      </c>
      <c r="G77" s="158" t="s">
        <v>129</v>
      </c>
      <c r="H77" s="227" t="s">
        <v>143</v>
      </c>
      <c r="I77" s="227"/>
      <c r="J77" s="227"/>
      <c r="K77" s="227"/>
      <c r="L77" s="227"/>
      <c r="M77" s="227"/>
      <c r="N77" s="143" t="s">
        <v>99</v>
      </c>
      <c r="O77" s="143" t="s">
        <v>99</v>
      </c>
      <c r="P77" s="143" t="s">
        <v>99</v>
      </c>
      <c r="Q77" s="143" t="s">
        <v>99</v>
      </c>
      <c r="R77" s="143" t="s">
        <v>99</v>
      </c>
      <c r="S77" s="143" t="s">
        <v>99</v>
      </c>
      <c r="T77" s="143" t="s">
        <v>99</v>
      </c>
      <c r="U77" s="143" t="s">
        <v>99</v>
      </c>
      <c r="V77" s="143" t="s">
        <v>99</v>
      </c>
      <c r="W77" s="143" t="s">
        <v>99</v>
      </c>
      <c r="X77" s="159"/>
      <c r="Y77" s="159"/>
      <c r="Z77" s="159"/>
    </row>
    <row r="78" spans="1:26" ht="29" hidden="1" x14ac:dyDescent="0.35">
      <c r="A78" s="152" t="s">
        <v>25</v>
      </c>
      <c r="B78" s="176" t="s">
        <v>93</v>
      </c>
      <c r="C78" s="4"/>
      <c r="D78" s="4"/>
      <c r="E78" s="4"/>
      <c r="F78" s="68">
        <v>1.5</v>
      </c>
      <c r="G78" s="158" t="s">
        <v>133</v>
      </c>
      <c r="H78" s="227" t="s">
        <v>125</v>
      </c>
      <c r="I78" s="227"/>
      <c r="J78" s="227"/>
      <c r="K78" s="227"/>
      <c r="L78" s="227"/>
      <c r="M78" s="227"/>
      <c r="N78" s="131" t="s">
        <v>89</v>
      </c>
      <c r="O78" s="131" t="s">
        <v>89</v>
      </c>
      <c r="P78" s="131" t="s">
        <v>89</v>
      </c>
      <c r="Q78" s="131" t="s">
        <v>89</v>
      </c>
      <c r="R78" s="131" t="s">
        <v>89</v>
      </c>
      <c r="S78" s="131" t="s">
        <v>89</v>
      </c>
      <c r="T78" s="131" t="s">
        <v>89</v>
      </c>
      <c r="U78" s="131" t="s">
        <v>89</v>
      </c>
      <c r="V78" s="131" t="s">
        <v>89</v>
      </c>
      <c r="W78" s="131" t="s">
        <v>89</v>
      </c>
      <c r="X78" s="159"/>
      <c r="Y78" s="159"/>
      <c r="Z78" s="159"/>
    </row>
    <row r="79" spans="1:26" ht="29" hidden="1" x14ac:dyDescent="0.35">
      <c r="A79" s="152" t="s">
        <v>47</v>
      </c>
      <c r="B79" s="152" t="s">
        <v>145</v>
      </c>
      <c r="C79" s="4"/>
      <c r="D79" s="4"/>
      <c r="E79" s="4"/>
      <c r="F79" s="68">
        <v>1</v>
      </c>
      <c r="G79" s="158" t="s">
        <v>136</v>
      </c>
      <c r="H79" s="227" t="s">
        <v>146</v>
      </c>
      <c r="I79" s="227"/>
      <c r="J79" s="227"/>
      <c r="K79" s="227"/>
      <c r="L79" s="227"/>
      <c r="M79" s="227"/>
      <c r="N79" s="131" t="s">
        <v>89</v>
      </c>
      <c r="O79" s="131" t="s">
        <v>89</v>
      </c>
      <c r="P79" s="131" t="s">
        <v>89</v>
      </c>
      <c r="Q79" s="131" t="s">
        <v>89</v>
      </c>
      <c r="R79" s="131" t="s">
        <v>89</v>
      </c>
      <c r="S79" s="131" t="s">
        <v>89</v>
      </c>
      <c r="T79" s="131" t="s">
        <v>89</v>
      </c>
      <c r="U79" s="131" t="s">
        <v>89</v>
      </c>
      <c r="V79" s="131" t="s">
        <v>89</v>
      </c>
      <c r="W79" s="131" t="s">
        <v>89</v>
      </c>
      <c r="X79" s="159"/>
      <c r="Y79" s="159"/>
      <c r="Z79" s="159"/>
    </row>
    <row r="80" spans="1:26" hidden="1" x14ac:dyDescent="0.35">
      <c r="A80" s="152" t="s">
        <v>144</v>
      </c>
      <c r="B80" s="152" t="s">
        <v>147</v>
      </c>
      <c r="C80" s="4"/>
      <c r="D80" s="4"/>
      <c r="E80" s="4"/>
      <c r="F80" s="68">
        <v>2.5</v>
      </c>
      <c r="G80" s="158"/>
      <c r="H80" s="227" t="s">
        <v>183</v>
      </c>
      <c r="I80" s="227"/>
      <c r="J80" s="227"/>
      <c r="K80" s="227"/>
      <c r="L80" s="227"/>
      <c r="M80" s="227"/>
      <c r="N80" s="131" t="s">
        <v>89</v>
      </c>
      <c r="O80" s="131" t="s">
        <v>89</v>
      </c>
      <c r="P80" s="131" t="s">
        <v>89</v>
      </c>
      <c r="Q80" s="131" t="s">
        <v>89</v>
      </c>
      <c r="R80" s="131" t="s">
        <v>89</v>
      </c>
      <c r="S80" s="131" t="s">
        <v>89</v>
      </c>
      <c r="T80" s="131" t="s">
        <v>89</v>
      </c>
      <c r="U80" s="131" t="s">
        <v>89</v>
      </c>
      <c r="V80" s="131" t="s">
        <v>89</v>
      </c>
      <c r="W80" s="131" t="s">
        <v>89</v>
      </c>
      <c r="X80" s="159"/>
      <c r="Y80" s="159"/>
      <c r="Z80" s="159"/>
    </row>
    <row r="81" spans="1:26" hidden="1" x14ac:dyDescent="0.35">
      <c r="A81" s="152" t="s">
        <v>47</v>
      </c>
      <c r="B81" s="160" t="s">
        <v>149</v>
      </c>
      <c r="C81" s="4"/>
      <c r="D81" s="4"/>
      <c r="E81" s="4"/>
      <c r="F81" s="68">
        <v>55</v>
      </c>
      <c r="G81" s="158"/>
      <c r="H81" s="227" t="s">
        <v>185</v>
      </c>
      <c r="I81" s="227"/>
      <c r="J81" s="227"/>
      <c r="K81" s="227"/>
      <c r="L81" s="227"/>
      <c r="M81" s="227"/>
      <c r="N81" s="131" t="s">
        <v>89</v>
      </c>
      <c r="O81" s="131" t="s">
        <v>89</v>
      </c>
      <c r="P81" s="131" t="s">
        <v>89</v>
      </c>
      <c r="Q81" s="131" t="s">
        <v>89</v>
      </c>
      <c r="R81" s="131" t="s">
        <v>89</v>
      </c>
      <c r="S81" s="131" t="s">
        <v>89</v>
      </c>
      <c r="T81" s="131" t="s">
        <v>89</v>
      </c>
      <c r="U81" s="131" t="s">
        <v>89</v>
      </c>
      <c r="V81" s="131" t="s">
        <v>89</v>
      </c>
      <c r="W81" s="131" t="s">
        <v>89</v>
      </c>
      <c r="X81" s="159"/>
      <c r="Y81" s="159"/>
      <c r="Z81" s="159"/>
    </row>
    <row r="82" spans="1:26" hidden="1" x14ac:dyDescent="0.35">
      <c r="A82" s="152" t="s">
        <v>47</v>
      </c>
      <c r="B82" s="152" t="s">
        <v>150</v>
      </c>
      <c r="C82" s="4"/>
      <c r="D82" s="4"/>
      <c r="E82" s="4"/>
      <c r="F82" s="161" t="s">
        <v>151</v>
      </c>
      <c r="G82" s="158"/>
      <c r="H82" s="227" t="s">
        <v>158</v>
      </c>
      <c r="I82" s="227"/>
      <c r="J82" s="227"/>
      <c r="K82" s="227"/>
      <c r="L82" s="227"/>
      <c r="M82" s="227"/>
      <c r="N82" s="131" t="s">
        <v>89</v>
      </c>
      <c r="O82" s="131" t="s">
        <v>89</v>
      </c>
      <c r="P82" s="131" t="s">
        <v>89</v>
      </c>
      <c r="Q82" s="131" t="s">
        <v>89</v>
      </c>
      <c r="R82" s="131" t="s">
        <v>89</v>
      </c>
      <c r="S82" s="131" t="s">
        <v>89</v>
      </c>
      <c r="T82" s="131" t="s">
        <v>89</v>
      </c>
      <c r="U82" s="131" t="s">
        <v>89</v>
      </c>
      <c r="V82" s="131" t="s">
        <v>89</v>
      </c>
      <c r="W82" s="131" t="s">
        <v>89</v>
      </c>
      <c r="X82" s="159"/>
      <c r="Y82" s="159"/>
      <c r="Z82" s="159"/>
    </row>
    <row r="83" spans="1:26" ht="29" hidden="1" x14ac:dyDescent="0.35">
      <c r="A83" s="152" t="s">
        <v>47</v>
      </c>
      <c r="B83" s="152" t="s">
        <v>152</v>
      </c>
      <c r="C83" s="4"/>
      <c r="D83" s="4"/>
      <c r="E83" s="4"/>
      <c r="F83" s="68">
        <v>1.1000000000000001</v>
      </c>
      <c r="G83" s="158"/>
      <c r="H83" s="227" t="s">
        <v>157</v>
      </c>
      <c r="I83" s="227"/>
      <c r="J83" s="227"/>
      <c r="K83" s="227"/>
      <c r="L83" s="227"/>
      <c r="M83" s="227"/>
      <c r="N83" s="131" t="s">
        <v>89</v>
      </c>
      <c r="O83" s="131" t="s">
        <v>89</v>
      </c>
      <c r="P83" s="131" t="s">
        <v>89</v>
      </c>
      <c r="Q83" s="131" t="s">
        <v>89</v>
      </c>
      <c r="R83" s="131" t="s">
        <v>89</v>
      </c>
      <c r="S83" s="131" t="s">
        <v>89</v>
      </c>
      <c r="T83" s="131" t="s">
        <v>89</v>
      </c>
      <c r="U83" s="131" t="s">
        <v>89</v>
      </c>
      <c r="V83" s="131" t="s">
        <v>89</v>
      </c>
      <c r="W83" s="131" t="s">
        <v>89</v>
      </c>
      <c r="X83" s="159" t="s">
        <v>153</v>
      </c>
      <c r="Y83" s="159"/>
      <c r="Z83" s="159"/>
    </row>
    <row r="84" spans="1:26" hidden="1" x14ac:dyDescent="0.35">
      <c r="A84" s="152" t="s">
        <v>47</v>
      </c>
      <c r="B84" s="160" t="s">
        <v>116</v>
      </c>
      <c r="C84" s="4"/>
      <c r="D84" s="4"/>
      <c r="E84" s="4"/>
      <c r="F84" s="68">
        <v>1.5</v>
      </c>
      <c r="G84" s="158"/>
      <c r="H84" s="227" t="s">
        <v>184</v>
      </c>
      <c r="I84" s="227"/>
      <c r="J84" s="227"/>
      <c r="K84" s="227"/>
      <c r="L84" s="227"/>
      <c r="M84" s="227"/>
      <c r="N84" s="131" t="s">
        <v>89</v>
      </c>
      <c r="O84" s="131" t="s">
        <v>89</v>
      </c>
      <c r="P84" s="131" t="s">
        <v>89</v>
      </c>
      <c r="Q84" s="131" t="s">
        <v>89</v>
      </c>
      <c r="R84" s="131" t="s">
        <v>89</v>
      </c>
      <c r="S84" s="131" t="s">
        <v>89</v>
      </c>
      <c r="T84" s="131" t="s">
        <v>89</v>
      </c>
      <c r="U84" s="131" t="s">
        <v>89</v>
      </c>
      <c r="V84" s="131" t="s">
        <v>89</v>
      </c>
      <c r="W84" s="131" t="s">
        <v>89</v>
      </c>
      <c r="X84" s="159"/>
      <c r="Y84" s="159"/>
      <c r="Z84" s="159"/>
    </row>
    <row r="85" spans="1:26" hidden="1" x14ac:dyDescent="0.35">
      <c r="A85" s="152" t="s">
        <v>47</v>
      </c>
      <c r="B85" s="152" t="s">
        <v>154</v>
      </c>
      <c r="C85" s="4"/>
      <c r="D85" s="4"/>
      <c r="E85" s="4"/>
      <c r="F85" s="68">
        <v>1</v>
      </c>
      <c r="G85" s="158"/>
      <c r="H85" s="227" t="s">
        <v>117</v>
      </c>
      <c r="I85" s="227"/>
      <c r="J85" s="227"/>
      <c r="K85" s="227"/>
      <c r="L85" s="227"/>
      <c r="M85" s="227"/>
      <c r="N85" s="131" t="s">
        <v>89</v>
      </c>
      <c r="O85" s="131" t="s">
        <v>89</v>
      </c>
      <c r="P85" s="131" t="s">
        <v>89</v>
      </c>
      <c r="Q85" s="131" t="s">
        <v>89</v>
      </c>
      <c r="R85" s="131" t="s">
        <v>89</v>
      </c>
      <c r="S85" s="131" t="s">
        <v>89</v>
      </c>
      <c r="T85" s="131" t="s">
        <v>89</v>
      </c>
      <c r="U85" s="131" t="s">
        <v>89</v>
      </c>
      <c r="V85" s="131" t="s">
        <v>89</v>
      </c>
      <c r="W85" s="131" t="s">
        <v>89</v>
      </c>
      <c r="X85" s="159"/>
      <c r="Y85" s="159"/>
      <c r="Z85" s="159"/>
    </row>
    <row r="86" spans="1:26" ht="29" hidden="1" x14ac:dyDescent="0.35">
      <c r="A86" s="152" t="s">
        <v>25</v>
      </c>
      <c r="B86" s="152" t="s">
        <v>159</v>
      </c>
      <c r="F86" s="68">
        <v>1</v>
      </c>
      <c r="H86" s="227" t="s">
        <v>128</v>
      </c>
      <c r="I86" s="227"/>
      <c r="J86" s="227"/>
      <c r="K86" s="227"/>
      <c r="L86" s="227"/>
      <c r="M86" s="227"/>
      <c r="N86" s="131" t="s">
        <v>89</v>
      </c>
      <c r="O86" s="131" t="s">
        <v>89</v>
      </c>
      <c r="P86" s="131" t="s">
        <v>89</v>
      </c>
      <c r="Q86" s="131" t="s">
        <v>89</v>
      </c>
      <c r="R86" s="131" t="s">
        <v>89</v>
      </c>
      <c r="S86" s="131" t="s">
        <v>89</v>
      </c>
      <c r="T86" s="131" t="s">
        <v>89</v>
      </c>
      <c r="U86" s="131" t="s">
        <v>89</v>
      </c>
      <c r="V86" s="131" t="s">
        <v>89</v>
      </c>
      <c r="W86" s="131" t="s">
        <v>89</v>
      </c>
    </row>
    <row r="87" spans="1:26" hidden="1" x14ac:dyDescent="0.35">
      <c r="A87" s="152" t="s">
        <v>128</v>
      </c>
      <c r="B87" s="176" t="s">
        <v>160</v>
      </c>
      <c r="F87" s="68">
        <v>1</v>
      </c>
      <c r="H87" s="227" t="s">
        <v>128</v>
      </c>
      <c r="I87" s="227"/>
      <c r="J87" s="227"/>
      <c r="K87" s="227"/>
      <c r="L87" s="227"/>
      <c r="M87" s="227"/>
      <c r="N87" s="131" t="s">
        <v>89</v>
      </c>
      <c r="O87" s="131" t="s">
        <v>89</v>
      </c>
      <c r="P87" s="131" t="s">
        <v>89</v>
      </c>
      <c r="Q87" s="131" t="s">
        <v>89</v>
      </c>
      <c r="R87" s="131" t="s">
        <v>89</v>
      </c>
      <c r="S87" s="131" t="s">
        <v>89</v>
      </c>
      <c r="T87" s="131" t="s">
        <v>89</v>
      </c>
      <c r="U87" s="131" t="s">
        <v>89</v>
      </c>
      <c r="V87" s="131" t="s">
        <v>89</v>
      </c>
      <c r="W87" s="131" t="s">
        <v>89</v>
      </c>
    </row>
    <row r="88" spans="1:26" hidden="1" x14ac:dyDescent="0.35">
      <c r="A88" s="152" t="s">
        <v>25</v>
      </c>
      <c r="B88" s="160" t="s">
        <v>130</v>
      </c>
      <c r="F88" s="68">
        <v>1</v>
      </c>
      <c r="H88" s="227" t="s">
        <v>161</v>
      </c>
      <c r="I88" s="227"/>
      <c r="J88" s="227"/>
      <c r="K88" s="227"/>
      <c r="L88" s="227"/>
      <c r="M88" s="227"/>
      <c r="N88" s="131" t="s">
        <v>89</v>
      </c>
      <c r="O88" s="131" t="s">
        <v>89</v>
      </c>
      <c r="P88" s="131" t="s">
        <v>89</v>
      </c>
      <c r="Q88" s="131" t="s">
        <v>89</v>
      </c>
      <c r="R88" s="131" t="s">
        <v>89</v>
      </c>
      <c r="S88" s="131" t="s">
        <v>89</v>
      </c>
      <c r="T88" s="131" t="s">
        <v>89</v>
      </c>
      <c r="U88" s="131" t="s">
        <v>89</v>
      </c>
      <c r="V88" s="131" t="s">
        <v>89</v>
      </c>
      <c r="W88" s="131" t="s">
        <v>89</v>
      </c>
    </row>
    <row r="89" spans="1:26" hidden="1" x14ac:dyDescent="0.35">
      <c r="A89" s="152" t="s">
        <v>47</v>
      </c>
      <c r="B89" s="176" t="s">
        <v>162</v>
      </c>
      <c r="F89" s="68">
        <v>1</v>
      </c>
      <c r="H89" s="227" t="s">
        <v>155</v>
      </c>
      <c r="I89" s="227"/>
      <c r="J89" s="227"/>
      <c r="K89" s="227"/>
      <c r="L89" s="227"/>
      <c r="M89" s="227"/>
      <c r="N89" s="131" t="s">
        <v>89</v>
      </c>
      <c r="O89" s="131" t="s">
        <v>89</v>
      </c>
      <c r="P89" s="131" t="s">
        <v>89</v>
      </c>
      <c r="Q89" s="131" t="s">
        <v>89</v>
      </c>
      <c r="R89" s="131" t="s">
        <v>89</v>
      </c>
      <c r="S89" s="131" t="s">
        <v>89</v>
      </c>
      <c r="T89" s="131" t="s">
        <v>89</v>
      </c>
      <c r="U89" s="131" t="s">
        <v>89</v>
      </c>
      <c r="V89" s="131" t="s">
        <v>89</v>
      </c>
      <c r="W89" s="131" t="s">
        <v>89</v>
      </c>
    </row>
    <row r="90" spans="1:26" hidden="1" x14ac:dyDescent="0.35">
      <c r="A90" s="152" t="s">
        <v>47</v>
      </c>
      <c r="B90" s="180" t="s">
        <v>164</v>
      </c>
      <c r="F90" s="68">
        <v>1</v>
      </c>
      <c r="H90" s="227" t="s">
        <v>155</v>
      </c>
      <c r="I90" s="227"/>
      <c r="J90" s="227"/>
      <c r="K90" s="227"/>
      <c r="L90" s="227"/>
      <c r="M90" s="227"/>
      <c r="N90" s="131" t="s">
        <v>89</v>
      </c>
      <c r="O90" s="131" t="s">
        <v>89</v>
      </c>
      <c r="P90" s="131" t="s">
        <v>89</v>
      </c>
      <c r="Q90" s="131" t="s">
        <v>89</v>
      </c>
      <c r="R90" s="131" t="s">
        <v>89</v>
      </c>
      <c r="S90" s="131" t="s">
        <v>89</v>
      </c>
      <c r="T90" s="131" t="s">
        <v>89</v>
      </c>
      <c r="U90" s="131" t="s">
        <v>89</v>
      </c>
      <c r="V90" s="131" t="s">
        <v>89</v>
      </c>
      <c r="W90" s="131" t="s">
        <v>89</v>
      </c>
    </row>
    <row r="91" spans="1:26" hidden="1" x14ac:dyDescent="0.35">
      <c r="A91" s="152" t="s">
        <v>47</v>
      </c>
      <c r="B91" s="177" t="s">
        <v>165</v>
      </c>
      <c r="F91" s="68">
        <v>1.4</v>
      </c>
      <c r="H91" s="227" t="s">
        <v>155</v>
      </c>
      <c r="I91" s="227"/>
      <c r="J91" s="227"/>
      <c r="K91" s="227"/>
      <c r="L91" s="227"/>
      <c r="M91" s="227"/>
      <c r="N91" s="131" t="s">
        <v>89</v>
      </c>
      <c r="O91" s="131" t="s">
        <v>89</v>
      </c>
      <c r="P91" s="131" t="s">
        <v>89</v>
      </c>
      <c r="Q91" s="131" t="s">
        <v>89</v>
      </c>
      <c r="R91" s="131" t="s">
        <v>89</v>
      </c>
      <c r="S91" s="131" t="s">
        <v>89</v>
      </c>
      <c r="T91" s="131" t="s">
        <v>89</v>
      </c>
      <c r="U91" s="131" t="s">
        <v>89</v>
      </c>
      <c r="V91" s="131" t="s">
        <v>89</v>
      </c>
      <c r="W91" s="131" t="s">
        <v>89</v>
      </c>
    </row>
    <row r="92" spans="1:26" hidden="1" x14ac:dyDescent="0.35">
      <c r="A92" s="152" t="s">
        <v>25</v>
      </c>
      <c r="B92" s="176" t="s">
        <v>166</v>
      </c>
      <c r="F92" s="68">
        <v>1</v>
      </c>
      <c r="H92" s="227" t="s">
        <v>109</v>
      </c>
      <c r="I92" s="227"/>
      <c r="J92" s="227"/>
      <c r="K92" s="227"/>
      <c r="L92" s="227"/>
      <c r="M92" s="227"/>
      <c r="N92" s="131" t="s">
        <v>89</v>
      </c>
      <c r="O92" s="131" t="s">
        <v>89</v>
      </c>
      <c r="P92" s="131" t="s">
        <v>89</v>
      </c>
      <c r="Q92" s="131" t="s">
        <v>89</v>
      </c>
      <c r="R92" s="131" t="s">
        <v>89</v>
      </c>
      <c r="S92" s="131" t="s">
        <v>89</v>
      </c>
      <c r="T92" s="131" t="s">
        <v>89</v>
      </c>
      <c r="U92" s="131" t="s">
        <v>89</v>
      </c>
      <c r="V92" s="131" t="s">
        <v>89</v>
      </c>
      <c r="W92" s="131" t="s">
        <v>89</v>
      </c>
    </row>
    <row r="93" spans="1:26" hidden="1" x14ac:dyDescent="0.35">
      <c r="A93" s="152" t="s">
        <v>47</v>
      </c>
      <c r="B93" s="176" t="s">
        <v>167</v>
      </c>
      <c r="F93" s="68">
        <v>1</v>
      </c>
      <c r="H93" s="227" t="s">
        <v>192</v>
      </c>
      <c r="I93" s="227"/>
      <c r="J93" s="227"/>
      <c r="K93" s="227"/>
      <c r="L93" s="227"/>
      <c r="M93" s="227"/>
    </row>
    <row r="94" spans="1:26" hidden="1" x14ac:dyDescent="0.35">
      <c r="A94" s="152" t="s">
        <v>47</v>
      </c>
      <c r="B94" s="176" t="s">
        <v>168</v>
      </c>
      <c r="F94" s="68">
        <v>1</v>
      </c>
      <c r="H94" s="227" t="s">
        <v>117</v>
      </c>
      <c r="I94" s="227"/>
      <c r="J94" s="227"/>
      <c r="K94" s="227"/>
      <c r="L94" s="227"/>
      <c r="M94" s="227"/>
    </row>
    <row r="95" spans="1:26" hidden="1" x14ac:dyDescent="0.35">
      <c r="A95" s="152" t="s">
        <v>25</v>
      </c>
      <c r="B95" s="176" t="s">
        <v>169</v>
      </c>
      <c r="F95" s="68">
        <v>1.5</v>
      </c>
      <c r="H95" s="227" t="s">
        <v>179</v>
      </c>
      <c r="I95" s="227"/>
      <c r="J95" s="227"/>
      <c r="K95" s="227"/>
      <c r="L95" s="227"/>
      <c r="M95" s="227"/>
    </row>
    <row r="96" spans="1:26" hidden="1" x14ac:dyDescent="0.35">
      <c r="A96" s="152" t="s">
        <v>47</v>
      </c>
      <c r="B96" s="176" t="s">
        <v>172</v>
      </c>
      <c r="F96" s="68">
        <v>5.8</v>
      </c>
      <c r="H96" s="227" t="s">
        <v>190</v>
      </c>
      <c r="I96" s="227"/>
      <c r="J96" s="227"/>
      <c r="K96" s="227"/>
      <c r="L96" s="227"/>
      <c r="M96" s="227"/>
      <c r="U96" s="130" t="s">
        <v>88</v>
      </c>
      <c r="V96" s="131" t="s">
        <v>89</v>
      </c>
      <c r="W96" s="131" t="s">
        <v>89</v>
      </c>
    </row>
    <row r="97" spans="1:23" hidden="1" x14ac:dyDescent="0.35">
      <c r="A97" s="152" t="s">
        <v>128</v>
      </c>
      <c r="B97" s="176" t="s">
        <v>173</v>
      </c>
      <c r="F97" s="68">
        <v>0.8</v>
      </c>
      <c r="H97" s="227" t="s">
        <v>178</v>
      </c>
      <c r="I97" s="227"/>
      <c r="J97" s="227"/>
      <c r="K97" s="227"/>
      <c r="L97" s="227"/>
      <c r="M97" s="227"/>
      <c r="R97" s="130" t="s">
        <v>88</v>
      </c>
      <c r="S97" s="131" t="s">
        <v>89</v>
      </c>
      <c r="T97" s="131" t="s">
        <v>89</v>
      </c>
      <c r="U97" s="131" t="s">
        <v>89</v>
      </c>
      <c r="V97" s="131" t="s">
        <v>89</v>
      </c>
      <c r="W97" s="131" t="s">
        <v>89</v>
      </c>
    </row>
    <row r="98" spans="1:23" hidden="1" x14ac:dyDescent="0.35">
      <c r="A98" s="152" t="s">
        <v>128</v>
      </c>
      <c r="B98" s="176" t="s">
        <v>174</v>
      </c>
      <c r="F98" s="174">
        <v>100</v>
      </c>
      <c r="H98" s="227" t="s">
        <v>146</v>
      </c>
      <c r="I98" s="227"/>
      <c r="J98" s="227"/>
      <c r="K98" s="227"/>
      <c r="L98" s="227"/>
      <c r="M98" s="227"/>
    </row>
    <row r="99" spans="1:23" hidden="1" x14ac:dyDescent="0.35">
      <c r="A99" s="152" t="s">
        <v>47</v>
      </c>
      <c r="B99" s="176" t="s">
        <v>147</v>
      </c>
      <c r="F99" s="68">
        <v>50</v>
      </c>
      <c r="H99" s="227" t="s">
        <v>209</v>
      </c>
      <c r="I99" s="227"/>
      <c r="J99" s="227"/>
      <c r="K99" s="227"/>
      <c r="L99" s="227"/>
      <c r="M99" s="227"/>
    </row>
    <row r="100" spans="1:23" x14ac:dyDescent="0.35">
      <c r="A100" s="152" t="s">
        <v>87</v>
      </c>
      <c r="B100" s="180" t="s">
        <v>180</v>
      </c>
      <c r="F100" s="68">
        <v>22</v>
      </c>
      <c r="H100" s="227" t="s">
        <v>87</v>
      </c>
      <c r="I100" s="227"/>
      <c r="J100" s="227"/>
      <c r="K100" s="227"/>
      <c r="L100" s="227"/>
      <c r="M100" s="227"/>
    </row>
    <row r="101" spans="1:23" ht="15" customHeight="1" x14ac:dyDescent="0.35">
      <c r="A101" s="152" t="s">
        <v>25</v>
      </c>
      <c r="B101" s="187" t="s">
        <v>195</v>
      </c>
      <c r="F101" s="68">
        <v>140</v>
      </c>
      <c r="H101" s="227" t="s">
        <v>109</v>
      </c>
      <c r="I101" s="227"/>
      <c r="J101" s="227"/>
      <c r="K101" s="227"/>
      <c r="L101" s="227"/>
      <c r="M101" s="227"/>
    </row>
    <row r="102" spans="1:23" x14ac:dyDescent="0.35">
      <c r="A102" s="152" t="s">
        <v>25</v>
      </c>
      <c r="B102" s="187" t="s">
        <v>124</v>
      </c>
      <c r="F102" s="68">
        <v>14</v>
      </c>
      <c r="H102" s="227" t="s">
        <v>217</v>
      </c>
      <c r="I102" s="227"/>
      <c r="J102" s="227"/>
      <c r="K102" s="227"/>
      <c r="L102" s="227"/>
      <c r="M102" s="227"/>
    </row>
    <row r="103" spans="1:23" hidden="1" x14ac:dyDescent="0.35">
      <c r="A103" s="152" t="s">
        <v>47</v>
      </c>
      <c r="B103" s="183" t="s">
        <v>193</v>
      </c>
      <c r="F103" s="68">
        <v>30</v>
      </c>
      <c r="H103" s="227" t="s">
        <v>196</v>
      </c>
      <c r="I103" s="227"/>
      <c r="J103" s="227"/>
      <c r="K103" s="227"/>
      <c r="L103" s="227"/>
      <c r="M103" s="227"/>
    </row>
    <row r="104" spans="1:23" hidden="1" x14ac:dyDescent="0.35">
      <c r="A104" s="152" t="s">
        <v>128</v>
      </c>
      <c r="B104" s="183" t="s">
        <v>194</v>
      </c>
      <c r="F104" s="68">
        <v>15</v>
      </c>
      <c r="H104" s="227" t="s">
        <v>197</v>
      </c>
      <c r="I104" s="227"/>
      <c r="J104" s="227"/>
      <c r="K104" s="227"/>
      <c r="L104" s="227"/>
      <c r="M104" s="227"/>
    </row>
    <row r="105" spans="1:23" hidden="1" x14ac:dyDescent="0.35">
      <c r="A105" s="152" t="s">
        <v>128</v>
      </c>
      <c r="B105" s="183" t="s">
        <v>198</v>
      </c>
      <c r="F105" s="68">
        <v>30</v>
      </c>
      <c r="H105" s="227" t="s">
        <v>199</v>
      </c>
      <c r="I105" s="227"/>
      <c r="J105" s="227"/>
      <c r="K105" s="227"/>
      <c r="L105" s="227"/>
      <c r="M105" s="227"/>
    </row>
    <row r="106" spans="1:23" x14ac:dyDescent="0.35">
      <c r="A106" s="152" t="s">
        <v>128</v>
      </c>
      <c r="B106" s="183" t="s">
        <v>200</v>
      </c>
      <c r="F106" s="68">
        <v>30</v>
      </c>
      <c r="H106" s="227" t="s">
        <v>209</v>
      </c>
      <c r="I106" s="227"/>
      <c r="J106" s="227"/>
      <c r="K106" s="227"/>
      <c r="L106" s="227"/>
      <c r="M106" s="227"/>
    </row>
    <row r="107" spans="1:23" x14ac:dyDescent="0.35">
      <c r="A107" s="152" t="s">
        <v>87</v>
      </c>
      <c r="B107" s="187" t="s">
        <v>191</v>
      </c>
      <c r="F107" s="68">
        <v>20</v>
      </c>
      <c r="H107" s="227" t="s">
        <v>87</v>
      </c>
      <c r="I107" s="227"/>
      <c r="J107" s="227"/>
      <c r="K107" s="227"/>
      <c r="L107" s="227"/>
      <c r="M107" s="227"/>
    </row>
    <row r="108" spans="1:23" x14ac:dyDescent="0.35">
      <c r="A108" s="152" t="s">
        <v>47</v>
      </c>
      <c r="B108" s="187" t="s">
        <v>201</v>
      </c>
      <c r="F108" s="68">
        <v>18</v>
      </c>
      <c r="H108" s="227" t="s">
        <v>117</v>
      </c>
      <c r="I108" s="227"/>
      <c r="J108" s="227"/>
      <c r="K108" s="227"/>
      <c r="L108" s="227"/>
      <c r="M108" s="227"/>
    </row>
    <row r="109" spans="1:23" hidden="1" x14ac:dyDescent="0.35">
      <c r="A109" s="152" t="s">
        <v>203</v>
      </c>
      <c r="B109" t="s">
        <v>204</v>
      </c>
      <c r="F109" s="68">
        <v>2.2000000000000002</v>
      </c>
    </row>
    <row r="110" spans="1:23" hidden="1" x14ac:dyDescent="0.35">
      <c r="A110" s="152" t="s">
        <v>203</v>
      </c>
      <c r="B110" s="184" t="s">
        <v>205</v>
      </c>
    </row>
    <row r="111" spans="1:23" hidden="1" x14ac:dyDescent="0.35">
      <c r="A111" s="152" t="s">
        <v>203</v>
      </c>
      <c r="B111" t="s">
        <v>206</v>
      </c>
      <c r="F111" s="68">
        <v>6</v>
      </c>
    </row>
    <row r="112" spans="1:23" x14ac:dyDescent="0.35">
      <c r="A112" s="152" t="s">
        <v>87</v>
      </c>
      <c r="B112" s="187" t="s">
        <v>207</v>
      </c>
      <c r="F112" s="68">
        <v>10</v>
      </c>
      <c r="H112" s="227" t="s">
        <v>210</v>
      </c>
      <c r="I112" s="227"/>
      <c r="J112" s="227"/>
      <c r="K112" s="227"/>
      <c r="L112" s="227"/>
      <c r="M112" s="227"/>
    </row>
    <row r="113" spans="1:14" x14ac:dyDescent="0.35">
      <c r="A113" s="152" t="s">
        <v>47</v>
      </c>
      <c r="B113" s="183" t="s">
        <v>208</v>
      </c>
      <c r="F113" s="68">
        <v>30</v>
      </c>
      <c r="H113" s="227" t="s">
        <v>117</v>
      </c>
      <c r="I113" s="227"/>
      <c r="J113" s="227"/>
      <c r="K113" s="227"/>
      <c r="L113" s="227"/>
      <c r="M113" s="227"/>
    </row>
    <row r="114" spans="1:14" x14ac:dyDescent="0.35">
      <c r="A114" s="152" t="s">
        <v>47</v>
      </c>
      <c r="B114" s="187" t="s">
        <v>116</v>
      </c>
      <c r="F114" s="68">
        <v>31</v>
      </c>
      <c r="H114" s="227" t="s">
        <v>155</v>
      </c>
      <c r="I114" s="227"/>
      <c r="J114" s="227"/>
      <c r="K114" s="227"/>
      <c r="L114" s="227"/>
      <c r="M114" s="227"/>
    </row>
    <row r="115" spans="1:14" x14ac:dyDescent="0.35">
      <c r="A115" s="152" t="s">
        <v>47</v>
      </c>
      <c r="B115" s="182" t="s">
        <v>211</v>
      </c>
      <c r="F115" s="68">
        <v>40</v>
      </c>
      <c r="H115" s="227" t="s">
        <v>155</v>
      </c>
      <c r="I115" s="227"/>
      <c r="J115" s="227"/>
      <c r="K115" s="227"/>
      <c r="L115" s="227"/>
      <c r="M115" s="227"/>
    </row>
    <row r="116" spans="1:14" x14ac:dyDescent="0.35">
      <c r="A116" s="152" t="s">
        <v>47</v>
      </c>
      <c r="B116" s="187" t="s">
        <v>212</v>
      </c>
      <c r="F116" s="68">
        <v>20</v>
      </c>
      <c r="H116" s="227" t="s">
        <v>155</v>
      </c>
      <c r="I116" s="227"/>
      <c r="J116" s="227"/>
      <c r="K116" s="227"/>
      <c r="L116" s="227"/>
      <c r="M116" s="227"/>
    </row>
    <row r="117" spans="1:14" x14ac:dyDescent="0.35">
      <c r="A117" s="152" t="s">
        <v>47</v>
      </c>
      <c r="B117" s="183" t="s">
        <v>213</v>
      </c>
      <c r="F117" s="68">
        <v>20</v>
      </c>
      <c r="H117" s="227" t="s">
        <v>155</v>
      </c>
      <c r="I117" s="227"/>
      <c r="J117" s="227"/>
      <c r="K117" s="227"/>
      <c r="L117" s="227"/>
      <c r="M117" s="227"/>
    </row>
    <row r="118" spans="1:14" x14ac:dyDescent="0.35">
      <c r="A118" s="152" t="s">
        <v>47</v>
      </c>
      <c r="B118" s="182" t="s">
        <v>218</v>
      </c>
      <c r="F118" s="68">
        <v>44</v>
      </c>
      <c r="H118" s="227" t="s">
        <v>155</v>
      </c>
      <c r="I118" s="227"/>
      <c r="J118" s="227"/>
      <c r="K118" s="227"/>
      <c r="L118" s="227"/>
      <c r="M118" s="227"/>
    </row>
    <row r="119" spans="1:14" x14ac:dyDescent="0.35">
      <c r="A119" s="152" t="s">
        <v>47</v>
      </c>
      <c r="B119" s="182" t="s">
        <v>219</v>
      </c>
      <c r="F119" s="68">
        <v>40</v>
      </c>
      <c r="H119" s="227" t="s">
        <v>155</v>
      </c>
      <c r="I119" s="227"/>
      <c r="J119" s="227"/>
      <c r="K119" s="227"/>
      <c r="L119" s="227"/>
      <c r="M119" s="227"/>
      <c r="N119" t="s">
        <v>97</v>
      </c>
    </row>
    <row r="120" spans="1:14" x14ac:dyDescent="0.35">
      <c r="A120" s="152" t="s">
        <v>47</v>
      </c>
      <c r="B120" s="182" t="s">
        <v>242</v>
      </c>
      <c r="F120" s="68">
        <v>100</v>
      </c>
      <c r="H120" s="227" t="s">
        <v>155</v>
      </c>
      <c r="I120" s="227"/>
      <c r="J120" s="227"/>
      <c r="K120" s="227"/>
      <c r="L120" s="227"/>
      <c r="M120" s="227"/>
      <c r="N120" t="s">
        <v>94</v>
      </c>
    </row>
  </sheetData>
  <autoFilter ref="AA24:AD24" xr:uid="{26D8288C-0999-43AC-AB6A-CDF866915762}">
    <sortState xmlns:xlrd2="http://schemas.microsoft.com/office/spreadsheetml/2017/richdata2" ref="AA25:AD34">
      <sortCondition descending="1" ref="AC24"/>
    </sortState>
  </autoFilter>
  <mergeCells count="92">
    <mergeCell ref="H119:M119"/>
    <mergeCell ref="H120:M120"/>
    <mergeCell ref="H56:M56"/>
    <mergeCell ref="H115:M115"/>
    <mergeCell ref="H112:M112"/>
    <mergeCell ref="H113:M113"/>
    <mergeCell ref="H101:M101"/>
    <mergeCell ref="H102:M102"/>
    <mergeCell ref="H103:M103"/>
    <mergeCell ref="H104:M104"/>
    <mergeCell ref="H105:M105"/>
    <mergeCell ref="H106:M106"/>
    <mergeCell ref="H107:M107"/>
    <mergeCell ref="H108:M108"/>
    <mergeCell ref="H114:M114"/>
    <mergeCell ref="H71:M71"/>
    <mergeCell ref="H88:M88"/>
    <mergeCell ref="H81:M81"/>
    <mergeCell ref="H82:M82"/>
    <mergeCell ref="H83:M83"/>
    <mergeCell ref="H84:M84"/>
    <mergeCell ref="H87:M87"/>
    <mergeCell ref="H85:M85"/>
    <mergeCell ref="H98:M98"/>
    <mergeCell ref="H99:M99"/>
    <mergeCell ref="H100:M100"/>
    <mergeCell ref="H92:M92"/>
    <mergeCell ref="H93:M93"/>
    <mergeCell ref="H94:M94"/>
    <mergeCell ref="H95:M95"/>
    <mergeCell ref="H97:M97"/>
    <mergeCell ref="H96:M96"/>
    <mergeCell ref="H91:M91"/>
    <mergeCell ref="H89:M89"/>
    <mergeCell ref="H43:M43"/>
    <mergeCell ref="H54:M54"/>
    <mergeCell ref="H55:M55"/>
    <mergeCell ref="H65:M65"/>
    <mergeCell ref="H66:M66"/>
    <mergeCell ref="H90:M90"/>
    <mergeCell ref="H79:M79"/>
    <mergeCell ref="H72:M72"/>
    <mergeCell ref="H69:M69"/>
    <mergeCell ref="H68:M68"/>
    <mergeCell ref="H70:M70"/>
    <mergeCell ref="H86:M86"/>
    <mergeCell ref="H67:M67"/>
    <mergeCell ref="H73:M73"/>
    <mergeCell ref="A1:B1"/>
    <mergeCell ref="R2:Y2"/>
    <mergeCell ref="A3:B3"/>
    <mergeCell ref="S3:T3"/>
    <mergeCell ref="A5:A6"/>
    <mergeCell ref="W3:X3"/>
    <mergeCell ref="Y3:Z3"/>
    <mergeCell ref="H74:M74"/>
    <mergeCell ref="H76:M76"/>
    <mergeCell ref="H78:M78"/>
    <mergeCell ref="H75:M75"/>
    <mergeCell ref="H77:M77"/>
    <mergeCell ref="H80:M80"/>
    <mergeCell ref="H62:M62"/>
    <mergeCell ref="AE3:AF3"/>
    <mergeCell ref="A11:A12"/>
    <mergeCell ref="A13:A14"/>
    <mergeCell ref="U3:V3"/>
    <mergeCell ref="A7:A8"/>
    <mergeCell ref="A9:A10"/>
    <mergeCell ref="A29:A30"/>
    <mergeCell ref="V25:W25"/>
    <mergeCell ref="A22:A27"/>
    <mergeCell ref="A15:A16"/>
    <mergeCell ref="A18:A19"/>
    <mergeCell ref="Z25:Z34"/>
    <mergeCell ref="A33:A37"/>
    <mergeCell ref="A39:A41"/>
    <mergeCell ref="H118:M118"/>
    <mergeCell ref="H116:M116"/>
    <mergeCell ref="H117:M117"/>
    <mergeCell ref="AG3:AH3"/>
    <mergeCell ref="H53:M53"/>
    <mergeCell ref="H44:M44"/>
    <mergeCell ref="H45:M45"/>
    <mergeCell ref="H46:M46"/>
    <mergeCell ref="H47:M47"/>
    <mergeCell ref="H48:M48"/>
    <mergeCell ref="H49:M49"/>
    <mergeCell ref="H50:M50"/>
    <mergeCell ref="H51:M51"/>
    <mergeCell ref="H52:M52"/>
    <mergeCell ref="AA3:AB3"/>
    <mergeCell ref="AC3:AD3"/>
  </mergeCells>
  <phoneticPr fontId="24" type="noConversion"/>
  <conditionalFormatting sqref="B110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AD88-F147-4D8B-95A1-7139A8754DB2}">
  <dimension ref="A1:AJ150"/>
  <sheetViews>
    <sheetView topLeftCell="B12" zoomScale="82" zoomScaleNormal="80" workbookViewId="0">
      <selection activeCell="P41" sqref="P41"/>
    </sheetView>
  </sheetViews>
  <sheetFormatPr baseColWidth="10" defaultRowHeight="14.5" x14ac:dyDescent="0.35"/>
  <cols>
    <col min="1" max="1" width="27" customWidth="1"/>
    <col min="2" max="2" width="24.26953125" customWidth="1"/>
    <col min="3" max="13" width="10.7265625" customWidth="1"/>
    <col min="14" max="14" width="11" customWidth="1"/>
    <col min="15" max="15" width="9.90625" customWidth="1"/>
    <col min="16" max="16" width="10.453125" customWidth="1"/>
    <col min="17" max="17" width="10.1796875" customWidth="1"/>
    <col min="18" max="25" width="10.453125" customWidth="1"/>
    <col min="26" max="26" width="3.54296875" customWidth="1"/>
    <col min="27" max="27" width="7.36328125" customWidth="1"/>
    <col min="28" max="28" width="14.1796875" customWidth="1"/>
    <col min="29" max="29" width="6" customWidth="1"/>
    <col min="30" max="30" width="7.1796875" customWidth="1"/>
    <col min="32" max="33" width="8.81640625" customWidth="1"/>
  </cols>
  <sheetData>
    <row r="1" spans="1:36" ht="23.5" x14ac:dyDescent="0.55000000000000004">
      <c r="A1" s="209" t="s">
        <v>0</v>
      </c>
      <c r="B1" s="209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1"/>
      <c r="W1" s="4"/>
      <c r="X1" s="4"/>
      <c r="Y1" s="4"/>
      <c r="Z1" s="4"/>
    </row>
    <row r="2" spans="1:36" x14ac:dyDescent="0.35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231" t="s">
        <v>1</v>
      </c>
      <c r="S2" s="232"/>
      <c r="T2" s="232"/>
      <c r="U2" s="232"/>
      <c r="V2" s="192"/>
      <c r="W2" s="192"/>
      <c r="X2" s="192"/>
      <c r="Y2" s="192"/>
      <c r="Z2" s="4"/>
    </row>
    <row r="3" spans="1:36" ht="18.5" x14ac:dyDescent="0.35">
      <c r="A3" s="213" t="s">
        <v>2</v>
      </c>
      <c r="B3" s="214"/>
      <c r="C3" s="6" t="s">
        <v>3</v>
      </c>
      <c r="D3" s="6" t="s">
        <v>170</v>
      </c>
      <c r="E3" s="6" t="s">
        <v>220</v>
      </c>
      <c r="F3" s="7" t="s">
        <v>4</v>
      </c>
      <c r="G3" s="8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10" t="s">
        <v>12</v>
      </c>
      <c r="O3" s="10" t="s">
        <v>13</v>
      </c>
      <c r="P3" s="10" t="s">
        <v>14</v>
      </c>
      <c r="Q3" s="11" t="s">
        <v>15</v>
      </c>
      <c r="R3" s="191"/>
      <c r="S3" s="191">
        <f>+R3+7</f>
        <v>7</v>
      </c>
      <c r="T3" s="191"/>
      <c r="U3" s="191"/>
      <c r="V3" s="191"/>
      <c r="W3" s="215"/>
      <c r="X3" s="216"/>
      <c r="Y3" s="215">
        <v>46000</v>
      </c>
      <c r="Z3" s="234"/>
      <c r="AA3" s="234"/>
      <c r="AB3" s="215">
        <v>46007</v>
      </c>
      <c r="AC3" s="234"/>
      <c r="AD3" s="234"/>
      <c r="AE3" s="215">
        <v>46014</v>
      </c>
      <c r="AF3" s="234"/>
      <c r="AG3" s="234"/>
      <c r="AH3" s="215">
        <v>46014</v>
      </c>
      <c r="AI3" s="234"/>
      <c r="AJ3" s="234"/>
    </row>
    <row r="4" spans="1:36" ht="18.5" x14ac:dyDescent="0.35">
      <c r="A4" s="12"/>
      <c r="B4" s="13"/>
      <c r="C4" s="14"/>
      <c r="D4" s="14"/>
      <c r="E4" s="14"/>
      <c r="F4" s="15"/>
      <c r="G4" s="16"/>
      <c r="H4" s="10"/>
      <c r="I4" s="10"/>
      <c r="J4" s="10"/>
      <c r="K4" s="10"/>
      <c r="L4" s="10"/>
      <c r="M4" s="10"/>
      <c r="N4" s="10"/>
      <c r="O4" s="10"/>
      <c r="P4" s="10"/>
      <c r="Q4" s="15"/>
      <c r="R4" s="15"/>
      <c r="S4" s="15"/>
      <c r="T4" s="15"/>
      <c r="U4" s="15"/>
      <c r="V4" s="15"/>
      <c r="W4" s="199" t="s">
        <v>86</v>
      </c>
      <c r="X4" s="200"/>
      <c r="Y4" s="200">
        <v>428.69</v>
      </c>
      <c r="Z4" s="201">
        <v>43</v>
      </c>
      <c r="AA4" s="202">
        <f>+Y4/Z4</f>
        <v>9.9695348837209306</v>
      </c>
      <c r="AB4" s="200">
        <v>443.71499999999997</v>
      </c>
      <c r="AC4" s="201">
        <v>47</v>
      </c>
      <c r="AD4" s="202">
        <f>+AB4/AC4</f>
        <v>9.4407446808510631</v>
      </c>
      <c r="AE4" s="200">
        <v>429.84899999999999</v>
      </c>
      <c r="AF4" s="201">
        <v>47</v>
      </c>
      <c r="AG4" s="202">
        <f>+AE4/AF4</f>
        <v>9.1457234042553193</v>
      </c>
      <c r="AH4" s="200">
        <v>411.49799999999999</v>
      </c>
      <c r="AI4" s="201">
        <v>47</v>
      </c>
      <c r="AJ4" s="202">
        <f>+AH4/AI4</f>
        <v>8.7552765957446805</v>
      </c>
    </row>
    <row r="5" spans="1:36" ht="15.5" x14ac:dyDescent="0.35">
      <c r="A5" s="207" t="s">
        <v>19</v>
      </c>
      <c r="B5" s="17" t="s">
        <v>20</v>
      </c>
      <c r="C5" s="18">
        <v>78.468000000000004</v>
      </c>
      <c r="D5" s="145">
        <v>670.22863410000002</v>
      </c>
      <c r="E5" s="145">
        <v>596.06265619999999</v>
      </c>
      <c r="F5" s="145">
        <v>614.26</v>
      </c>
      <c r="G5" s="145">
        <v>566.77700000000004</v>
      </c>
      <c r="H5" s="145">
        <v>690.76199999999994</v>
      </c>
      <c r="I5" s="18">
        <v>762.27</v>
      </c>
      <c r="J5" s="18">
        <v>675.32600000000002</v>
      </c>
      <c r="K5" s="18">
        <v>771.06100000000004</v>
      </c>
      <c r="L5" s="145">
        <v>448.01299999999998</v>
      </c>
      <c r="M5" s="18">
        <v>298.01400000000001</v>
      </c>
      <c r="N5" s="18">
        <v>386.084</v>
      </c>
      <c r="O5" s="18">
        <v>538.73800000000006</v>
      </c>
      <c r="P5" s="18">
        <v>810.64400000000001</v>
      </c>
      <c r="Q5" s="18">
        <v>723.55200000000002</v>
      </c>
      <c r="R5" s="18"/>
      <c r="S5" s="18">
        <v>671.56899999999996</v>
      </c>
      <c r="T5" s="18"/>
      <c r="U5" s="18"/>
      <c r="V5" s="18"/>
      <c r="W5" s="199" t="s">
        <v>97</v>
      </c>
      <c r="X5" s="200"/>
      <c r="Y5" s="200">
        <v>353.18400000000003</v>
      </c>
      <c r="Z5" s="201">
        <v>42</v>
      </c>
      <c r="AA5" s="202">
        <f t="shared" ref="AA5:AA7" si="0">+Y5/Z5</f>
        <v>8.4091428571428573</v>
      </c>
      <c r="AB5" s="200">
        <v>374.00099999999998</v>
      </c>
      <c r="AC5" s="201">
        <v>36</v>
      </c>
      <c r="AD5" s="202">
        <f t="shared" ref="AD5:AD7" si="1">+AB5/AC5</f>
        <v>10.388916666666667</v>
      </c>
      <c r="AE5" s="200">
        <f>393.527-81+55</f>
        <v>367.52699999999999</v>
      </c>
      <c r="AF5" s="201">
        <v>38</v>
      </c>
      <c r="AG5" s="202">
        <f t="shared" ref="AG5:AG7" si="2">+AE5/AF5</f>
        <v>9.6717631578947358</v>
      </c>
      <c r="AH5" s="200">
        <v>274.197</v>
      </c>
      <c r="AI5" s="201">
        <v>37</v>
      </c>
      <c r="AJ5" s="202">
        <f t="shared" ref="AJ5:AJ7" si="3">+AH5/AI5</f>
        <v>7.4107297297297299</v>
      </c>
    </row>
    <row r="6" spans="1:36" ht="15.5" x14ac:dyDescent="0.35">
      <c r="A6" s="208"/>
      <c r="B6" s="21" t="s">
        <v>21</v>
      </c>
      <c r="C6" s="22">
        <v>231</v>
      </c>
      <c r="D6" s="146"/>
      <c r="E6" s="146"/>
      <c r="F6" s="146">
        <v>71</v>
      </c>
      <c r="G6" s="146">
        <v>65</v>
      </c>
      <c r="H6" s="146">
        <v>80</v>
      </c>
      <c r="I6" s="22">
        <v>90</v>
      </c>
      <c r="J6" s="22">
        <v>79</v>
      </c>
      <c r="K6" s="22">
        <v>90</v>
      </c>
      <c r="L6" s="146">
        <v>63</v>
      </c>
      <c r="M6" s="22">
        <v>59</v>
      </c>
      <c r="N6" s="22">
        <v>65</v>
      </c>
      <c r="O6" s="22">
        <v>77</v>
      </c>
      <c r="P6" s="22">
        <v>101</v>
      </c>
      <c r="Q6" s="22">
        <v>88</v>
      </c>
      <c r="R6" s="22"/>
      <c r="S6" s="22">
        <v>81</v>
      </c>
      <c r="T6" s="22"/>
      <c r="U6" s="22"/>
      <c r="V6" s="22"/>
      <c r="W6" s="199" t="s">
        <v>94</v>
      </c>
      <c r="X6" s="200"/>
      <c r="Y6" s="200">
        <v>586.803</v>
      </c>
      <c r="Z6" s="203">
        <v>62</v>
      </c>
      <c r="AA6" s="202">
        <f t="shared" si="0"/>
        <v>9.4645645161290322</v>
      </c>
      <c r="AB6" s="200">
        <v>631.56500000000005</v>
      </c>
      <c r="AC6" s="203">
        <v>66</v>
      </c>
      <c r="AD6" s="202">
        <f t="shared" si="1"/>
        <v>9.5691666666666677</v>
      </c>
      <c r="AE6" s="200">
        <v>620.82399999999996</v>
      </c>
      <c r="AF6" s="203">
        <v>66</v>
      </c>
      <c r="AG6" s="202">
        <f t="shared" si="2"/>
        <v>9.4064242424242419</v>
      </c>
      <c r="AH6" s="200">
        <v>632.36900000000003</v>
      </c>
      <c r="AI6" s="203">
        <v>66</v>
      </c>
      <c r="AJ6" s="202">
        <f t="shared" si="3"/>
        <v>9.5813484848484851</v>
      </c>
    </row>
    <row r="7" spans="1:36" ht="15.5" x14ac:dyDescent="0.35">
      <c r="A7" s="207" t="s">
        <v>22</v>
      </c>
      <c r="B7" s="17" t="s">
        <v>20</v>
      </c>
      <c r="C7" s="18">
        <v>28.087</v>
      </c>
      <c r="D7" s="145">
        <v>598.36150829999997</v>
      </c>
      <c r="E7" s="145">
        <v>440.31949179999998</v>
      </c>
      <c r="F7" s="145">
        <v>404.10599999999999</v>
      </c>
      <c r="G7" s="145">
        <v>414.09100000000001</v>
      </c>
      <c r="H7" s="145">
        <v>448.62599999999998</v>
      </c>
      <c r="I7" s="18">
        <v>393.37900000000002</v>
      </c>
      <c r="J7" s="18">
        <v>443.97800000000001</v>
      </c>
      <c r="K7" s="18">
        <v>415.78500000000003</v>
      </c>
      <c r="L7" s="145">
        <v>407.05</v>
      </c>
      <c r="M7" s="18">
        <v>425.74799999999999</v>
      </c>
      <c r="N7" s="18">
        <v>429.762</v>
      </c>
      <c r="O7" s="18">
        <v>417.60899999999998</v>
      </c>
      <c r="P7" s="18">
        <v>411.51400000000001</v>
      </c>
      <c r="Q7" s="18">
        <v>429.46899999999999</v>
      </c>
      <c r="R7" s="18"/>
      <c r="S7" s="18">
        <v>423.738</v>
      </c>
      <c r="T7" s="18"/>
      <c r="U7" s="18"/>
      <c r="V7" s="18"/>
      <c r="W7" s="199" t="s">
        <v>105</v>
      </c>
      <c r="X7" s="200"/>
      <c r="Y7" s="200">
        <v>493.01900000000001</v>
      </c>
      <c r="Z7" s="201">
        <v>75</v>
      </c>
      <c r="AA7" s="202">
        <f t="shared" si="0"/>
        <v>6.5735866666666665</v>
      </c>
      <c r="AB7" s="200">
        <v>396.24700000000001</v>
      </c>
      <c r="AC7" s="201">
        <v>68</v>
      </c>
      <c r="AD7" s="202">
        <f t="shared" si="1"/>
        <v>5.8271617647058829</v>
      </c>
      <c r="AE7" s="200">
        <v>372.68099999999998</v>
      </c>
      <c r="AF7" s="201">
        <v>71</v>
      </c>
      <c r="AG7" s="202">
        <f t="shared" si="2"/>
        <v>5.2490281690140845</v>
      </c>
      <c r="AH7" s="200">
        <v>391.97699999999998</v>
      </c>
      <c r="AI7" s="201">
        <v>77</v>
      </c>
      <c r="AJ7" s="202">
        <f t="shared" si="3"/>
        <v>5.0906103896103891</v>
      </c>
    </row>
    <row r="8" spans="1:36" ht="15.5" x14ac:dyDescent="0.35">
      <c r="A8" s="208"/>
      <c r="B8" s="21" t="s">
        <v>21</v>
      </c>
      <c r="C8" s="22">
        <v>74</v>
      </c>
      <c r="D8" s="146"/>
      <c r="E8" s="146"/>
      <c r="F8" s="146">
        <v>51</v>
      </c>
      <c r="G8" s="146">
        <v>55</v>
      </c>
      <c r="H8" s="146">
        <v>59</v>
      </c>
      <c r="I8" s="22">
        <v>53</v>
      </c>
      <c r="J8" s="22">
        <v>59</v>
      </c>
      <c r="K8" s="22">
        <v>62</v>
      </c>
      <c r="L8" s="146">
        <v>63</v>
      </c>
      <c r="M8" s="22">
        <v>58</v>
      </c>
      <c r="N8" s="22">
        <v>57</v>
      </c>
      <c r="O8" s="22">
        <v>57</v>
      </c>
      <c r="P8" s="22">
        <v>52</v>
      </c>
      <c r="Q8" s="22">
        <v>53</v>
      </c>
      <c r="R8" s="22"/>
      <c r="S8" s="22">
        <v>60</v>
      </c>
      <c r="T8" s="22"/>
      <c r="U8" s="22"/>
      <c r="V8" s="22"/>
      <c r="W8" s="1"/>
      <c r="X8" s="194"/>
      <c r="Y8" s="194"/>
      <c r="Z8" s="204"/>
      <c r="AA8" s="205"/>
      <c r="AB8" s="194"/>
      <c r="AC8" s="204"/>
      <c r="AD8" s="205"/>
      <c r="AE8" s="22"/>
      <c r="AF8" s="146"/>
      <c r="AG8" s="22"/>
      <c r="AH8" s="146"/>
    </row>
    <row r="9" spans="1:36" ht="15.5" x14ac:dyDescent="0.35">
      <c r="A9" s="207" t="s">
        <v>23</v>
      </c>
      <c r="B9" s="17" t="s">
        <v>20</v>
      </c>
      <c r="C9" s="18">
        <v>8.16</v>
      </c>
      <c r="D9" s="145">
        <v>201.67005330000001</v>
      </c>
      <c r="E9" s="145">
        <v>188.90085960000002</v>
      </c>
      <c r="F9" s="145">
        <v>173.18299999999999</v>
      </c>
      <c r="G9" s="145">
        <v>84.781999999999996</v>
      </c>
      <c r="H9" s="145">
        <v>178.47900000000001</v>
      </c>
      <c r="I9" s="18">
        <v>142.46700000000001</v>
      </c>
      <c r="J9" s="18">
        <v>199.94800000000001</v>
      </c>
      <c r="K9" s="18">
        <v>147.52600000000001</v>
      </c>
      <c r="L9" s="145">
        <v>221.43700000000001</v>
      </c>
      <c r="M9" s="18">
        <v>307.78800000000001</v>
      </c>
      <c r="N9" s="18">
        <v>198.31</v>
      </c>
      <c r="O9" s="18">
        <v>149.18700000000001</v>
      </c>
      <c r="P9" s="18">
        <v>154.09399999999999</v>
      </c>
      <c r="Q9" s="18">
        <v>166.89699999999999</v>
      </c>
      <c r="R9" s="18"/>
      <c r="S9" s="18">
        <v>201.40799999999999</v>
      </c>
      <c r="T9" s="18"/>
      <c r="U9" s="18"/>
      <c r="V9" s="18"/>
      <c r="W9" s="1"/>
      <c r="X9" s="194"/>
      <c r="Y9" s="194"/>
      <c r="Z9" s="204"/>
      <c r="AA9" s="205"/>
      <c r="AB9" s="194"/>
      <c r="AC9" s="204"/>
      <c r="AD9" s="205"/>
      <c r="AE9" s="18"/>
      <c r="AF9" s="145"/>
      <c r="AG9" s="18"/>
      <c r="AH9" s="145"/>
    </row>
    <row r="10" spans="1:36" ht="15.5" x14ac:dyDescent="0.35">
      <c r="A10" s="208"/>
      <c r="B10" s="21" t="s">
        <v>21</v>
      </c>
      <c r="C10" s="22">
        <v>20</v>
      </c>
      <c r="D10" s="146"/>
      <c r="E10" s="146"/>
      <c r="F10" s="146">
        <v>21</v>
      </c>
      <c r="G10" s="146">
        <v>13</v>
      </c>
      <c r="H10" s="146">
        <v>25</v>
      </c>
      <c r="I10" s="22">
        <v>21</v>
      </c>
      <c r="J10" s="22">
        <v>29</v>
      </c>
      <c r="K10" s="22">
        <v>15</v>
      </c>
      <c r="L10" s="146">
        <v>17</v>
      </c>
      <c r="M10" s="22">
        <v>21</v>
      </c>
      <c r="N10" s="22">
        <v>22</v>
      </c>
      <c r="O10" s="22">
        <v>24</v>
      </c>
      <c r="P10" s="22">
        <v>25</v>
      </c>
      <c r="Q10" s="22">
        <v>21</v>
      </c>
      <c r="R10" s="22"/>
      <c r="S10" s="22">
        <v>29</v>
      </c>
      <c r="T10" s="22"/>
      <c r="U10" s="22"/>
      <c r="V10" s="22"/>
      <c r="W10" s="1"/>
      <c r="X10" s="194"/>
      <c r="Y10" s="194"/>
      <c r="Z10" s="186"/>
      <c r="AA10" s="205"/>
      <c r="AB10" s="194"/>
      <c r="AC10" s="186"/>
      <c r="AD10" s="205"/>
      <c r="AE10" s="22"/>
      <c r="AF10" s="146"/>
      <c r="AG10" s="22"/>
      <c r="AH10" s="146"/>
    </row>
    <row r="11" spans="1:36" ht="15.5" x14ac:dyDescent="0.35">
      <c r="A11" s="207" t="s">
        <v>24</v>
      </c>
      <c r="B11" s="17" t="s">
        <v>20</v>
      </c>
      <c r="C11" s="18">
        <v>7.7080000000000002</v>
      </c>
      <c r="D11" s="145">
        <v>522.46749299999999</v>
      </c>
      <c r="E11" s="145">
        <v>334.08827990000003</v>
      </c>
      <c r="F11" s="145">
        <v>527.69299999999998</v>
      </c>
      <c r="G11" s="145">
        <v>683.50400000000002</v>
      </c>
      <c r="H11" s="145">
        <v>582.07899999999995</v>
      </c>
      <c r="I11" s="18">
        <v>495.49700000000001</v>
      </c>
      <c r="J11" s="18">
        <v>401.87599999999998</v>
      </c>
      <c r="K11" s="18">
        <v>438.09500000000003</v>
      </c>
      <c r="L11" s="145">
        <v>371.39499999999998</v>
      </c>
      <c r="M11" s="18">
        <v>357.51400000000001</v>
      </c>
      <c r="N11" s="18">
        <v>310.81200000000001</v>
      </c>
      <c r="O11" s="18">
        <v>438.13499999999999</v>
      </c>
      <c r="P11" s="18">
        <v>308.44900000000001</v>
      </c>
      <c r="Q11" s="18">
        <v>304.47500000000002</v>
      </c>
      <c r="R11" s="18"/>
      <c r="S11" s="18">
        <v>275.81700000000001</v>
      </c>
      <c r="T11" s="18"/>
      <c r="U11" s="18"/>
      <c r="V11" s="18"/>
      <c r="W11" s="1"/>
      <c r="X11" s="194"/>
      <c r="Y11" s="194"/>
      <c r="Z11" s="204"/>
      <c r="AA11" s="205"/>
      <c r="AB11" s="194"/>
      <c r="AC11" s="204"/>
      <c r="AD11" s="205"/>
      <c r="AE11" s="18"/>
      <c r="AF11" s="145"/>
      <c r="AG11" s="18"/>
      <c r="AH11" s="145"/>
    </row>
    <row r="12" spans="1:36" ht="15.5" x14ac:dyDescent="0.35">
      <c r="A12" s="208"/>
      <c r="B12" s="21" t="s">
        <v>21</v>
      </c>
      <c r="C12" s="22">
        <v>20</v>
      </c>
      <c r="D12" s="146"/>
      <c r="E12" s="146"/>
      <c r="F12" s="146">
        <v>44</v>
      </c>
      <c r="G12" s="146">
        <v>41</v>
      </c>
      <c r="H12" s="146">
        <v>53</v>
      </c>
      <c r="I12" s="22">
        <v>49</v>
      </c>
      <c r="J12" s="22">
        <v>35</v>
      </c>
      <c r="K12" s="22">
        <v>40</v>
      </c>
      <c r="L12" s="146">
        <v>37</v>
      </c>
      <c r="M12" s="22">
        <v>35</v>
      </c>
      <c r="N12" s="22">
        <v>36</v>
      </c>
      <c r="O12" s="22">
        <v>43</v>
      </c>
      <c r="P12" s="22">
        <v>32</v>
      </c>
      <c r="Q12" s="22">
        <v>29</v>
      </c>
      <c r="R12" s="22"/>
      <c r="S12" s="22">
        <v>26</v>
      </c>
      <c r="T12" s="22"/>
      <c r="U12" s="22"/>
      <c r="V12" s="22"/>
      <c r="W12" s="1"/>
      <c r="X12" s="194"/>
      <c r="Y12" s="194"/>
      <c r="Z12" s="204"/>
      <c r="AA12" s="205"/>
      <c r="AB12" s="194"/>
      <c r="AC12" s="204"/>
      <c r="AD12" s="205"/>
      <c r="AE12" s="22"/>
      <c r="AF12" s="146"/>
      <c r="AG12" s="22"/>
      <c r="AH12" s="146"/>
    </row>
    <row r="13" spans="1:36" ht="15.5" x14ac:dyDescent="0.35">
      <c r="A13" s="207" t="s">
        <v>25</v>
      </c>
      <c r="B13" s="17" t="s">
        <v>20</v>
      </c>
      <c r="C13" s="18">
        <v>11.074</v>
      </c>
      <c r="D13" s="145">
        <v>290.82710040000001</v>
      </c>
      <c r="E13" s="145">
        <v>211.91115669999999</v>
      </c>
      <c r="F13" s="145">
        <v>207.94499999999999</v>
      </c>
      <c r="G13" s="145">
        <v>168.31100000000001</v>
      </c>
      <c r="H13" s="145">
        <v>242.25899999999999</v>
      </c>
      <c r="I13" s="18">
        <v>276.678</v>
      </c>
      <c r="J13" s="18">
        <v>349.93299999999999</v>
      </c>
      <c r="K13" s="18">
        <v>298.34300000000002</v>
      </c>
      <c r="L13" s="145">
        <v>194.96199999999999</v>
      </c>
      <c r="M13" s="18">
        <v>213.55099999999999</v>
      </c>
      <c r="N13" s="18">
        <v>199.251</v>
      </c>
      <c r="O13" s="18">
        <v>213.804</v>
      </c>
      <c r="P13" s="18">
        <v>214.71</v>
      </c>
      <c r="Q13" s="18">
        <v>192.48599999999999</v>
      </c>
      <c r="R13" s="18"/>
      <c r="S13" s="18">
        <v>137.51</v>
      </c>
      <c r="T13" s="18"/>
      <c r="U13" s="18"/>
      <c r="V13" s="18"/>
      <c r="W13" s="1"/>
      <c r="X13" s="194"/>
      <c r="Y13" s="194"/>
      <c r="Z13" s="186"/>
      <c r="AA13" s="205"/>
      <c r="AB13" s="194"/>
      <c r="AC13" s="186"/>
      <c r="AD13" s="205"/>
      <c r="AE13" s="18"/>
      <c r="AF13" s="145"/>
      <c r="AG13" s="18"/>
      <c r="AH13" s="145"/>
    </row>
    <row r="14" spans="1:36" ht="15.5" x14ac:dyDescent="0.35">
      <c r="A14" s="208"/>
      <c r="B14" s="21" t="s">
        <v>21</v>
      </c>
      <c r="C14" s="22">
        <v>43</v>
      </c>
      <c r="D14" s="146"/>
      <c r="E14" s="146"/>
      <c r="F14" s="146">
        <v>39</v>
      </c>
      <c r="G14" s="146">
        <v>33</v>
      </c>
      <c r="H14" s="146">
        <v>40</v>
      </c>
      <c r="I14" s="22">
        <v>40</v>
      </c>
      <c r="J14" s="22">
        <v>42</v>
      </c>
      <c r="K14" s="22">
        <v>38</v>
      </c>
      <c r="L14" s="146">
        <v>23</v>
      </c>
      <c r="M14" s="22">
        <v>28</v>
      </c>
      <c r="N14" s="22">
        <v>28</v>
      </c>
      <c r="O14" s="22">
        <v>36</v>
      </c>
      <c r="P14" s="22">
        <v>29</v>
      </c>
      <c r="Q14" s="22">
        <v>31</v>
      </c>
      <c r="R14" s="22"/>
      <c r="S14" s="22">
        <v>31</v>
      </c>
      <c r="T14" s="22"/>
      <c r="U14" s="22"/>
      <c r="V14" s="22"/>
      <c r="W14" s="1"/>
      <c r="X14" s="194"/>
      <c r="Y14" s="194"/>
      <c r="Z14" s="204"/>
      <c r="AA14" s="205"/>
      <c r="AB14" s="194"/>
      <c r="AC14" s="204"/>
      <c r="AD14" s="205"/>
      <c r="AE14" s="22"/>
      <c r="AF14" s="146"/>
      <c r="AG14" s="22"/>
      <c r="AH14" s="146"/>
    </row>
    <row r="15" spans="1:36" ht="15.5" x14ac:dyDescent="0.35">
      <c r="A15" s="207" t="s">
        <v>26</v>
      </c>
      <c r="B15" s="17" t="s">
        <v>20</v>
      </c>
      <c r="C15" s="27">
        <f t="shared" ref="C15:C16" si="4">+C5+C7+C9+C11+C13</f>
        <v>133.49700000000001</v>
      </c>
      <c r="D15" s="147">
        <v>2283.5547890999997</v>
      </c>
      <c r="E15" s="147">
        <f>1771.2824442+195</f>
        <v>1966.2824442000001</v>
      </c>
      <c r="F15" s="147">
        <f>1715.982+195</f>
        <v>1910.982</v>
      </c>
      <c r="G15" s="147">
        <f>+G5+G7+G9+G11+G13</f>
        <v>1917.4649999999999</v>
      </c>
      <c r="H15" s="147">
        <f t="shared" ref="H15:Q16" si="5">+H5+H7+H9+H11+H13</f>
        <v>2142.2049999999999</v>
      </c>
      <c r="I15" s="147">
        <f t="shared" si="5"/>
        <v>2070.2910000000002</v>
      </c>
      <c r="J15" s="147">
        <f t="shared" si="5"/>
        <v>2071.0610000000001</v>
      </c>
      <c r="K15" s="147">
        <f t="shared" si="5"/>
        <v>2070.81</v>
      </c>
      <c r="L15" s="147">
        <f t="shared" si="5"/>
        <v>1642.857</v>
      </c>
      <c r="M15" s="147">
        <f t="shared" si="5"/>
        <v>1602.6149999999998</v>
      </c>
      <c r="N15" s="147">
        <f t="shared" si="5"/>
        <v>1524.2189999999998</v>
      </c>
      <c r="O15" s="147">
        <f t="shared" si="5"/>
        <v>1757.4730000000002</v>
      </c>
      <c r="P15" s="147">
        <f t="shared" si="5"/>
        <v>1899.4110000000001</v>
      </c>
      <c r="Q15" s="147">
        <f t="shared" si="5"/>
        <v>1816.8789999999999</v>
      </c>
      <c r="R15" s="147"/>
      <c r="S15" s="147">
        <f t="shared" ref="S15:S16" si="6">+S5+S7+S9+S11+S13</f>
        <v>1710.0419999999999</v>
      </c>
      <c r="T15" s="147"/>
      <c r="U15" s="147"/>
      <c r="V15" s="147"/>
      <c r="W15" s="1"/>
      <c r="X15" s="194"/>
      <c r="Y15" s="194"/>
      <c r="Z15" s="204"/>
      <c r="AA15" s="205"/>
      <c r="AB15" s="194"/>
      <c r="AC15" s="204"/>
      <c r="AD15" s="205"/>
      <c r="AE15" s="27"/>
      <c r="AF15" s="147"/>
      <c r="AG15" s="27"/>
      <c r="AH15" s="147"/>
    </row>
    <row r="16" spans="1:36" ht="15.5" x14ac:dyDescent="0.35">
      <c r="A16" s="208"/>
      <c r="B16" s="21" t="s">
        <v>21</v>
      </c>
      <c r="C16" s="28">
        <f t="shared" si="4"/>
        <v>388</v>
      </c>
      <c r="D16" s="148">
        <v>288</v>
      </c>
      <c r="E16" s="148">
        <v>230</v>
      </c>
      <c r="F16" s="148">
        <f>+F6+F8+F10+F12+F14</f>
        <v>226</v>
      </c>
      <c r="G16" s="148">
        <v>233</v>
      </c>
      <c r="H16" s="148">
        <f t="shared" ref="H16" si="7">+H6+H8+H10+H12+H14</f>
        <v>257</v>
      </c>
      <c r="I16" s="148">
        <f t="shared" si="5"/>
        <v>253</v>
      </c>
      <c r="J16" s="148">
        <f t="shared" si="5"/>
        <v>244</v>
      </c>
      <c r="K16" s="148">
        <f t="shared" si="5"/>
        <v>245</v>
      </c>
      <c r="L16" s="148">
        <f t="shared" si="5"/>
        <v>203</v>
      </c>
      <c r="M16" s="148">
        <f t="shared" si="5"/>
        <v>201</v>
      </c>
      <c r="N16" s="148">
        <f t="shared" si="5"/>
        <v>208</v>
      </c>
      <c r="O16" s="148">
        <f t="shared" si="5"/>
        <v>237</v>
      </c>
      <c r="P16" s="148">
        <f t="shared" si="5"/>
        <v>239</v>
      </c>
      <c r="Q16" s="148">
        <f t="shared" si="5"/>
        <v>222</v>
      </c>
      <c r="R16" s="148"/>
      <c r="S16" s="148">
        <f t="shared" si="6"/>
        <v>227</v>
      </c>
      <c r="T16" s="148"/>
      <c r="U16" s="148"/>
      <c r="V16" s="148"/>
      <c r="W16" s="28"/>
      <c r="X16" s="148"/>
      <c r="Y16" s="28"/>
      <c r="Z16" s="148"/>
      <c r="AA16" s="28"/>
      <c r="AB16" s="148"/>
      <c r="AC16" s="28"/>
      <c r="AD16" s="148"/>
      <c r="AE16" s="28"/>
      <c r="AF16" s="148"/>
      <c r="AG16" s="28"/>
      <c r="AH16" s="148"/>
    </row>
    <row r="17" spans="1:28" ht="15.5" hidden="1" x14ac:dyDescent="0.35">
      <c r="A17" s="29" t="s">
        <v>27</v>
      </c>
      <c r="B17" s="30"/>
      <c r="C17" s="31">
        <f t="shared" ref="C17:L17" si="8">+C15/C16</f>
        <v>0.34406443298969075</v>
      </c>
      <c r="D17" s="149">
        <v>7.9290096843749991</v>
      </c>
      <c r="E17" s="149"/>
      <c r="F17" s="149">
        <f t="shared" ref="F17" si="9">+F15/F16</f>
        <v>8.4556725663716819</v>
      </c>
      <c r="G17" s="31">
        <f t="shared" si="8"/>
        <v>8.2294635193133043</v>
      </c>
      <c r="H17" s="31">
        <f t="shared" si="8"/>
        <v>8.3354280155642027</v>
      </c>
      <c r="I17" s="31">
        <f t="shared" si="8"/>
        <v>8.1829683794466401</v>
      </c>
      <c r="J17" s="31">
        <f t="shared" si="8"/>
        <v>8.4879549180327878</v>
      </c>
      <c r="K17" s="31">
        <f t="shared" si="8"/>
        <v>8.4522857142857148</v>
      </c>
      <c r="L17" s="31">
        <f t="shared" si="8"/>
        <v>8.0928916256157635</v>
      </c>
      <c r="M17" s="31">
        <v>7.3395326097560973</v>
      </c>
      <c r="N17" s="31">
        <v>7.7443498039215681</v>
      </c>
      <c r="O17" s="31">
        <v>7.8119581276346608</v>
      </c>
      <c r="P17" s="149">
        <v>7.9677477941176473</v>
      </c>
      <c r="Q17" s="149">
        <v>7.9290096843749991</v>
      </c>
      <c r="R17" s="149" t="e">
        <f t="shared" ref="R17" si="10">+R15/R16</f>
        <v>#DIV/0!</v>
      </c>
      <c r="S17" s="31"/>
      <c r="T17" s="149"/>
      <c r="U17" s="31" t="e">
        <f t="shared" ref="U17:V17" si="11">+U15/U16</f>
        <v>#DIV/0!</v>
      </c>
      <c r="V17" s="149" t="e">
        <f t="shared" si="11"/>
        <v>#DIV/0!</v>
      </c>
      <c r="W17" s="31" t="e">
        <f>+#REF!/W16</f>
        <v>#REF!</v>
      </c>
      <c r="X17" s="149" t="e">
        <f>+#REF!/X16</f>
        <v>#REF!</v>
      </c>
      <c r="Y17" s="31" t="e">
        <f>+#REF!/Y16</f>
        <v>#REF!</v>
      </c>
      <c r="Z17" s="149" t="e">
        <f>+#REF!/Z16</f>
        <v>#REF!</v>
      </c>
      <c r="AA17" s="31" t="e">
        <f>+#REF!/AA16</f>
        <v>#REF!</v>
      </c>
      <c r="AB17" s="149" t="e">
        <f>+#REF!/AB16</f>
        <v>#REF!</v>
      </c>
    </row>
    <row r="18" spans="1:28" hidden="1" x14ac:dyDescent="0.35">
      <c r="A18" s="207" t="s">
        <v>28</v>
      </c>
      <c r="B18" s="17" t="s">
        <v>20</v>
      </c>
      <c r="C18" s="32">
        <v>3.71</v>
      </c>
      <c r="D18" s="32"/>
      <c r="E18" s="32"/>
      <c r="F18" s="32"/>
      <c r="G18" s="32">
        <v>5.91</v>
      </c>
      <c r="H18" s="32">
        <v>5.9</v>
      </c>
      <c r="I18" s="32">
        <v>6.48</v>
      </c>
      <c r="J18" s="32">
        <v>4.04</v>
      </c>
      <c r="K18" s="32">
        <v>4.53</v>
      </c>
      <c r="L18" s="19"/>
      <c r="M18" s="19"/>
      <c r="N18" s="18"/>
      <c r="O18" s="18"/>
      <c r="P18" s="32"/>
      <c r="Q18" s="32"/>
      <c r="R18" s="32"/>
      <c r="S18" s="32"/>
      <c r="T18" s="32"/>
      <c r="U18" s="32"/>
      <c r="V18" s="32"/>
      <c r="W18" s="32"/>
      <c r="X18" s="33"/>
      <c r="Y18" s="4"/>
      <c r="Z18" s="4"/>
    </row>
    <row r="19" spans="1:28" hidden="1" x14ac:dyDescent="0.35">
      <c r="A19" s="208"/>
      <c r="B19" s="21" t="s">
        <v>21</v>
      </c>
      <c r="C19" s="22">
        <v>44</v>
      </c>
      <c r="D19" s="22"/>
      <c r="E19" s="22"/>
      <c r="F19" s="22"/>
      <c r="G19" s="22">
        <v>57</v>
      </c>
      <c r="H19" s="22">
        <v>59</v>
      </c>
      <c r="I19" s="22">
        <v>69</v>
      </c>
      <c r="J19" s="22">
        <v>46</v>
      </c>
      <c r="K19" s="22">
        <v>51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33"/>
      <c r="Y19" s="4"/>
      <c r="Z19" s="4"/>
    </row>
    <row r="20" spans="1:28" ht="15.5" hidden="1" x14ac:dyDescent="0.35">
      <c r="A20" s="34" t="s">
        <v>29</v>
      </c>
      <c r="B20" s="1"/>
      <c r="C20" s="31">
        <f t="shared" ref="C20:K20" si="12">+C18/C19</f>
        <v>8.431818181818182E-2</v>
      </c>
      <c r="D20" s="31"/>
      <c r="E20" s="31"/>
      <c r="F20" s="31"/>
      <c r="G20" s="31">
        <f t="shared" si="12"/>
        <v>0.1036842105263158</v>
      </c>
      <c r="H20" s="31">
        <f t="shared" si="12"/>
        <v>0.1</v>
      </c>
      <c r="I20" s="31">
        <f t="shared" si="12"/>
        <v>9.3913043478260877E-2</v>
      </c>
      <c r="J20" s="31">
        <f t="shared" si="12"/>
        <v>8.7826086956521734E-2</v>
      </c>
      <c r="K20" s="31">
        <f t="shared" si="12"/>
        <v>8.8823529411764704E-2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162"/>
      <c r="W20" s="162"/>
      <c r="X20" s="163"/>
      <c r="Y20" s="4"/>
      <c r="Z20" s="4"/>
    </row>
    <row r="21" spans="1:28" ht="15.5" x14ac:dyDescent="0.35">
      <c r="A21" s="1"/>
      <c r="B21" s="1"/>
      <c r="C21" s="150">
        <f>+F21</f>
        <v>1715.982</v>
      </c>
      <c r="D21" s="150"/>
      <c r="E21" s="194">
        <f>+E15-195</f>
        <v>1771.2824442000001</v>
      </c>
      <c r="F21" s="194">
        <f>+F15-195</f>
        <v>1715.982</v>
      </c>
      <c r="G21" s="151">
        <v>18.407699999999998</v>
      </c>
      <c r="H21" s="150">
        <v>18.09</v>
      </c>
      <c r="I21" s="150">
        <v>18.07</v>
      </c>
      <c r="J21" s="150">
        <v>17.653199999999998</v>
      </c>
      <c r="K21" s="150">
        <v>17.1187</v>
      </c>
      <c r="L21" s="150">
        <v>16.73</v>
      </c>
      <c r="M21" s="150">
        <v>17.02</v>
      </c>
      <c r="N21" s="150">
        <v>17.02</v>
      </c>
      <c r="O21" s="150">
        <v>17.02</v>
      </c>
      <c r="P21" s="192"/>
      <c r="Q21" s="150"/>
      <c r="R21" s="194"/>
      <c r="S21" s="194"/>
      <c r="T21" s="194"/>
      <c r="U21" s="35"/>
      <c r="V21" s="36"/>
      <c r="W21" s="4"/>
      <c r="X21" s="4"/>
      <c r="Y21" s="4"/>
      <c r="Z21" s="4"/>
    </row>
    <row r="22" spans="1:28" ht="15.5" hidden="1" x14ac:dyDescent="0.35">
      <c r="A22" s="1"/>
      <c r="B22" s="1" t="s">
        <v>86</v>
      </c>
      <c r="C22" s="150"/>
      <c r="D22" s="150"/>
      <c r="E22" s="194"/>
      <c r="F22" s="194"/>
      <c r="G22" s="151"/>
      <c r="H22" s="150"/>
      <c r="I22" s="150"/>
      <c r="J22" s="150"/>
      <c r="K22" s="150"/>
      <c r="L22" s="150"/>
      <c r="M22" s="150"/>
      <c r="N22" s="150"/>
      <c r="O22" s="150"/>
      <c r="P22" s="192"/>
      <c r="W22" s="4"/>
      <c r="X22" s="4"/>
      <c r="Y22" s="4"/>
      <c r="Z22" s="4"/>
    </row>
    <row r="23" spans="1:28" ht="15.5" hidden="1" x14ac:dyDescent="0.35">
      <c r="A23" s="1"/>
      <c r="B23" s="1" t="s">
        <v>97</v>
      </c>
      <c r="C23" s="150"/>
      <c r="D23" s="150"/>
      <c r="E23" s="194"/>
      <c r="F23" s="194"/>
      <c r="G23" s="151"/>
      <c r="H23" s="150"/>
      <c r="I23" s="150"/>
      <c r="J23" s="150"/>
      <c r="K23" s="150"/>
      <c r="L23" s="150"/>
      <c r="M23" s="150"/>
      <c r="N23" s="150"/>
      <c r="O23" s="150"/>
      <c r="P23" s="192"/>
      <c r="W23" s="4"/>
      <c r="X23" s="4"/>
      <c r="Y23" s="4"/>
      <c r="Z23" s="4"/>
    </row>
    <row r="24" spans="1:28" ht="15.5" hidden="1" x14ac:dyDescent="0.35">
      <c r="A24" s="1"/>
      <c r="B24" s="1" t="s">
        <v>94</v>
      </c>
      <c r="C24" s="150"/>
      <c r="D24" s="150"/>
      <c r="E24" s="194"/>
      <c r="F24" s="194"/>
      <c r="G24" s="151"/>
      <c r="H24" s="150"/>
      <c r="I24" s="150"/>
      <c r="J24" s="150"/>
      <c r="K24" s="150"/>
      <c r="L24" s="150"/>
      <c r="M24" s="150"/>
      <c r="N24" s="150"/>
      <c r="O24" s="150"/>
      <c r="P24" s="192"/>
      <c r="W24" s="4"/>
      <c r="X24" s="4"/>
      <c r="Y24" s="4"/>
      <c r="Z24" s="4"/>
    </row>
    <row r="25" spans="1:28" ht="15.5" hidden="1" x14ac:dyDescent="0.35">
      <c r="A25" s="1"/>
      <c r="B25" s="1" t="s">
        <v>105</v>
      </c>
      <c r="C25" s="150"/>
      <c r="D25" s="150"/>
      <c r="E25" s="194"/>
      <c r="F25" s="194"/>
      <c r="G25" s="151"/>
      <c r="H25" s="150"/>
      <c r="I25" s="150"/>
      <c r="J25" s="150"/>
      <c r="K25" s="150"/>
      <c r="L25" s="150"/>
      <c r="M25" s="150"/>
      <c r="N25" s="150"/>
      <c r="O25" s="150"/>
      <c r="P25" s="192"/>
      <c r="W25" s="4"/>
      <c r="X25" s="4"/>
      <c r="Y25" s="4"/>
      <c r="Z25" s="4"/>
    </row>
    <row r="26" spans="1:28" ht="15.5" hidden="1" x14ac:dyDescent="0.35">
      <c r="A26" s="1"/>
      <c r="B26" s="1"/>
      <c r="C26" s="150"/>
      <c r="D26" s="150"/>
      <c r="E26" s="194"/>
      <c r="F26" s="194"/>
      <c r="G26" s="151"/>
      <c r="H26" s="150"/>
      <c r="I26" s="150"/>
      <c r="J26" s="150"/>
      <c r="K26" s="150"/>
      <c r="L26" s="150"/>
      <c r="M26" s="150"/>
      <c r="N26" s="150"/>
      <c r="O26" s="150"/>
      <c r="P26" s="192"/>
      <c r="W26" s="4"/>
      <c r="X26" s="4"/>
      <c r="Y26" s="4"/>
      <c r="Z26" s="4"/>
    </row>
    <row r="27" spans="1:28" ht="15.5" hidden="1" x14ac:dyDescent="0.35">
      <c r="A27" s="1"/>
      <c r="B27" s="1"/>
      <c r="C27" s="150"/>
      <c r="D27" s="150"/>
      <c r="E27" s="194"/>
      <c r="F27" s="194"/>
      <c r="G27" s="151"/>
      <c r="H27" s="150"/>
      <c r="I27" s="150"/>
      <c r="J27" s="150"/>
      <c r="K27" s="150"/>
      <c r="L27" s="150"/>
      <c r="M27" s="150"/>
      <c r="N27" s="150"/>
      <c r="O27" s="150"/>
      <c r="P27" s="192"/>
      <c r="W27" s="4"/>
      <c r="X27" s="4"/>
      <c r="Y27" s="4"/>
      <c r="Z27" s="4"/>
    </row>
    <row r="28" spans="1:28" ht="15.5" hidden="1" x14ac:dyDescent="0.35">
      <c r="A28" s="1"/>
      <c r="B28" s="1"/>
      <c r="C28" s="150"/>
      <c r="D28" s="150"/>
      <c r="E28" s="194"/>
      <c r="F28" s="194"/>
      <c r="G28" s="151"/>
      <c r="H28" s="150"/>
      <c r="I28" s="150"/>
      <c r="J28" s="150"/>
      <c r="K28" s="150"/>
      <c r="L28" s="150"/>
      <c r="M28" s="150"/>
      <c r="N28" s="150"/>
      <c r="O28" s="150"/>
      <c r="P28" s="192"/>
      <c r="W28" s="4"/>
      <c r="X28" s="4"/>
      <c r="Y28" s="4"/>
      <c r="Z28" s="4"/>
    </row>
    <row r="29" spans="1:28" ht="15.5" hidden="1" x14ac:dyDescent="0.35">
      <c r="A29" s="1"/>
      <c r="B29" s="1"/>
      <c r="C29" s="150"/>
      <c r="D29" s="150"/>
      <c r="E29" s="194"/>
      <c r="F29" s="194"/>
      <c r="G29" s="151"/>
      <c r="H29" s="150"/>
      <c r="I29" s="150"/>
      <c r="J29" s="150"/>
      <c r="K29" s="150"/>
      <c r="L29" s="150"/>
      <c r="M29" s="150"/>
      <c r="N29" s="150"/>
      <c r="O29" s="150"/>
      <c r="P29" s="192"/>
      <c r="W29" s="4"/>
      <c r="X29" s="4"/>
      <c r="Y29" s="4"/>
      <c r="Z29" s="4"/>
    </row>
    <row r="30" spans="1:28" ht="15.5" hidden="1" x14ac:dyDescent="0.35">
      <c r="A30" s="1"/>
      <c r="B30" s="1"/>
      <c r="C30" s="150"/>
      <c r="D30" s="150"/>
      <c r="E30" s="194"/>
      <c r="F30" s="194"/>
      <c r="G30" s="151"/>
      <c r="H30" s="150"/>
      <c r="I30" s="150"/>
      <c r="J30" s="150"/>
      <c r="K30" s="150"/>
      <c r="L30" s="150"/>
      <c r="M30" s="150"/>
      <c r="N30" s="150"/>
      <c r="O30" s="150"/>
      <c r="P30" s="192"/>
      <c r="W30" s="4"/>
      <c r="X30" s="4"/>
      <c r="Y30" s="4"/>
      <c r="Z30" s="4"/>
    </row>
    <row r="31" spans="1:28" ht="15.5" hidden="1" x14ac:dyDescent="0.35">
      <c r="A31" s="1"/>
      <c r="B31" s="1"/>
      <c r="C31" s="150"/>
      <c r="D31" s="150"/>
      <c r="E31" s="194"/>
      <c r="F31" s="194"/>
      <c r="G31" s="151"/>
      <c r="H31" s="150"/>
      <c r="I31" s="150"/>
      <c r="J31" s="150"/>
      <c r="K31" s="150"/>
      <c r="L31" s="150"/>
      <c r="M31" s="150"/>
      <c r="N31" s="150"/>
      <c r="O31" s="150"/>
      <c r="P31" s="192"/>
      <c r="W31" s="4"/>
      <c r="X31" s="4"/>
      <c r="Y31" s="4"/>
      <c r="Z31" s="4"/>
    </row>
    <row r="32" spans="1:28" ht="15.5" hidden="1" x14ac:dyDescent="0.35">
      <c r="A32" s="1"/>
      <c r="B32" s="1"/>
      <c r="C32" s="150"/>
      <c r="D32" s="150"/>
      <c r="E32" s="194"/>
      <c r="F32" s="194"/>
      <c r="G32" s="151"/>
      <c r="H32" s="150"/>
      <c r="I32" s="150"/>
      <c r="J32" s="150"/>
      <c r="K32" s="150"/>
      <c r="L32" s="150"/>
      <c r="M32" s="150"/>
      <c r="N32" s="150"/>
      <c r="O32" s="150"/>
      <c r="P32" s="192"/>
      <c r="W32" s="4"/>
      <c r="X32" s="4"/>
      <c r="Y32" s="4"/>
      <c r="Z32" s="4"/>
    </row>
    <row r="33" spans="1:32" ht="15.5" hidden="1" x14ac:dyDescent="0.35">
      <c r="A33" s="1"/>
      <c r="B33" s="1"/>
      <c r="C33" s="150"/>
      <c r="D33" s="150"/>
      <c r="E33" s="194"/>
      <c r="F33" s="194"/>
      <c r="G33" s="151"/>
      <c r="H33" s="150"/>
      <c r="I33" s="150"/>
      <c r="J33" s="150"/>
      <c r="K33" s="150"/>
      <c r="L33" s="150"/>
      <c r="M33" s="150"/>
      <c r="N33" s="150"/>
      <c r="O33" s="150"/>
      <c r="P33" s="192"/>
      <c r="W33" s="4"/>
      <c r="X33" s="4"/>
      <c r="Y33" s="4"/>
      <c r="Z33" s="4"/>
    </row>
    <row r="34" spans="1:32" ht="15.5" x14ac:dyDescent="0.35">
      <c r="A34" s="1"/>
      <c r="B34" s="1"/>
      <c r="C34" s="150"/>
      <c r="D34" s="150"/>
      <c r="E34" s="194"/>
      <c r="F34" s="194"/>
      <c r="G34" s="151"/>
      <c r="H34" s="150"/>
      <c r="I34" s="150"/>
      <c r="J34" s="150"/>
      <c r="K34" s="150"/>
      <c r="L34" s="150"/>
      <c r="M34" s="150"/>
      <c r="N34" s="150"/>
      <c r="O34" s="150"/>
      <c r="P34" s="192"/>
      <c r="Q34" s="150"/>
      <c r="R34" s="194"/>
      <c r="S34" s="194"/>
      <c r="T34" s="194"/>
      <c r="U34" s="35"/>
      <c r="V34" s="36"/>
      <c r="W34" s="4"/>
      <c r="X34" s="4"/>
      <c r="Y34" s="4"/>
      <c r="Z34" s="4"/>
    </row>
    <row r="35" spans="1:32" ht="15.5" x14ac:dyDescent="0.35">
      <c r="A35" s="218" t="s">
        <v>30</v>
      </c>
      <c r="B35" s="37" t="s">
        <v>31</v>
      </c>
      <c r="C35" s="38" t="s">
        <v>3</v>
      </c>
      <c r="D35" s="38" t="s">
        <v>170</v>
      </c>
      <c r="E35" s="38" t="s">
        <v>220</v>
      </c>
      <c r="F35" s="38" t="s">
        <v>4</v>
      </c>
      <c r="G35" s="39" t="s">
        <v>5</v>
      </c>
      <c r="H35" s="39" t="s">
        <v>6</v>
      </c>
      <c r="I35" s="39" t="s">
        <v>33</v>
      </c>
      <c r="J35" s="39" t="s">
        <v>8</v>
      </c>
      <c r="K35" s="39" t="s">
        <v>9</v>
      </c>
      <c r="L35" s="39" t="s">
        <v>10</v>
      </c>
      <c r="M35" s="39" t="s">
        <v>34</v>
      </c>
      <c r="N35" s="39" t="s">
        <v>35</v>
      </c>
      <c r="O35" s="39" t="s">
        <v>13</v>
      </c>
      <c r="P35" s="39" t="s">
        <v>14</v>
      </c>
      <c r="Q35" s="39" t="s">
        <v>15</v>
      </c>
      <c r="R35" s="40"/>
      <c r="S35" s="41" t="s">
        <v>202</v>
      </c>
      <c r="T35" s="42"/>
      <c r="U35" s="65" t="s">
        <v>176</v>
      </c>
      <c r="X35" s="178"/>
    </row>
    <row r="36" spans="1:32" x14ac:dyDescent="0.35">
      <c r="A36" s="219"/>
      <c r="B36" s="46" t="s">
        <v>41</v>
      </c>
      <c r="C36" s="47">
        <f>+'[1]LMM Formato'!C23*[1]Pesos!D21</f>
        <v>155.117018</v>
      </c>
      <c r="D36" s="47">
        <v>1065.6300000000001</v>
      </c>
      <c r="E36" s="48">
        <v>1285.5999999999999</v>
      </c>
      <c r="F36" s="47">
        <v>41.12</v>
      </c>
      <c r="G36" s="47">
        <v>57.59</v>
      </c>
      <c r="H36" s="47">
        <v>133.71</v>
      </c>
      <c r="I36" s="47">
        <v>123.97</v>
      </c>
      <c r="J36" s="47">
        <v>103.776</v>
      </c>
      <c r="K36" s="47">
        <v>75.25</v>
      </c>
      <c r="L36" s="47">
        <v>58.53</v>
      </c>
      <c r="M36" s="47">
        <v>68.3</v>
      </c>
      <c r="N36" s="47">
        <v>85.92</v>
      </c>
      <c r="O36" s="47">
        <v>56.45</v>
      </c>
      <c r="P36" s="47">
        <f>129.57-15</f>
        <v>114.57</v>
      </c>
      <c r="Q36" s="47">
        <v>137.1</v>
      </c>
      <c r="R36" s="48">
        <f>+SUM(F36:Q36)</f>
        <v>1056.2859999999998</v>
      </c>
      <c r="S36" s="49">
        <f>+SUM(F36:Q36)</f>
        <v>1056.2859999999998</v>
      </c>
      <c r="T36" s="50"/>
      <c r="U36" s="65" t="s">
        <v>175</v>
      </c>
      <c r="X36" s="178"/>
    </row>
    <row r="37" spans="1:32" x14ac:dyDescent="0.35">
      <c r="A37" s="219"/>
      <c r="B37" s="57" t="s">
        <v>270</v>
      </c>
      <c r="C37" s="54">
        <f>+'[1]LMM Formato'!C25*[1]Pesos!C21</f>
        <v>191.36106699999999</v>
      </c>
      <c r="D37" s="54">
        <v>1579</v>
      </c>
      <c r="E37" s="48">
        <v>1384</v>
      </c>
      <c r="F37" s="54">
        <v>35.584130294462362</v>
      </c>
      <c r="G37" s="54">
        <v>72.072788614846587</v>
      </c>
      <c r="H37" s="54">
        <v>127.97183990928292</v>
      </c>
      <c r="I37" s="54">
        <v>72.010559214812048</v>
      </c>
      <c r="J37" s="54">
        <v>102.80105898465146</v>
      </c>
      <c r="K37" s="54">
        <v>120.90762298194463</v>
      </c>
      <c r="L37" s="54">
        <v>106.22346800509763</v>
      </c>
      <c r="M37" s="54">
        <v>134.09941756599272</v>
      </c>
      <c r="N37" s="54">
        <v>140.81923307730497</v>
      </c>
      <c r="O37" s="54">
        <v>110.46731623304944</v>
      </c>
      <c r="P37" s="54">
        <v>144.09191914594854</v>
      </c>
      <c r="Q37" s="54">
        <v>161.32064597260671</v>
      </c>
      <c r="R37" s="48">
        <f>+SUM(F37:Q37)</f>
        <v>1328.37</v>
      </c>
      <c r="S37" s="49">
        <f>+SUM(F37:Q37)</f>
        <v>1328.37</v>
      </c>
      <c r="T37" s="50"/>
      <c r="U37" s="65"/>
      <c r="V37" t="s">
        <v>311</v>
      </c>
      <c r="W37" t="s">
        <v>25</v>
      </c>
      <c r="X37" s="178">
        <v>13</v>
      </c>
    </row>
    <row r="38" spans="1:32" x14ac:dyDescent="0.35">
      <c r="A38" s="219"/>
      <c r="B38" s="57"/>
      <c r="C38" s="54"/>
      <c r="D38" s="54"/>
      <c r="E38" s="62">
        <v>0.9289017341040462</v>
      </c>
      <c r="F38" s="54"/>
      <c r="G38" s="61">
        <v>0</v>
      </c>
      <c r="H38" s="54"/>
      <c r="I38" s="196"/>
      <c r="J38" s="54"/>
      <c r="K38" s="54"/>
      <c r="L38" s="54"/>
      <c r="M38" s="54"/>
      <c r="N38" s="54"/>
      <c r="O38" s="54"/>
      <c r="P38" s="54"/>
      <c r="Q38" s="54"/>
      <c r="R38" s="62">
        <f>+R36/R37</f>
        <v>0.79517453721478193</v>
      </c>
      <c r="S38" s="63">
        <f>+S36/S37</f>
        <v>0.79517453721478193</v>
      </c>
      <c r="T38" s="64"/>
      <c r="U38" s="230" t="s">
        <v>181</v>
      </c>
      <c r="X38" s="178"/>
      <c r="AF38" s="186"/>
    </row>
    <row r="39" spans="1:32" x14ac:dyDescent="0.35">
      <c r="A39" s="73"/>
      <c r="B39" s="1"/>
      <c r="C39" s="74"/>
      <c r="D39" s="74"/>
      <c r="E39" s="77" t="e">
        <v>#REF!</v>
      </c>
      <c r="F39" s="197">
        <f>+F37/$R$37</f>
        <v>2.6787815363537543E-2</v>
      </c>
      <c r="G39" s="197">
        <f t="shared" ref="G39:R39" si="13">+G37/$R$37</f>
        <v>5.4256561511360983E-2</v>
      </c>
      <c r="H39" s="197">
        <f t="shared" si="13"/>
        <v>9.6337496261796732E-2</v>
      </c>
      <c r="I39" s="197">
        <f t="shared" si="13"/>
        <v>5.4209715075477505E-2</v>
      </c>
      <c r="J39" s="197">
        <f t="shared" si="13"/>
        <v>7.7388874323156553E-2</v>
      </c>
      <c r="K39" s="197">
        <f t="shared" si="13"/>
        <v>9.1019537464670716E-2</v>
      </c>
      <c r="L39" s="197">
        <f t="shared" si="13"/>
        <v>7.9965271727830078E-2</v>
      </c>
      <c r="M39" s="197">
        <f t="shared" si="13"/>
        <v>0.10095035085555436</v>
      </c>
      <c r="N39" s="197">
        <f t="shared" si="13"/>
        <v>0.10600904347230439</v>
      </c>
      <c r="O39" s="197">
        <f t="shared" si="13"/>
        <v>8.316005046263425E-2</v>
      </c>
      <c r="P39" s="197">
        <f t="shared" si="13"/>
        <v>0.10847272909351201</v>
      </c>
      <c r="Q39" s="197">
        <f t="shared" si="13"/>
        <v>0.12144255438816499</v>
      </c>
      <c r="R39" s="197">
        <f t="shared" si="13"/>
        <v>1</v>
      </c>
      <c r="S39" s="63"/>
      <c r="T39" s="64"/>
      <c r="U39" s="230"/>
      <c r="X39" s="178"/>
      <c r="AF39" s="186"/>
    </row>
    <row r="40" spans="1:32" x14ac:dyDescent="0.35">
      <c r="A40" s="221" t="s">
        <v>49</v>
      </c>
      <c r="B40" s="78" t="s">
        <v>50</v>
      </c>
      <c r="C40" s="79">
        <f>+'[1]LMM Formato'!C30*[1]Pesos!C21</f>
        <v>0</v>
      </c>
      <c r="D40" s="79">
        <v>104</v>
      </c>
      <c r="E40" s="80">
        <v>121.544</v>
      </c>
      <c r="F40" s="79">
        <v>4.2389999999999999</v>
      </c>
      <c r="G40" s="79">
        <v>14.945</v>
      </c>
      <c r="H40" s="79">
        <v>9.8490000000000002</v>
      </c>
      <c r="I40" s="79">
        <v>6.2080000000000002</v>
      </c>
      <c r="J40" s="79">
        <v>8.6120000000000001</v>
      </c>
      <c r="K40" s="79">
        <v>4.593</v>
      </c>
      <c r="L40" s="79">
        <v>14.516</v>
      </c>
      <c r="M40" s="79">
        <v>4.335</v>
      </c>
      <c r="N40" s="79">
        <v>11.621</v>
      </c>
      <c r="O40" s="79">
        <v>13.916</v>
      </c>
      <c r="P40" s="79">
        <v>15.26</v>
      </c>
      <c r="Q40" s="79">
        <v>9.9179999999999993</v>
      </c>
      <c r="R40" s="80">
        <f t="shared" ref="R40" si="14">+SUM(F40:Q40)</f>
        <v>118.012</v>
      </c>
      <c r="S40" s="81">
        <f>+SUM(F40:Q40)</f>
        <v>118.012</v>
      </c>
      <c r="T40" s="82"/>
      <c r="U40" s="230"/>
      <c r="W40" s="178"/>
      <c r="X40" s="178"/>
      <c r="AF40" s="186"/>
    </row>
    <row r="41" spans="1:32" x14ac:dyDescent="0.35">
      <c r="A41" s="222"/>
      <c r="B41" s="83" t="s">
        <v>51</v>
      </c>
      <c r="C41" s="84"/>
      <c r="D41" s="84">
        <v>123.17</v>
      </c>
      <c r="E41" s="80">
        <v>135</v>
      </c>
      <c r="F41" s="79">
        <f>+F37/$R37*$R41</f>
        <v>4.2860504581660068</v>
      </c>
      <c r="G41" s="79">
        <f>+G37/$R37*$R41</f>
        <v>8.6810498418177566</v>
      </c>
      <c r="H41" s="79">
        <f t="shared" ref="H41:Q41" si="15">+H37/$R37*$R41</f>
        <v>15.413999401887477</v>
      </c>
      <c r="I41" s="79">
        <f t="shared" si="15"/>
        <v>8.6735544120764008</v>
      </c>
      <c r="J41" s="79">
        <f t="shared" si="15"/>
        <v>12.382219891705049</v>
      </c>
      <c r="K41" s="79">
        <f t="shared" si="15"/>
        <v>14.563125994347315</v>
      </c>
      <c r="L41" s="79">
        <f t="shared" si="15"/>
        <v>12.794443476452813</v>
      </c>
      <c r="M41" s="79">
        <f t="shared" si="15"/>
        <v>16.152056136888696</v>
      </c>
      <c r="N41" s="79">
        <f t="shared" si="15"/>
        <v>16.961446955568704</v>
      </c>
      <c r="O41" s="79">
        <f t="shared" si="15"/>
        <v>13.30560807402148</v>
      </c>
      <c r="P41" s="79">
        <f t="shared" si="15"/>
        <v>17.35563665496192</v>
      </c>
      <c r="Q41" s="79">
        <f t="shared" si="15"/>
        <v>19.4308087021064</v>
      </c>
      <c r="R41" s="80">
        <v>160</v>
      </c>
      <c r="S41" s="81">
        <f>+SUM(F41:Q41)</f>
        <v>160</v>
      </c>
      <c r="T41" s="82"/>
      <c r="U41" s="230"/>
      <c r="W41" s="178"/>
      <c r="X41" s="178"/>
      <c r="AF41" s="186"/>
    </row>
    <row r="42" spans="1:32" x14ac:dyDescent="0.35">
      <c r="A42" s="86"/>
      <c r="B42" s="1"/>
      <c r="C42" s="87"/>
      <c r="D42" s="87"/>
      <c r="E42" s="87"/>
      <c r="F42" s="193">
        <f>+SUM(F37:K37)</f>
        <v>531.34800000000007</v>
      </c>
      <c r="G42" s="193">
        <f>+F42/R37</f>
        <v>0.40000000000000008</v>
      </c>
      <c r="H42" s="193">
        <f>+SUM(L37:N37)</f>
        <v>381.14211864839535</v>
      </c>
      <c r="I42" s="193">
        <f>+H42/R37</f>
        <v>0.28692466605568884</v>
      </c>
      <c r="J42" s="88">
        <f t="shared" ref="J42:R42" si="16">+J36-J37</f>
        <v>0.97494101534853428</v>
      </c>
      <c r="K42" s="88">
        <f t="shared" si="16"/>
        <v>-45.657622981944627</v>
      </c>
      <c r="L42" s="88">
        <f t="shared" si="16"/>
        <v>-47.693468005097628</v>
      </c>
      <c r="M42" s="88">
        <f t="shared" si="16"/>
        <v>-65.799417565992727</v>
      </c>
      <c r="N42" s="88">
        <f t="shared" si="16"/>
        <v>-54.89923307730497</v>
      </c>
      <c r="O42" s="88">
        <f t="shared" si="16"/>
        <v>-54.017316233049442</v>
      </c>
      <c r="P42" s="88">
        <f t="shared" si="16"/>
        <v>-29.521919145948544</v>
      </c>
      <c r="Q42" s="88">
        <f t="shared" si="16"/>
        <v>-24.220645972606718</v>
      </c>
      <c r="R42" s="88">
        <f t="shared" si="16"/>
        <v>-272.08400000000006</v>
      </c>
      <c r="S42" s="89">
        <f>+S40/S41</f>
        <v>0.73757499999999998</v>
      </c>
      <c r="T42" s="90"/>
      <c r="U42" s="230"/>
      <c r="AF42" s="186"/>
    </row>
    <row r="43" spans="1:32" x14ac:dyDescent="0.35">
      <c r="A43" s="86"/>
      <c r="B43" s="1"/>
      <c r="C43" s="1"/>
      <c r="D43" s="1"/>
      <c r="E43" s="1"/>
      <c r="F43" s="189">
        <f t="shared" ref="F43:Q43" si="17">+F42/F37</f>
        <v>14.932162050977229</v>
      </c>
      <c r="G43" s="189">
        <f t="shared" si="17"/>
        <v>5.54994482227655E-3</v>
      </c>
      <c r="H43" s="189">
        <f t="shared" si="17"/>
        <v>2.9783280362193789</v>
      </c>
      <c r="I43" s="189">
        <f t="shared" si="17"/>
        <v>3.9844804593139518E-3</v>
      </c>
      <c r="J43" s="189">
        <f t="shared" si="17"/>
        <v>9.4837643208918326E-3</v>
      </c>
      <c r="K43" s="189">
        <f t="shared" si="17"/>
        <v>-0.37762402283570468</v>
      </c>
      <c r="L43" s="189">
        <f t="shared" si="17"/>
        <v>-0.4489918179173818</v>
      </c>
      <c r="M43" s="189">
        <f t="shared" si="17"/>
        <v>-0.49067638592547691</v>
      </c>
      <c r="N43" s="189">
        <f t="shared" si="17"/>
        <v>-0.38985607205492417</v>
      </c>
      <c r="O43" s="189">
        <f t="shared" si="17"/>
        <v>-0.48898912434054975</v>
      </c>
      <c r="P43" s="189">
        <f t="shared" si="17"/>
        <v>-0.20488254525950367</v>
      </c>
      <c r="Q43" s="189">
        <f t="shared" si="17"/>
        <v>-0.15013977799667094</v>
      </c>
      <c r="R43" s="190"/>
      <c r="S43" s="96"/>
      <c r="T43" s="97"/>
      <c r="U43" s="230"/>
      <c r="W43" s="178"/>
      <c r="X43" s="178"/>
      <c r="AF43" s="186"/>
    </row>
    <row r="44" spans="1:32" ht="15.5" x14ac:dyDescent="0.35">
      <c r="A44" s="219" t="s">
        <v>55</v>
      </c>
      <c r="B44" s="29" t="s">
        <v>56</v>
      </c>
      <c r="C44" s="99" t="s">
        <v>15</v>
      </c>
      <c r="D44" s="170">
        <v>45261</v>
      </c>
      <c r="E44" s="170"/>
      <c r="F44" s="99" t="s">
        <v>32</v>
      </c>
      <c r="G44" s="100" t="s">
        <v>5</v>
      </c>
      <c r="H44" s="99" t="s">
        <v>6</v>
      </c>
      <c r="I44" s="99" t="s">
        <v>33</v>
      </c>
      <c r="J44" s="99" t="s">
        <v>8</v>
      </c>
      <c r="K44" s="99" t="s">
        <v>9</v>
      </c>
      <c r="L44" s="99" t="s">
        <v>10</v>
      </c>
      <c r="M44" s="99" t="s">
        <v>34</v>
      </c>
      <c r="N44" s="99" t="s">
        <v>35</v>
      </c>
      <c r="O44" s="99" t="s">
        <v>13</v>
      </c>
      <c r="P44" s="99" t="s">
        <v>14</v>
      </c>
      <c r="Q44" s="99" t="s">
        <v>15</v>
      </c>
      <c r="R44" s="101" t="s">
        <v>57</v>
      </c>
      <c r="S44" s="1"/>
      <c r="T44" s="1"/>
      <c r="U44" s="230"/>
      <c r="W44" s="178"/>
      <c r="X44" s="178"/>
      <c r="AF44" s="186"/>
    </row>
    <row r="45" spans="1:32" x14ac:dyDescent="0.35">
      <c r="A45" s="219"/>
      <c r="B45" s="86" t="s">
        <v>186</v>
      </c>
      <c r="C45" s="102"/>
      <c r="D45" s="102"/>
      <c r="E45" s="102"/>
      <c r="F45" s="102">
        <v>0</v>
      </c>
      <c r="G45" s="102">
        <v>0</v>
      </c>
      <c r="H45" s="102">
        <v>0</v>
      </c>
      <c r="I45" s="102">
        <v>0</v>
      </c>
      <c r="J45" s="102">
        <v>0</v>
      </c>
      <c r="K45" s="102">
        <v>0</v>
      </c>
      <c r="L45" s="102">
        <v>0</v>
      </c>
      <c r="M45" s="102">
        <v>0</v>
      </c>
      <c r="N45" s="102">
        <v>0</v>
      </c>
      <c r="O45" s="102">
        <v>0</v>
      </c>
      <c r="P45" s="102">
        <v>0</v>
      </c>
      <c r="Q45" s="102">
        <v>0</v>
      </c>
      <c r="R45" s="103">
        <f>+SUM(F45:Q45)</f>
        <v>0</v>
      </c>
      <c r="S45" s="1"/>
      <c r="T45" s="1"/>
      <c r="U45" s="230"/>
      <c r="W45" s="185"/>
      <c r="AF45" s="186"/>
    </row>
    <row r="46" spans="1:32" x14ac:dyDescent="0.35">
      <c r="A46" s="219"/>
      <c r="B46" s="86" t="s">
        <v>187</v>
      </c>
      <c r="C46" s="102"/>
      <c r="D46" s="102"/>
      <c r="E46" s="102"/>
      <c r="F46" s="105">
        <v>0</v>
      </c>
      <c r="G46" s="105">
        <v>0</v>
      </c>
      <c r="H46" s="105">
        <v>0</v>
      </c>
      <c r="I46" s="105">
        <v>0</v>
      </c>
      <c r="J46" s="105">
        <v>0</v>
      </c>
      <c r="K46" s="105">
        <v>0</v>
      </c>
      <c r="L46" s="105">
        <v>0</v>
      </c>
      <c r="M46" s="105">
        <v>0</v>
      </c>
      <c r="N46" s="105">
        <v>0</v>
      </c>
      <c r="O46" s="105">
        <v>0</v>
      </c>
      <c r="P46" s="105">
        <v>0</v>
      </c>
      <c r="Q46" s="105">
        <v>0</v>
      </c>
      <c r="R46" s="106">
        <f>+SUM(F46:Q46)</f>
        <v>0</v>
      </c>
      <c r="S46" s="1"/>
      <c r="T46" s="1"/>
      <c r="U46" s="171" t="s">
        <v>177</v>
      </c>
      <c r="V46" s="173"/>
      <c r="W46" s="179"/>
      <c r="X46" s="179">
        <f>+SUM(X35:X44)</f>
        <v>13</v>
      </c>
      <c r="AF46" s="186"/>
    </row>
    <row r="47" spans="1:32" x14ac:dyDescent="0.35">
      <c r="A47" s="219"/>
      <c r="B47" s="86" t="s">
        <v>189</v>
      </c>
      <c r="C47" s="102"/>
      <c r="D47" s="102"/>
      <c r="E47" s="102"/>
      <c r="F47" s="105">
        <f>+F45</f>
        <v>0</v>
      </c>
      <c r="G47" s="105">
        <v>0</v>
      </c>
      <c r="H47" s="105">
        <f>+G47+H45</f>
        <v>0</v>
      </c>
      <c r="I47" s="105">
        <f>+H47+I45</f>
        <v>0</v>
      </c>
      <c r="J47" s="105">
        <f>+I47+J45</f>
        <v>0</v>
      </c>
      <c r="K47" s="105">
        <f t="shared" ref="K47:O47" si="18">+J47+K45</f>
        <v>0</v>
      </c>
      <c r="L47" s="105">
        <f t="shared" si="18"/>
        <v>0</v>
      </c>
      <c r="M47" s="105">
        <f t="shared" si="18"/>
        <v>0</v>
      </c>
      <c r="N47" s="105">
        <f t="shared" si="18"/>
        <v>0</v>
      </c>
      <c r="O47" s="105">
        <f t="shared" si="18"/>
        <v>0</v>
      </c>
      <c r="Q47" s="105"/>
      <c r="R47" s="106"/>
      <c r="S47" s="1"/>
      <c r="T47" s="1"/>
      <c r="W47" s="185"/>
    </row>
    <row r="48" spans="1:32" x14ac:dyDescent="0.35">
      <c r="A48" s="219"/>
      <c r="B48" s="104" t="s">
        <v>188</v>
      </c>
      <c r="C48" s="105"/>
      <c r="D48" s="105"/>
      <c r="E48" s="105"/>
      <c r="F48" s="105">
        <v>0</v>
      </c>
      <c r="G48" s="105">
        <v>0</v>
      </c>
      <c r="H48" s="105">
        <f>+G48+H46</f>
        <v>0</v>
      </c>
      <c r="I48" s="105">
        <f t="shared" ref="I48:Q48" si="19">+H48+I46</f>
        <v>0</v>
      </c>
      <c r="J48" s="105">
        <f t="shared" si="19"/>
        <v>0</v>
      </c>
      <c r="K48" s="105">
        <f t="shared" si="19"/>
        <v>0</v>
      </c>
      <c r="L48" s="105">
        <f t="shared" si="19"/>
        <v>0</v>
      </c>
      <c r="M48" s="105">
        <f t="shared" si="19"/>
        <v>0</v>
      </c>
      <c r="N48" s="105">
        <f t="shared" si="19"/>
        <v>0</v>
      </c>
      <c r="O48" s="105">
        <f t="shared" si="19"/>
        <v>0</v>
      </c>
      <c r="P48" s="105">
        <f t="shared" si="19"/>
        <v>0</v>
      </c>
      <c r="Q48" s="105">
        <f t="shared" si="19"/>
        <v>0</v>
      </c>
      <c r="R48" s="106"/>
      <c r="S48" s="1"/>
      <c r="T48" s="1"/>
      <c r="U48" s="72"/>
    </row>
    <row r="49" spans="1:26" x14ac:dyDescent="0.35">
      <c r="A49" s="86"/>
      <c r="B49" s="1"/>
      <c r="C49" s="1"/>
      <c r="D49" s="1"/>
      <c r="E49" s="1"/>
      <c r="F49" s="107"/>
      <c r="G49" s="108"/>
      <c r="H49" s="107"/>
      <c r="I49" s="10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6" ht="15.5" hidden="1" x14ac:dyDescent="0.35">
      <c r="A50" s="219" t="s">
        <v>60</v>
      </c>
      <c r="B50" s="29" t="s">
        <v>61</v>
      </c>
      <c r="C50" s="99"/>
      <c r="D50" s="99"/>
      <c r="E50" s="99"/>
      <c r="F50" s="99" t="s">
        <v>62</v>
      </c>
      <c r="G50" s="100" t="s">
        <v>63</v>
      </c>
      <c r="H50" s="99" t="s">
        <v>64</v>
      </c>
      <c r="I50" s="99" t="s">
        <v>65</v>
      </c>
      <c r="J50" s="99" t="s">
        <v>66</v>
      </c>
      <c r="K50" s="99" t="s">
        <v>67</v>
      </c>
      <c r="L50" s="99" t="s">
        <v>68</v>
      </c>
      <c r="M50" s="99" t="s">
        <v>69</v>
      </c>
      <c r="N50" s="99" t="s">
        <v>70</v>
      </c>
      <c r="O50" s="99" t="s">
        <v>71</v>
      </c>
      <c r="P50" s="99" t="s">
        <v>72</v>
      </c>
      <c r="Q50" s="99" t="s">
        <v>73</v>
      </c>
      <c r="R50" s="101" t="s">
        <v>74</v>
      </c>
      <c r="S50" s="5"/>
      <c r="T50" s="5"/>
      <c r="U50" s="3"/>
      <c r="V50" s="68"/>
      <c r="W50" s="72"/>
      <c r="X50" s="1"/>
      <c r="Y50" s="68"/>
      <c r="Z50" s="72"/>
    </row>
    <row r="51" spans="1:26" hidden="1" x14ac:dyDescent="0.35">
      <c r="A51" s="219"/>
      <c r="B51" s="1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1"/>
      <c r="S51" s="1"/>
      <c r="T51" s="1"/>
      <c r="U51" s="3"/>
      <c r="V51" s="68"/>
      <c r="W51" s="72"/>
      <c r="X51" s="1"/>
      <c r="Y51" s="68"/>
      <c r="Z51" s="72"/>
    </row>
    <row r="52" spans="1:26" hidden="1" x14ac:dyDescent="0.35">
      <c r="A52" s="223"/>
      <c r="B52" s="112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4"/>
      <c r="S52" s="1"/>
      <c r="T52" s="1"/>
      <c r="U52" s="3"/>
      <c r="V52" s="1"/>
      <c r="W52" s="1"/>
      <c r="X52" s="4"/>
      <c r="Y52" s="68"/>
      <c r="Z52" s="72"/>
    </row>
    <row r="53" spans="1:26" hidden="1" x14ac:dyDescent="0.35">
      <c r="A53" s="1"/>
      <c r="B53" s="1"/>
      <c r="C53" s="115"/>
      <c r="D53" s="169"/>
      <c r="E53" s="169"/>
      <c r="F53" s="1"/>
      <c r="G53" s="2"/>
      <c r="H53" s="1"/>
      <c r="I53" s="1"/>
      <c r="J53" s="1"/>
      <c r="K53" s="1"/>
      <c r="L53" s="1"/>
      <c r="M53" s="1"/>
      <c r="N53" s="1"/>
      <c r="O53" s="1"/>
      <c r="P53" s="115"/>
      <c r="Q53" s="115"/>
      <c r="R53" s="115"/>
      <c r="S53" s="1"/>
      <c r="T53" s="1"/>
      <c r="U53" s="3"/>
      <c r="V53" s="1"/>
      <c r="W53" s="4"/>
      <c r="X53" s="4"/>
      <c r="Y53" s="68"/>
      <c r="Z53" s="72"/>
    </row>
    <row r="54" spans="1:26" ht="15.5" x14ac:dyDescent="0.35">
      <c r="A54" s="116"/>
      <c r="B54" s="117"/>
      <c r="C54" s="118"/>
      <c r="D54" s="118"/>
      <c r="E54" s="118"/>
      <c r="F54" s="117"/>
      <c r="G54" s="119" t="s">
        <v>75</v>
      </c>
      <c r="H54" s="217" t="s">
        <v>76</v>
      </c>
      <c r="I54" s="217"/>
      <c r="J54" s="217"/>
      <c r="K54" s="217"/>
      <c r="L54" s="217"/>
      <c r="M54" s="217"/>
      <c r="N54" s="118" t="s">
        <v>63</v>
      </c>
      <c r="O54" s="118" t="s">
        <v>64</v>
      </c>
      <c r="P54" s="118" t="s">
        <v>65</v>
      </c>
      <c r="Q54" s="118" t="s">
        <v>66</v>
      </c>
      <c r="R54" s="118" t="s">
        <v>67</v>
      </c>
      <c r="S54" s="118" t="s">
        <v>69</v>
      </c>
      <c r="T54" s="118" t="s">
        <v>70</v>
      </c>
      <c r="U54" s="118" t="s">
        <v>71</v>
      </c>
      <c r="V54" s="118" t="s">
        <v>72</v>
      </c>
      <c r="W54" s="118" t="s">
        <v>73</v>
      </c>
      <c r="X54" s="120"/>
      <c r="Y54" s="120"/>
      <c r="Z54" s="121"/>
    </row>
    <row r="55" spans="1:26" x14ac:dyDescent="0.35">
      <c r="A55" s="122" t="s">
        <v>77</v>
      </c>
      <c r="B55" s="123" t="s">
        <v>78</v>
      </c>
      <c r="C55" s="124"/>
      <c r="D55" s="124"/>
      <c r="E55" s="124"/>
      <c r="F55" s="125" t="s">
        <v>79</v>
      </c>
      <c r="G55" s="126" t="s">
        <v>80</v>
      </c>
      <c r="H55" s="225" t="s">
        <v>81</v>
      </c>
      <c r="I55" s="225"/>
      <c r="J55" s="225"/>
      <c r="K55" s="225"/>
      <c r="L55" s="225"/>
      <c r="M55" s="225"/>
      <c r="N55" s="124">
        <f t="shared" ref="N55:U55" si="20">+O55-7</f>
        <v>45966</v>
      </c>
      <c r="O55" s="124">
        <f t="shared" si="20"/>
        <v>45973</v>
      </c>
      <c r="P55" s="124">
        <f t="shared" si="20"/>
        <v>45980</v>
      </c>
      <c r="Q55" s="124">
        <f t="shared" si="20"/>
        <v>45987</v>
      </c>
      <c r="R55" s="124">
        <f t="shared" si="20"/>
        <v>45994</v>
      </c>
      <c r="S55" s="124">
        <f t="shared" si="20"/>
        <v>46001</v>
      </c>
      <c r="T55" s="124">
        <f t="shared" si="20"/>
        <v>46008</v>
      </c>
      <c r="U55" s="124">
        <f t="shared" si="20"/>
        <v>46015</v>
      </c>
      <c r="V55" s="124">
        <f>+W55-7</f>
        <v>46022</v>
      </c>
      <c r="W55" s="124">
        <v>46029</v>
      </c>
      <c r="X55" s="125" t="s">
        <v>82</v>
      </c>
      <c r="Y55" s="125" t="s">
        <v>83</v>
      </c>
      <c r="Z55" s="127" t="s">
        <v>84</v>
      </c>
    </row>
    <row r="56" spans="1:26" ht="33.5" customHeight="1" x14ac:dyDescent="0.35">
      <c r="A56" s="128" t="s">
        <v>47</v>
      </c>
      <c r="B56" s="128" t="s">
        <v>312</v>
      </c>
      <c r="C56" s="4"/>
      <c r="D56" s="4"/>
      <c r="E56" s="4"/>
      <c r="F56" s="142">
        <v>5</v>
      </c>
      <c r="G56" s="68" t="s">
        <v>105</v>
      </c>
      <c r="H56" s="224" t="s">
        <v>117</v>
      </c>
      <c r="I56" s="224"/>
      <c r="J56" s="224"/>
      <c r="K56" s="224"/>
      <c r="L56" s="224"/>
      <c r="M56" s="224"/>
      <c r="N56" s="131" t="s">
        <v>89</v>
      </c>
      <c r="O56" s="131" t="s">
        <v>89</v>
      </c>
      <c r="P56" s="131" t="s">
        <v>89</v>
      </c>
      <c r="Q56" s="131" t="s">
        <v>89</v>
      </c>
      <c r="R56" s="131" t="s">
        <v>89</v>
      </c>
      <c r="S56" s="131" t="s">
        <v>89</v>
      </c>
      <c r="T56" s="131" t="s">
        <v>89</v>
      </c>
      <c r="U56" s="131" t="s">
        <v>89</v>
      </c>
      <c r="V56" s="131" t="s">
        <v>89</v>
      </c>
      <c r="W56" s="131" t="s">
        <v>89</v>
      </c>
      <c r="X56" s="4" t="s">
        <v>100</v>
      </c>
      <c r="Y56" s="139" t="s">
        <v>214</v>
      </c>
      <c r="Z56" s="4" t="str">
        <f t="shared" ref="Z56:Z66" si="21">+G56</f>
        <v>LMM 5</v>
      </c>
    </row>
    <row r="57" spans="1:26" ht="25.5" customHeight="1" x14ac:dyDescent="0.35">
      <c r="A57" s="128" t="s">
        <v>25</v>
      </c>
      <c r="B57" s="128" t="s">
        <v>306</v>
      </c>
      <c r="C57" s="4"/>
      <c r="D57" s="4"/>
      <c r="E57" s="4"/>
      <c r="F57" s="142">
        <v>3.8039999999999998</v>
      </c>
      <c r="G57" s="68" t="s">
        <v>94</v>
      </c>
      <c r="H57" s="224" t="s">
        <v>313</v>
      </c>
      <c r="I57" s="224"/>
      <c r="J57" s="224"/>
      <c r="K57" s="224"/>
      <c r="L57" s="224"/>
      <c r="M57" s="224"/>
      <c r="N57" s="131" t="s">
        <v>89</v>
      </c>
      <c r="O57" s="131" t="s">
        <v>89</v>
      </c>
      <c r="P57" s="131" t="s">
        <v>89</v>
      </c>
      <c r="Q57" s="131" t="s">
        <v>89</v>
      </c>
      <c r="R57" s="131" t="s">
        <v>89</v>
      </c>
      <c r="S57" s="131" t="s">
        <v>89</v>
      </c>
      <c r="T57" s="131" t="s">
        <v>89</v>
      </c>
      <c r="U57" s="131" t="s">
        <v>89</v>
      </c>
      <c r="V57" s="131" t="s">
        <v>89</v>
      </c>
      <c r="W57" s="131" t="s">
        <v>89</v>
      </c>
      <c r="X57" s="4" t="s">
        <v>90</v>
      </c>
      <c r="Y57" s="139" t="s">
        <v>214</v>
      </c>
      <c r="Z57" s="133" t="str">
        <f t="shared" si="21"/>
        <v>LMM 4</v>
      </c>
    </row>
    <row r="58" spans="1:26" ht="26" customHeight="1" x14ac:dyDescent="0.35">
      <c r="A58" s="128" t="s">
        <v>25</v>
      </c>
      <c r="B58" s="128" t="s">
        <v>314</v>
      </c>
      <c r="C58" s="4"/>
      <c r="D58" s="4"/>
      <c r="E58" s="4"/>
      <c r="F58" s="142">
        <v>1.77</v>
      </c>
      <c r="G58" s="68" t="s">
        <v>105</v>
      </c>
      <c r="H58" s="224" t="s">
        <v>25</v>
      </c>
      <c r="I58" s="224"/>
      <c r="J58" s="224"/>
      <c r="K58" s="224"/>
      <c r="L58" s="224"/>
      <c r="M58" s="224"/>
      <c r="N58" s="131" t="s">
        <v>89</v>
      </c>
      <c r="O58" s="131" t="s">
        <v>89</v>
      </c>
      <c r="P58" s="131" t="s">
        <v>89</v>
      </c>
      <c r="Q58" s="131" t="s">
        <v>89</v>
      </c>
      <c r="R58" s="131" t="s">
        <v>89</v>
      </c>
      <c r="S58" s="131" t="s">
        <v>89</v>
      </c>
      <c r="T58" s="131" t="s">
        <v>89</v>
      </c>
      <c r="U58" s="131" t="s">
        <v>89</v>
      </c>
      <c r="V58" s="131" t="s">
        <v>89</v>
      </c>
      <c r="W58" s="131" t="s">
        <v>89</v>
      </c>
      <c r="X58" s="4" t="s">
        <v>90</v>
      </c>
      <c r="Y58" s="139" t="s">
        <v>214</v>
      </c>
      <c r="Z58" s="133" t="str">
        <f t="shared" si="21"/>
        <v>LMM 5</v>
      </c>
    </row>
    <row r="59" spans="1:26" ht="27" customHeight="1" x14ac:dyDescent="0.35">
      <c r="A59" s="128" t="s">
        <v>47</v>
      </c>
      <c r="B59" s="128" t="s">
        <v>312</v>
      </c>
      <c r="C59" s="4"/>
      <c r="D59" s="4"/>
      <c r="E59" s="4"/>
      <c r="F59" s="142">
        <v>10</v>
      </c>
      <c r="G59" s="68" t="s">
        <v>105</v>
      </c>
      <c r="H59" s="224" t="s">
        <v>117</v>
      </c>
      <c r="I59" s="224"/>
      <c r="J59" s="224"/>
      <c r="K59" s="224"/>
      <c r="L59" s="224"/>
      <c r="M59" s="224"/>
      <c r="N59" s="131" t="s">
        <v>89</v>
      </c>
      <c r="O59" s="131" t="s">
        <v>89</v>
      </c>
      <c r="P59" s="131" t="s">
        <v>89</v>
      </c>
      <c r="Q59" s="131" t="s">
        <v>89</v>
      </c>
      <c r="R59" s="131" t="s">
        <v>89</v>
      </c>
      <c r="S59" s="131" t="s">
        <v>89</v>
      </c>
      <c r="T59" s="131" t="s">
        <v>89</v>
      </c>
      <c r="U59" s="131" t="s">
        <v>89</v>
      </c>
      <c r="V59" s="131" t="s">
        <v>89</v>
      </c>
      <c r="W59" s="131" t="s">
        <v>89</v>
      </c>
      <c r="X59" s="4" t="s">
        <v>100</v>
      </c>
      <c r="Y59" s="139" t="s">
        <v>214</v>
      </c>
      <c r="Z59" s="133" t="str">
        <f t="shared" si="21"/>
        <v>LMM 5</v>
      </c>
    </row>
    <row r="60" spans="1:26" ht="34.5" customHeight="1" x14ac:dyDescent="0.35">
      <c r="A60" s="128" t="s">
        <v>128</v>
      </c>
      <c r="B60" s="128" t="s">
        <v>315</v>
      </c>
      <c r="C60" s="4"/>
      <c r="D60" s="4"/>
      <c r="E60" s="4"/>
      <c r="F60" s="142">
        <v>3</v>
      </c>
      <c r="G60" s="68" t="s">
        <v>97</v>
      </c>
      <c r="H60" s="224" t="s">
        <v>117</v>
      </c>
      <c r="I60" s="224"/>
      <c r="J60" s="224"/>
      <c r="K60" s="224"/>
      <c r="L60" s="224"/>
      <c r="M60" s="224"/>
      <c r="O60" s="4"/>
      <c r="P60" s="4"/>
      <c r="Q60" s="130" t="s">
        <v>88</v>
      </c>
      <c r="R60" s="131" t="s">
        <v>89</v>
      </c>
      <c r="S60" s="131" t="s">
        <v>89</v>
      </c>
      <c r="T60" s="131" t="s">
        <v>89</v>
      </c>
      <c r="U60" s="131" t="s">
        <v>89</v>
      </c>
      <c r="V60" s="131" t="s">
        <v>89</v>
      </c>
      <c r="W60" s="131" t="s">
        <v>89</v>
      </c>
      <c r="X60" s="4" t="s">
        <v>90</v>
      </c>
      <c r="Y60" s="139" t="s">
        <v>214</v>
      </c>
      <c r="Z60" s="133" t="str">
        <f t="shared" si="21"/>
        <v>LMM 3</v>
      </c>
    </row>
    <row r="61" spans="1:26" ht="30.5" customHeight="1" x14ac:dyDescent="0.35">
      <c r="A61" s="128" t="s">
        <v>128</v>
      </c>
      <c r="B61" s="128" t="s">
        <v>305</v>
      </c>
      <c r="C61" s="4"/>
      <c r="D61" s="4"/>
      <c r="E61" s="4"/>
      <c r="F61" s="142">
        <v>4.2</v>
      </c>
      <c r="G61" s="68" t="s">
        <v>86</v>
      </c>
      <c r="H61" s="224" t="s">
        <v>128</v>
      </c>
      <c r="I61" s="224"/>
      <c r="J61" s="224"/>
      <c r="K61" s="224"/>
      <c r="L61" s="224"/>
      <c r="M61" s="224"/>
      <c r="N61" s="131" t="s">
        <v>89</v>
      </c>
      <c r="O61" s="131" t="s">
        <v>89</v>
      </c>
      <c r="P61" s="131" t="s">
        <v>89</v>
      </c>
      <c r="Q61" s="131" t="s">
        <v>89</v>
      </c>
      <c r="R61" s="131" t="s">
        <v>89</v>
      </c>
      <c r="S61" s="131" t="s">
        <v>89</v>
      </c>
      <c r="T61" s="131" t="s">
        <v>89</v>
      </c>
      <c r="U61" s="131" t="s">
        <v>89</v>
      </c>
      <c r="V61" s="131" t="s">
        <v>89</v>
      </c>
      <c r="W61" s="131" t="s">
        <v>89</v>
      </c>
      <c r="X61" s="4" t="s">
        <v>90</v>
      </c>
      <c r="Y61" s="139" t="s">
        <v>214</v>
      </c>
      <c r="Z61" s="133" t="str">
        <f t="shared" si="21"/>
        <v>LMM 1</v>
      </c>
    </row>
    <row r="62" spans="1:26" ht="38" customHeight="1" x14ac:dyDescent="0.35">
      <c r="A62" s="128" t="s">
        <v>47</v>
      </c>
      <c r="B62" s="128" t="s">
        <v>291</v>
      </c>
      <c r="C62" s="4"/>
      <c r="D62" s="4"/>
      <c r="E62" s="4"/>
      <c r="F62" s="142">
        <v>4</v>
      </c>
      <c r="G62" s="68" t="s">
        <v>94</v>
      </c>
      <c r="H62" s="224" t="s">
        <v>316</v>
      </c>
      <c r="I62" s="224"/>
      <c r="J62" s="224"/>
      <c r="K62" s="224"/>
      <c r="L62" s="224"/>
      <c r="M62" s="224"/>
      <c r="N62" s="131" t="s">
        <v>89</v>
      </c>
      <c r="O62" s="131" t="s">
        <v>89</v>
      </c>
      <c r="P62" s="131" t="s">
        <v>89</v>
      </c>
      <c r="Q62" s="131" t="s">
        <v>89</v>
      </c>
      <c r="R62" s="131" t="s">
        <v>89</v>
      </c>
      <c r="S62" s="131" t="s">
        <v>89</v>
      </c>
      <c r="T62" s="131" t="s">
        <v>89</v>
      </c>
      <c r="U62" s="131" t="s">
        <v>89</v>
      </c>
      <c r="V62" s="131" t="s">
        <v>89</v>
      </c>
      <c r="W62" s="131" t="s">
        <v>89</v>
      </c>
      <c r="X62" s="4" t="s">
        <v>100</v>
      </c>
      <c r="Y62" s="139" t="s">
        <v>214</v>
      </c>
      <c r="Z62" s="4" t="str">
        <f t="shared" si="21"/>
        <v>LMM 4</v>
      </c>
    </row>
    <row r="63" spans="1:26" ht="53.5" customHeight="1" x14ac:dyDescent="0.35">
      <c r="A63" s="128" t="s">
        <v>128</v>
      </c>
      <c r="B63" s="128" t="s">
        <v>317</v>
      </c>
      <c r="C63" s="4"/>
      <c r="D63" s="4"/>
      <c r="E63" s="4"/>
      <c r="F63" s="142">
        <v>4</v>
      </c>
      <c r="G63" s="68" t="s">
        <v>86</v>
      </c>
      <c r="H63" s="224" t="s">
        <v>128</v>
      </c>
      <c r="I63" s="224"/>
      <c r="J63" s="224"/>
      <c r="K63" s="224"/>
      <c r="L63" s="224"/>
      <c r="M63" s="224"/>
      <c r="N63" s="131" t="s">
        <v>89</v>
      </c>
      <c r="O63" s="131" t="s">
        <v>89</v>
      </c>
      <c r="P63" s="131" t="s">
        <v>89</v>
      </c>
      <c r="Q63" s="131" t="s">
        <v>89</v>
      </c>
      <c r="R63" s="131" t="s">
        <v>89</v>
      </c>
      <c r="S63" s="131" t="s">
        <v>89</v>
      </c>
      <c r="T63" s="131" t="s">
        <v>89</v>
      </c>
      <c r="U63" s="131" t="s">
        <v>89</v>
      </c>
      <c r="V63" s="131" t="s">
        <v>89</v>
      </c>
      <c r="W63" s="131" t="s">
        <v>89</v>
      </c>
      <c r="X63" s="4" t="s">
        <v>100</v>
      </c>
      <c r="Y63" s="139" t="s">
        <v>214</v>
      </c>
      <c r="Z63" s="133" t="str">
        <f t="shared" si="21"/>
        <v>LMM 1</v>
      </c>
    </row>
    <row r="64" spans="1:26" ht="15" customHeight="1" x14ac:dyDescent="0.35">
      <c r="A64" s="128" t="s">
        <v>25</v>
      </c>
      <c r="B64" s="128" t="s">
        <v>296</v>
      </c>
      <c r="C64" s="4"/>
      <c r="D64" s="4"/>
      <c r="E64" s="4"/>
      <c r="F64" s="142">
        <v>1.7</v>
      </c>
      <c r="G64" s="68" t="s">
        <v>97</v>
      </c>
      <c r="H64" s="224" t="s">
        <v>113</v>
      </c>
      <c r="I64" s="224"/>
      <c r="J64" s="224"/>
      <c r="K64" s="224"/>
      <c r="L64" s="224"/>
      <c r="M64" s="224"/>
      <c r="N64" s="131" t="s">
        <v>89</v>
      </c>
      <c r="O64" s="131" t="s">
        <v>89</v>
      </c>
      <c r="P64" s="131" t="s">
        <v>89</v>
      </c>
      <c r="Q64" s="131" t="s">
        <v>89</v>
      </c>
      <c r="R64" s="131" t="s">
        <v>89</v>
      </c>
      <c r="S64" s="131" t="s">
        <v>89</v>
      </c>
      <c r="T64" s="131" t="s">
        <v>89</v>
      </c>
      <c r="U64" s="131" t="s">
        <v>89</v>
      </c>
      <c r="V64" s="131" t="s">
        <v>89</v>
      </c>
      <c r="W64" s="131" t="s">
        <v>89</v>
      </c>
      <c r="X64" s="4" t="s">
        <v>90</v>
      </c>
      <c r="Y64" s="139" t="s">
        <v>214</v>
      </c>
      <c r="Z64" s="133" t="str">
        <f t="shared" si="21"/>
        <v>LMM 3</v>
      </c>
    </row>
    <row r="65" spans="1:26" ht="48" hidden="1" customHeight="1" x14ac:dyDescent="0.35">
      <c r="A65" s="128" t="s">
        <v>47</v>
      </c>
      <c r="B65" s="128" t="s">
        <v>271</v>
      </c>
      <c r="C65" s="4"/>
      <c r="D65" s="4"/>
      <c r="E65" s="4"/>
      <c r="F65" s="142">
        <v>3.6</v>
      </c>
      <c r="G65" s="68" t="s">
        <v>105</v>
      </c>
      <c r="H65" s="224" t="s">
        <v>272</v>
      </c>
      <c r="I65" s="224"/>
      <c r="J65" s="224"/>
      <c r="K65" s="224"/>
      <c r="L65" s="224"/>
      <c r="M65" s="224"/>
      <c r="N65" s="4"/>
      <c r="O65" s="4"/>
      <c r="P65" s="4"/>
      <c r="Q65" s="4"/>
      <c r="R65" s="130" t="s">
        <v>88</v>
      </c>
      <c r="S65" s="131" t="s">
        <v>89</v>
      </c>
      <c r="T65" s="131" t="s">
        <v>89</v>
      </c>
      <c r="U65" s="131" t="s">
        <v>89</v>
      </c>
      <c r="V65" s="131" t="s">
        <v>89</v>
      </c>
      <c r="W65" s="131" t="s">
        <v>89</v>
      </c>
      <c r="X65" s="4" t="s">
        <v>90</v>
      </c>
      <c r="Y65" s="139" t="s">
        <v>214</v>
      </c>
      <c r="Z65" s="133" t="str">
        <f t="shared" si="21"/>
        <v>LMM 5</v>
      </c>
    </row>
    <row r="66" spans="1:26" ht="59.5" hidden="1" customHeight="1" x14ac:dyDescent="0.35">
      <c r="A66" s="152" t="s">
        <v>47</v>
      </c>
      <c r="B66" s="128" t="s">
        <v>273</v>
      </c>
      <c r="C66" s="4"/>
      <c r="D66" s="4"/>
      <c r="E66" s="4"/>
      <c r="F66" s="142">
        <v>3.14</v>
      </c>
      <c r="G66" s="68" t="s">
        <v>105</v>
      </c>
      <c r="H66" s="224" t="s">
        <v>272</v>
      </c>
      <c r="I66" s="224"/>
      <c r="J66" s="224"/>
      <c r="K66" s="224"/>
      <c r="L66" s="224"/>
      <c r="M66" s="224"/>
      <c r="N66" s="131" t="s">
        <v>89</v>
      </c>
      <c r="O66" s="131" t="s">
        <v>89</v>
      </c>
      <c r="P66" s="131" t="s">
        <v>89</v>
      </c>
      <c r="Q66" s="131" t="s">
        <v>89</v>
      </c>
      <c r="R66" s="131" t="s">
        <v>89</v>
      </c>
      <c r="S66" s="131" t="s">
        <v>89</v>
      </c>
      <c r="T66" s="131" t="s">
        <v>89</v>
      </c>
      <c r="U66" s="131" t="s">
        <v>89</v>
      </c>
      <c r="V66" s="131" t="s">
        <v>89</v>
      </c>
      <c r="W66" s="131" t="s">
        <v>89</v>
      </c>
      <c r="X66" s="1"/>
      <c r="Y66" s="1"/>
      <c r="Z66" s="1" t="str">
        <f t="shared" si="21"/>
        <v>LMM 5</v>
      </c>
    </row>
    <row r="67" spans="1:26" ht="15" hidden="1" customHeight="1" x14ac:dyDescent="0.35">
      <c r="A67" s="152" t="s">
        <v>47</v>
      </c>
      <c r="B67" s="128" t="s">
        <v>274</v>
      </c>
      <c r="C67" s="4"/>
      <c r="D67" s="4"/>
      <c r="E67" s="4"/>
      <c r="F67" s="142">
        <v>7</v>
      </c>
      <c r="G67" s="68" t="s">
        <v>94</v>
      </c>
      <c r="H67" s="224" t="s">
        <v>275</v>
      </c>
      <c r="I67" s="224"/>
      <c r="J67" s="224"/>
      <c r="K67" s="224"/>
      <c r="L67" s="224"/>
      <c r="M67" s="224"/>
      <c r="N67" s="131" t="s">
        <v>89</v>
      </c>
      <c r="O67" s="131" t="s">
        <v>89</v>
      </c>
      <c r="P67" s="131" t="s">
        <v>89</v>
      </c>
      <c r="Q67" s="131" t="s">
        <v>89</v>
      </c>
      <c r="R67" s="131" t="s">
        <v>89</v>
      </c>
      <c r="S67" s="131" t="s">
        <v>89</v>
      </c>
      <c r="T67" s="131" t="s">
        <v>89</v>
      </c>
      <c r="U67" s="131" t="s">
        <v>89</v>
      </c>
      <c r="V67" s="131" t="s">
        <v>89</v>
      </c>
      <c r="W67" s="131" t="s">
        <v>89</v>
      </c>
      <c r="X67" s="1"/>
      <c r="Y67" s="1"/>
      <c r="Z67" s="1"/>
    </row>
    <row r="68" spans="1:26" ht="15" hidden="1" customHeight="1" x14ac:dyDescent="0.35">
      <c r="A68" s="152" t="s">
        <v>47</v>
      </c>
      <c r="B68" s="128" t="s">
        <v>276</v>
      </c>
      <c r="C68" s="4"/>
      <c r="D68" s="4"/>
      <c r="E68" s="4"/>
      <c r="F68" s="142">
        <v>5.4989999999999997</v>
      </c>
      <c r="G68" s="68" t="s">
        <v>94</v>
      </c>
      <c r="H68" s="224" t="s">
        <v>275</v>
      </c>
      <c r="I68" s="224"/>
      <c r="J68" s="224"/>
      <c r="K68" s="224"/>
      <c r="L68" s="224"/>
      <c r="M68" s="224"/>
      <c r="N68" s="131" t="s">
        <v>89</v>
      </c>
      <c r="O68" s="131" t="s">
        <v>89</v>
      </c>
      <c r="P68" s="131" t="s">
        <v>89</v>
      </c>
      <c r="Q68" s="131" t="s">
        <v>89</v>
      </c>
      <c r="R68" s="131" t="s">
        <v>89</v>
      </c>
      <c r="S68" s="131" t="s">
        <v>89</v>
      </c>
      <c r="T68" s="131" t="s">
        <v>89</v>
      </c>
      <c r="U68" s="131" t="s">
        <v>89</v>
      </c>
      <c r="V68" s="131" t="s">
        <v>89</v>
      </c>
      <c r="W68" s="131" t="s">
        <v>89</v>
      </c>
      <c r="X68" s="1"/>
      <c r="Y68" s="1"/>
      <c r="Z68" s="1"/>
    </row>
    <row r="69" spans="1:26" ht="15" hidden="1" customHeight="1" x14ac:dyDescent="0.35">
      <c r="A69" s="152" t="s">
        <v>25</v>
      </c>
      <c r="B69" s="128" t="s">
        <v>277</v>
      </c>
      <c r="C69" s="4"/>
      <c r="D69" s="4"/>
      <c r="E69" s="4"/>
      <c r="F69" s="142">
        <v>4.3140000000000001</v>
      </c>
      <c r="G69" s="68" t="s">
        <v>94</v>
      </c>
      <c r="H69" s="224" t="s">
        <v>278</v>
      </c>
      <c r="I69" s="224"/>
      <c r="J69" s="224"/>
      <c r="K69" s="224"/>
      <c r="L69" s="224"/>
      <c r="M69" s="224"/>
      <c r="N69" s="131" t="s">
        <v>89</v>
      </c>
      <c r="O69" s="131" t="s">
        <v>89</v>
      </c>
      <c r="P69" s="131" t="s">
        <v>89</v>
      </c>
      <c r="Q69" s="131" t="s">
        <v>89</v>
      </c>
      <c r="R69" s="131" t="s">
        <v>89</v>
      </c>
      <c r="S69" s="131" t="s">
        <v>89</v>
      </c>
      <c r="T69" s="131" t="s">
        <v>89</v>
      </c>
      <c r="U69" s="131" t="s">
        <v>89</v>
      </c>
      <c r="V69" s="131" t="s">
        <v>89</v>
      </c>
      <c r="W69" s="131" t="s">
        <v>89</v>
      </c>
      <c r="X69" s="1"/>
      <c r="Y69" s="1"/>
      <c r="Z69" s="1"/>
    </row>
    <row r="70" spans="1:26" ht="15" hidden="1" customHeight="1" x14ac:dyDescent="0.35">
      <c r="A70" s="152" t="s">
        <v>47</v>
      </c>
      <c r="B70" s="128" t="s">
        <v>279</v>
      </c>
      <c r="C70" s="4"/>
      <c r="D70" s="4"/>
      <c r="E70" s="4"/>
      <c r="F70" s="142">
        <v>3.9119999999999999</v>
      </c>
      <c r="G70" s="68" t="s">
        <v>86</v>
      </c>
      <c r="H70" s="224" t="s">
        <v>275</v>
      </c>
      <c r="I70" s="224"/>
      <c r="J70" s="224"/>
      <c r="K70" s="224"/>
      <c r="L70" s="224"/>
      <c r="M70" s="224"/>
      <c r="N70" s="131" t="s">
        <v>89</v>
      </c>
      <c r="O70" s="131" t="s">
        <v>89</v>
      </c>
      <c r="P70" s="131" t="s">
        <v>89</v>
      </c>
      <c r="Q70" s="131" t="s">
        <v>89</v>
      </c>
      <c r="R70" s="131" t="s">
        <v>89</v>
      </c>
      <c r="S70" s="131" t="s">
        <v>89</v>
      </c>
      <c r="T70" s="131" t="s">
        <v>89</v>
      </c>
      <c r="U70" s="131" t="s">
        <v>89</v>
      </c>
      <c r="V70" s="131" t="s">
        <v>89</v>
      </c>
      <c r="W70" s="131" t="s">
        <v>89</v>
      </c>
      <c r="X70" s="1"/>
      <c r="Y70" s="1"/>
      <c r="Z70" s="1"/>
    </row>
    <row r="71" spans="1:26" ht="15" hidden="1" customHeight="1" x14ac:dyDescent="0.35">
      <c r="A71" s="152" t="s">
        <v>47</v>
      </c>
      <c r="B71" s="128" t="s">
        <v>280</v>
      </c>
      <c r="C71" s="4"/>
      <c r="D71" s="4"/>
      <c r="E71" s="4"/>
      <c r="F71" s="142">
        <v>3.609</v>
      </c>
      <c r="G71" s="68" t="s">
        <v>94</v>
      </c>
      <c r="H71" s="224" t="s">
        <v>275</v>
      </c>
      <c r="I71" s="224"/>
      <c r="J71" s="224"/>
      <c r="K71" s="224"/>
      <c r="L71" s="224"/>
      <c r="M71" s="224"/>
      <c r="N71" s="131" t="s">
        <v>89</v>
      </c>
      <c r="O71" s="131" t="s">
        <v>89</v>
      </c>
      <c r="P71" s="131" t="s">
        <v>89</v>
      </c>
      <c r="Q71" s="131" t="s">
        <v>89</v>
      </c>
      <c r="R71" s="131" t="s">
        <v>89</v>
      </c>
      <c r="S71" s="131" t="s">
        <v>89</v>
      </c>
      <c r="T71" s="131" t="s">
        <v>89</v>
      </c>
      <c r="U71" s="131" t="s">
        <v>89</v>
      </c>
      <c r="V71" s="131" t="s">
        <v>89</v>
      </c>
      <c r="W71" s="131" t="s">
        <v>89</v>
      </c>
      <c r="X71" s="1"/>
      <c r="Y71" s="1"/>
      <c r="Z71" s="1"/>
    </row>
    <row r="72" spans="1:26" hidden="1" x14ac:dyDescent="0.35">
      <c r="A72" s="152" t="s">
        <v>47</v>
      </c>
      <c r="B72" s="128" t="s">
        <v>262</v>
      </c>
      <c r="C72" s="4"/>
      <c r="D72" s="4"/>
      <c r="E72" s="4"/>
      <c r="F72" s="142">
        <v>2.552</v>
      </c>
      <c r="G72" s="68" t="s">
        <v>86</v>
      </c>
      <c r="H72" s="224" t="s">
        <v>98</v>
      </c>
      <c r="I72" s="224"/>
      <c r="J72" s="224"/>
      <c r="K72" s="224"/>
      <c r="L72" s="224"/>
      <c r="M72" s="224"/>
      <c r="N72" s="131" t="s">
        <v>89</v>
      </c>
      <c r="O72" s="131" t="s">
        <v>89</v>
      </c>
      <c r="P72" s="131" t="s">
        <v>89</v>
      </c>
      <c r="Q72" s="131" t="s">
        <v>89</v>
      </c>
      <c r="R72" s="131" t="s">
        <v>89</v>
      </c>
      <c r="S72" s="131" t="s">
        <v>89</v>
      </c>
      <c r="T72" s="131" t="s">
        <v>89</v>
      </c>
      <c r="U72" s="131" t="s">
        <v>89</v>
      </c>
      <c r="V72" s="131" t="s">
        <v>89</v>
      </c>
      <c r="W72" s="131" t="s">
        <v>89</v>
      </c>
      <c r="X72" s="1"/>
      <c r="Y72" s="1"/>
      <c r="Z72" s="1"/>
    </row>
    <row r="73" spans="1:26" x14ac:dyDescent="0.35">
      <c r="A73" s="152"/>
      <c r="B73" s="156"/>
      <c r="C73" s="4"/>
      <c r="D73" s="4"/>
      <c r="E73" s="4"/>
      <c r="F73" s="153"/>
      <c r="G73" s="154"/>
      <c r="H73" s="157"/>
      <c r="I73" s="157"/>
      <c r="J73" s="157"/>
      <c r="K73" s="157"/>
      <c r="L73" s="157"/>
      <c r="M73" s="157"/>
      <c r="N73" s="1"/>
      <c r="O73" s="1"/>
      <c r="P73" s="4"/>
      <c r="Q73" s="4"/>
      <c r="R73" s="155"/>
      <c r="S73" s="4"/>
      <c r="T73" s="4"/>
      <c r="U73" s="3"/>
      <c r="V73" s="1"/>
      <c r="W73" s="1"/>
      <c r="X73" s="1"/>
      <c r="Y73" s="1"/>
      <c r="Z73" s="1"/>
    </row>
    <row r="74" spans="1:26" ht="15.5" x14ac:dyDescent="0.35">
      <c r="A74" s="116"/>
      <c r="B74" s="117"/>
      <c r="C74" s="118"/>
      <c r="D74" s="118"/>
      <c r="E74" s="118"/>
      <c r="F74" s="117"/>
      <c r="G74" s="119" t="s">
        <v>75</v>
      </c>
      <c r="H74" s="217" t="s">
        <v>76</v>
      </c>
      <c r="I74" s="217"/>
      <c r="J74" s="217"/>
      <c r="K74" s="217"/>
      <c r="L74" s="217"/>
      <c r="M74" s="217"/>
      <c r="N74" s="118" t="s">
        <v>64</v>
      </c>
      <c r="O74" s="118" t="s">
        <v>65</v>
      </c>
      <c r="P74" s="118" t="s">
        <v>66</v>
      </c>
      <c r="Q74" s="118" t="s">
        <v>67</v>
      </c>
      <c r="R74" s="118" t="s">
        <v>68</v>
      </c>
      <c r="S74" s="118" t="s">
        <v>69</v>
      </c>
      <c r="T74" s="118" t="s">
        <v>70</v>
      </c>
      <c r="U74" s="118" t="s">
        <v>71</v>
      </c>
      <c r="V74" s="118" t="s">
        <v>72</v>
      </c>
      <c r="W74" s="118" t="s">
        <v>73</v>
      </c>
      <c r="X74" s="120"/>
      <c r="Y74" s="120"/>
      <c r="Z74" s="121"/>
    </row>
    <row r="75" spans="1:26" x14ac:dyDescent="0.35">
      <c r="A75" s="122" t="s">
        <v>77</v>
      </c>
      <c r="B75" s="123" t="s">
        <v>78</v>
      </c>
      <c r="C75" s="124"/>
      <c r="D75" s="124"/>
      <c r="E75" s="124"/>
      <c r="F75" s="125" t="s">
        <v>120</v>
      </c>
      <c r="G75" s="126" t="s">
        <v>80</v>
      </c>
      <c r="H75" s="225" t="s">
        <v>81</v>
      </c>
      <c r="I75" s="225"/>
      <c r="J75" s="225"/>
      <c r="K75" s="225"/>
      <c r="L75" s="225"/>
      <c r="M75" s="225"/>
      <c r="N75" s="124">
        <f t="shared" ref="N75:U75" si="22">+O75-7</f>
        <v>45160</v>
      </c>
      <c r="O75" s="124">
        <f t="shared" si="22"/>
        <v>45167</v>
      </c>
      <c r="P75" s="124">
        <f t="shared" si="22"/>
        <v>45174</v>
      </c>
      <c r="Q75" s="124">
        <f t="shared" si="22"/>
        <v>45181</v>
      </c>
      <c r="R75" s="124">
        <f t="shared" si="22"/>
        <v>45188</v>
      </c>
      <c r="S75" s="124">
        <f t="shared" si="22"/>
        <v>45195</v>
      </c>
      <c r="T75" s="124">
        <f t="shared" si="22"/>
        <v>45202</v>
      </c>
      <c r="U75" s="124">
        <f t="shared" si="22"/>
        <v>45209</v>
      </c>
      <c r="V75" s="124">
        <f>+W75-7</f>
        <v>45216</v>
      </c>
      <c r="W75" s="124">
        <v>45223</v>
      </c>
      <c r="X75" s="125" t="s">
        <v>82</v>
      </c>
      <c r="Y75" s="125" t="s">
        <v>83</v>
      </c>
      <c r="Z75" s="127" t="s">
        <v>84</v>
      </c>
    </row>
    <row r="76" spans="1:26" hidden="1" x14ac:dyDescent="0.35">
      <c r="A76" s="152" t="s">
        <v>25</v>
      </c>
      <c r="B76" s="152" t="s">
        <v>121</v>
      </c>
      <c r="C76" s="4"/>
      <c r="D76" s="4"/>
      <c r="E76" s="4"/>
      <c r="F76" s="68">
        <v>1.5</v>
      </c>
      <c r="G76" s="158">
        <v>2</v>
      </c>
      <c r="H76" s="227" t="s">
        <v>122</v>
      </c>
      <c r="I76" s="227"/>
      <c r="J76" s="227"/>
      <c r="K76" s="227"/>
      <c r="L76" s="227"/>
      <c r="M76" s="227"/>
      <c r="N76" s="143" t="s">
        <v>99</v>
      </c>
      <c r="O76" s="131" t="s">
        <v>89</v>
      </c>
      <c r="P76" s="131" t="s">
        <v>89</v>
      </c>
      <c r="Q76" s="131" t="s">
        <v>89</v>
      </c>
      <c r="R76" s="131" t="s">
        <v>89</v>
      </c>
      <c r="S76" s="131" t="s">
        <v>89</v>
      </c>
      <c r="T76" s="131" t="s">
        <v>89</v>
      </c>
      <c r="U76" s="131" t="s">
        <v>89</v>
      </c>
      <c r="V76" s="131" t="s">
        <v>89</v>
      </c>
      <c r="W76" s="131" t="s">
        <v>89</v>
      </c>
      <c r="X76" s="159"/>
      <c r="Y76" s="159"/>
      <c r="Z76" s="159"/>
    </row>
    <row r="77" spans="1:26" ht="29" hidden="1" x14ac:dyDescent="0.35">
      <c r="A77" s="152" t="s">
        <v>148</v>
      </c>
      <c r="B77" s="176" t="s">
        <v>123</v>
      </c>
      <c r="C77" s="4"/>
      <c r="D77" s="4"/>
      <c r="E77" s="4"/>
      <c r="F77" s="68">
        <v>1.2</v>
      </c>
      <c r="G77" s="158">
        <v>3</v>
      </c>
      <c r="H77" s="227" t="s">
        <v>182</v>
      </c>
      <c r="I77" s="227"/>
      <c r="J77" s="227"/>
      <c r="K77" s="227"/>
      <c r="L77" s="227"/>
      <c r="M77" s="227"/>
      <c r="N77" s="131" t="s">
        <v>89</v>
      </c>
      <c r="O77" s="131" t="s">
        <v>89</v>
      </c>
      <c r="P77" s="131" t="s">
        <v>89</v>
      </c>
      <c r="Q77" s="131" t="s">
        <v>89</v>
      </c>
      <c r="R77" s="131" t="s">
        <v>89</v>
      </c>
      <c r="S77" s="131" t="s">
        <v>89</v>
      </c>
      <c r="T77" s="131" t="s">
        <v>89</v>
      </c>
      <c r="U77" s="131" t="s">
        <v>89</v>
      </c>
      <c r="V77" s="131" t="s">
        <v>89</v>
      </c>
      <c r="W77" s="131" t="s">
        <v>89</v>
      </c>
      <c r="X77" s="159"/>
      <c r="Y77" s="159"/>
      <c r="Z77" s="159"/>
    </row>
    <row r="78" spans="1:26" hidden="1" x14ac:dyDescent="0.35">
      <c r="A78" s="152" t="s">
        <v>25</v>
      </c>
      <c r="B78" s="176" t="s">
        <v>126</v>
      </c>
      <c r="C78" s="4"/>
      <c r="D78" s="4"/>
      <c r="E78" s="4"/>
      <c r="F78" s="68">
        <v>1.5</v>
      </c>
      <c r="G78" s="158">
        <v>2</v>
      </c>
      <c r="H78" s="233" t="s">
        <v>125</v>
      </c>
      <c r="I78" s="233"/>
      <c r="J78" s="233"/>
      <c r="K78" s="233"/>
      <c r="L78" s="233"/>
      <c r="M78" s="233"/>
      <c r="N78" s="131" t="s">
        <v>89</v>
      </c>
      <c r="O78" s="143" t="s">
        <v>99</v>
      </c>
      <c r="P78" s="143" t="s">
        <v>99</v>
      </c>
      <c r="Q78" s="143" t="s">
        <v>99</v>
      </c>
      <c r="R78" s="143" t="s">
        <v>99</v>
      </c>
      <c r="S78" s="143" t="s">
        <v>99</v>
      </c>
      <c r="T78" s="143" t="s">
        <v>99</v>
      </c>
      <c r="U78" s="143" t="s">
        <v>99</v>
      </c>
      <c r="V78" s="143" t="s">
        <v>99</v>
      </c>
      <c r="W78" s="143" t="s">
        <v>99</v>
      </c>
      <c r="X78" s="159"/>
      <c r="Y78" s="159"/>
      <c r="Z78" s="159"/>
    </row>
    <row r="79" spans="1:26" hidden="1" x14ac:dyDescent="0.35">
      <c r="A79" s="152" t="s">
        <v>25</v>
      </c>
      <c r="B79" s="180" t="s">
        <v>127</v>
      </c>
      <c r="C79" s="4"/>
      <c r="D79" s="4"/>
      <c r="E79" s="4"/>
      <c r="F79" s="68">
        <v>1</v>
      </c>
      <c r="G79" s="158">
        <v>4</v>
      </c>
      <c r="H79" s="227" t="s">
        <v>87</v>
      </c>
      <c r="I79" s="227"/>
      <c r="J79" s="227"/>
      <c r="K79" s="227"/>
      <c r="L79" s="227"/>
      <c r="M79" s="227"/>
      <c r="N79" s="131" t="s">
        <v>89</v>
      </c>
      <c r="O79" s="131" t="s">
        <v>89</v>
      </c>
      <c r="P79" s="131" t="s">
        <v>89</v>
      </c>
      <c r="Q79" s="131" t="s">
        <v>89</v>
      </c>
      <c r="R79" s="131" t="s">
        <v>89</v>
      </c>
      <c r="S79" s="131" t="s">
        <v>89</v>
      </c>
      <c r="T79" s="131" t="s">
        <v>89</v>
      </c>
      <c r="U79" s="131" t="s">
        <v>89</v>
      </c>
      <c r="V79" s="131" t="s">
        <v>89</v>
      </c>
      <c r="W79" s="131" t="s">
        <v>89</v>
      </c>
      <c r="X79" s="159"/>
      <c r="Y79" s="159"/>
      <c r="Z79" s="159"/>
    </row>
    <row r="80" spans="1:26" hidden="1" x14ac:dyDescent="0.35">
      <c r="A80" s="152" t="s">
        <v>25</v>
      </c>
      <c r="B80" s="160" t="s">
        <v>130</v>
      </c>
      <c r="C80" s="4"/>
      <c r="D80" s="4"/>
      <c r="E80" s="4"/>
      <c r="F80" s="68">
        <v>2</v>
      </c>
      <c r="G80" s="158" t="s">
        <v>129</v>
      </c>
      <c r="H80" s="227" t="s">
        <v>156</v>
      </c>
      <c r="I80" s="227"/>
      <c r="J80" s="227"/>
      <c r="K80" s="227"/>
      <c r="L80" s="227"/>
      <c r="M80" s="227"/>
      <c r="N80" s="131" t="s">
        <v>89</v>
      </c>
      <c r="O80" s="131" t="s">
        <v>89</v>
      </c>
      <c r="P80" s="131" t="s">
        <v>89</v>
      </c>
      <c r="Q80" s="131" t="s">
        <v>89</v>
      </c>
      <c r="R80" s="131" t="s">
        <v>89</v>
      </c>
      <c r="S80" s="131" t="s">
        <v>89</v>
      </c>
      <c r="T80" s="131" t="s">
        <v>89</v>
      </c>
      <c r="U80" s="131" t="s">
        <v>89</v>
      </c>
      <c r="V80" s="131" t="s">
        <v>89</v>
      </c>
      <c r="W80" s="131" t="s">
        <v>89</v>
      </c>
      <c r="X80" s="159"/>
      <c r="Y80" s="159"/>
      <c r="Z80" s="159"/>
    </row>
    <row r="81" spans="1:26" hidden="1" x14ac:dyDescent="0.35">
      <c r="A81" s="152" t="s">
        <v>131</v>
      </c>
      <c r="B81" s="152" t="s">
        <v>132</v>
      </c>
      <c r="C81" s="4"/>
      <c r="D81" s="4"/>
      <c r="E81" s="4"/>
      <c r="F81" s="68">
        <v>1.5</v>
      </c>
      <c r="G81" s="158" t="s">
        <v>133</v>
      </c>
      <c r="H81" s="227" t="s">
        <v>134</v>
      </c>
      <c r="I81" s="227"/>
      <c r="J81" s="227"/>
      <c r="K81" s="227"/>
      <c r="L81" s="227"/>
      <c r="M81" s="227"/>
      <c r="N81" s="143" t="s">
        <v>99</v>
      </c>
      <c r="O81" s="143" t="s">
        <v>99</v>
      </c>
      <c r="P81" s="143" t="s">
        <v>99</v>
      </c>
      <c r="Q81" s="143" t="s">
        <v>99</v>
      </c>
      <c r="R81" s="143" t="s">
        <v>99</v>
      </c>
      <c r="S81" s="143" t="s">
        <v>99</v>
      </c>
      <c r="T81" s="143" t="s">
        <v>99</v>
      </c>
      <c r="U81" s="143" t="s">
        <v>99</v>
      </c>
      <c r="V81" s="143" t="s">
        <v>99</v>
      </c>
      <c r="W81" s="143" t="s">
        <v>99</v>
      </c>
      <c r="X81" s="159"/>
      <c r="Y81" s="159"/>
      <c r="Z81" s="159"/>
    </row>
    <row r="82" spans="1:26" hidden="1" x14ac:dyDescent="0.35">
      <c r="A82" s="152" t="s">
        <v>128</v>
      </c>
      <c r="B82" s="152" t="s">
        <v>135</v>
      </c>
      <c r="C82" s="4"/>
      <c r="D82" s="4"/>
      <c r="E82" s="4"/>
      <c r="F82" s="68">
        <v>1</v>
      </c>
      <c r="G82" s="158" t="s">
        <v>136</v>
      </c>
      <c r="H82" s="227" t="s">
        <v>137</v>
      </c>
      <c r="I82" s="227"/>
      <c r="J82" s="227"/>
      <c r="K82" s="227"/>
      <c r="L82" s="227"/>
      <c r="M82" s="227"/>
      <c r="N82" s="143" t="s">
        <v>99</v>
      </c>
      <c r="O82" s="143" t="s">
        <v>99</v>
      </c>
      <c r="P82" s="143" t="s">
        <v>99</v>
      </c>
      <c r="Q82" s="143" t="s">
        <v>99</v>
      </c>
      <c r="R82" s="143" t="s">
        <v>99</v>
      </c>
      <c r="S82" s="143" t="s">
        <v>99</v>
      </c>
      <c r="T82" s="143" t="s">
        <v>99</v>
      </c>
      <c r="U82" s="143" t="s">
        <v>99</v>
      </c>
      <c r="V82" s="143" t="s">
        <v>99</v>
      </c>
      <c r="W82" s="143" t="s">
        <v>99</v>
      </c>
      <c r="X82" s="159"/>
      <c r="Y82" s="159"/>
      <c r="Z82" s="159"/>
    </row>
    <row r="83" spans="1:26" hidden="1" x14ac:dyDescent="0.35">
      <c r="A83" s="152" t="s">
        <v>47</v>
      </c>
      <c r="B83" s="152" t="s">
        <v>138</v>
      </c>
      <c r="C83" s="4"/>
      <c r="D83" s="4"/>
      <c r="E83" s="4"/>
      <c r="F83" s="68">
        <v>1</v>
      </c>
      <c r="G83" s="158" t="s">
        <v>136</v>
      </c>
      <c r="H83" s="227" t="s">
        <v>139</v>
      </c>
      <c r="I83" s="227"/>
      <c r="J83" s="227"/>
      <c r="K83" s="227"/>
      <c r="L83" s="227"/>
      <c r="M83" s="227"/>
      <c r="N83" s="131" t="s">
        <v>89</v>
      </c>
      <c r="O83" s="131" t="s">
        <v>89</v>
      </c>
      <c r="P83" s="131" t="s">
        <v>89</v>
      </c>
      <c r="Q83" s="131" t="s">
        <v>89</v>
      </c>
      <c r="R83" s="131" t="s">
        <v>89</v>
      </c>
      <c r="S83" s="131" t="s">
        <v>89</v>
      </c>
      <c r="T83" s="131" t="s">
        <v>89</v>
      </c>
      <c r="U83" s="131" t="s">
        <v>89</v>
      </c>
      <c r="V83" s="131" t="s">
        <v>89</v>
      </c>
      <c r="W83" s="131" t="s">
        <v>89</v>
      </c>
      <c r="X83" s="159"/>
      <c r="Y83" s="159"/>
      <c r="Z83" s="159"/>
    </row>
    <row r="84" spans="1:26" hidden="1" x14ac:dyDescent="0.35">
      <c r="A84" s="152" t="s">
        <v>25</v>
      </c>
      <c r="B84" s="152" t="s">
        <v>96</v>
      </c>
      <c r="C84" s="4"/>
      <c r="D84" s="4"/>
      <c r="E84" s="4"/>
      <c r="F84" s="68">
        <v>1.5</v>
      </c>
      <c r="G84" s="158" t="s">
        <v>140</v>
      </c>
      <c r="H84" s="227" t="s">
        <v>163</v>
      </c>
      <c r="I84" s="227"/>
      <c r="J84" s="227"/>
      <c r="K84" s="227"/>
      <c r="L84" s="227"/>
      <c r="M84" s="227"/>
      <c r="N84" s="131" t="s">
        <v>89</v>
      </c>
      <c r="O84" s="131" t="s">
        <v>89</v>
      </c>
      <c r="P84" s="131" t="s">
        <v>89</v>
      </c>
      <c r="Q84" s="131" t="s">
        <v>89</v>
      </c>
      <c r="R84" s="131" t="s">
        <v>89</v>
      </c>
      <c r="S84" s="131" t="s">
        <v>89</v>
      </c>
      <c r="T84" s="131" t="s">
        <v>89</v>
      </c>
      <c r="U84" s="131" t="s">
        <v>89</v>
      </c>
      <c r="V84" s="131" t="s">
        <v>89</v>
      </c>
      <c r="W84" s="131" t="s">
        <v>89</v>
      </c>
      <c r="X84" s="159"/>
      <c r="Y84" s="159"/>
      <c r="Z84" s="159"/>
    </row>
    <row r="85" spans="1:26" hidden="1" x14ac:dyDescent="0.35">
      <c r="A85" s="152" t="s">
        <v>47</v>
      </c>
      <c r="B85" s="152" t="s">
        <v>141</v>
      </c>
      <c r="C85" s="4"/>
      <c r="D85" s="4"/>
      <c r="E85" s="4"/>
      <c r="F85" s="68">
        <v>1.2</v>
      </c>
      <c r="G85" s="158" t="s">
        <v>140</v>
      </c>
      <c r="H85" s="227" t="s">
        <v>171</v>
      </c>
      <c r="I85" s="227"/>
      <c r="J85" s="227"/>
      <c r="K85" s="227"/>
      <c r="L85" s="227"/>
      <c r="M85" s="227"/>
      <c r="N85" s="131" t="s">
        <v>89</v>
      </c>
      <c r="O85" s="131" t="s">
        <v>89</v>
      </c>
      <c r="P85" s="131" t="s">
        <v>89</v>
      </c>
      <c r="Q85" s="131" t="s">
        <v>89</v>
      </c>
      <c r="R85" s="131" t="s">
        <v>89</v>
      </c>
      <c r="S85" s="131" t="s">
        <v>89</v>
      </c>
      <c r="T85" s="131" t="s">
        <v>89</v>
      </c>
      <c r="U85" s="131" t="s">
        <v>89</v>
      </c>
      <c r="V85" s="131" t="s">
        <v>89</v>
      </c>
      <c r="W85" s="131" t="s">
        <v>89</v>
      </c>
      <c r="X85" s="159"/>
      <c r="Y85" s="159"/>
      <c r="Z85" s="159"/>
    </row>
    <row r="86" spans="1:26" hidden="1" x14ac:dyDescent="0.35">
      <c r="A86" s="152" t="s">
        <v>47</v>
      </c>
      <c r="B86" s="152" t="s">
        <v>142</v>
      </c>
      <c r="C86" s="4"/>
      <c r="D86" s="4"/>
      <c r="E86" s="4"/>
      <c r="F86" s="68">
        <v>1</v>
      </c>
      <c r="G86" s="158" t="s">
        <v>129</v>
      </c>
      <c r="H86" s="227" t="s">
        <v>143</v>
      </c>
      <c r="I86" s="227"/>
      <c r="J86" s="227"/>
      <c r="K86" s="227"/>
      <c r="L86" s="227"/>
      <c r="M86" s="227"/>
      <c r="N86" s="143" t="s">
        <v>99</v>
      </c>
      <c r="O86" s="143" t="s">
        <v>99</v>
      </c>
      <c r="P86" s="143" t="s">
        <v>99</v>
      </c>
      <c r="Q86" s="143" t="s">
        <v>99</v>
      </c>
      <c r="R86" s="143" t="s">
        <v>99</v>
      </c>
      <c r="S86" s="143" t="s">
        <v>99</v>
      </c>
      <c r="T86" s="143" t="s">
        <v>99</v>
      </c>
      <c r="U86" s="143" t="s">
        <v>99</v>
      </c>
      <c r="V86" s="143" t="s">
        <v>99</v>
      </c>
      <c r="W86" s="143" t="s">
        <v>99</v>
      </c>
      <c r="X86" s="159"/>
      <c r="Y86" s="159"/>
      <c r="Z86" s="159"/>
    </row>
    <row r="87" spans="1:26" ht="29" hidden="1" x14ac:dyDescent="0.35">
      <c r="A87" s="152" t="s">
        <v>25</v>
      </c>
      <c r="B87" s="176" t="s">
        <v>93</v>
      </c>
      <c r="C87" s="4"/>
      <c r="D87" s="4"/>
      <c r="E87" s="4"/>
      <c r="F87" s="68">
        <v>1.5</v>
      </c>
      <c r="G87" s="158" t="s">
        <v>133</v>
      </c>
      <c r="H87" s="227" t="s">
        <v>125</v>
      </c>
      <c r="I87" s="227"/>
      <c r="J87" s="227"/>
      <c r="K87" s="227"/>
      <c r="L87" s="227"/>
      <c r="M87" s="227"/>
      <c r="N87" s="131" t="s">
        <v>89</v>
      </c>
      <c r="O87" s="131" t="s">
        <v>89</v>
      </c>
      <c r="P87" s="131" t="s">
        <v>89</v>
      </c>
      <c r="Q87" s="131" t="s">
        <v>89</v>
      </c>
      <c r="R87" s="131" t="s">
        <v>89</v>
      </c>
      <c r="S87" s="131" t="s">
        <v>89</v>
      </c>
      <c r="T87" s="131" t="s">
        <v>89</v>
      </c>
      <c r="U87" s="131" t="s">
        <v>89</v>
      </c>
      <c r="V87" s="131" t="s">
        <v>89</v>
      </c>
      <c r="W87" s="131" t="s">
        <v>89</v>
      </c>
      <c r="X87" s="159"/>
      <c r="Y87" s="159"/>
      <c r="Z87" s="159"/>
    </row>
    <row r="88" spans="1:26" ht="29" hidden="1" x14ac:dyDescent="0.35">
      <c r="A88" s="152" t="s">
        <v>47</v>
      </c>
      <c r="B88" s="152" t="s">
        <v>145</v>
      </c>
      <c r="C88" s="4"/>
      <c r="D88" s="4"/>
      <c r="E88" s="4"/>
      <c r="F88" s="68">
        <v>1</v>
      </c>
      <c r="G88" s="158" t="s">
        <v>136</v>
      </c>
      <c r="H88" s="227" t="s">
        <v>146</v>
      </c>
      <c r="I88" s="227"/>
      <c r="J88" s="227"/>
      <c r="K88" s="227"/>
      <c r="L88" s="227"/>
      <c r="M88" s="227"/>
      <c r="N88" s="131" t="s">
        <v>89</v>
      </c>
      <c r="O88" s="131" t="s">
        <v>89</v>
      </c>
      <c r="P88" s="131" t="s">
        <v>89</v>
      </c>
      <c r="Q88" s="131" t="s">
        <v>89</v>
      </c>
      <c r="R88" s="131" t="s">
        <v>89</v>
      </c>
      <c r="S88" s="131" t="s">
        <v>89</v>
      </c>
      <c r="T88" s="131" t="s">
        <v>89</v>
      </c>
      <c r="U88" s="131" t="s">
        <v>89</v>
      </c>
      <c r="V88" s="131" t="s">
        <v>89</v>
      </c>
      <c r="W88" s="131" t="s">
        <v>89</v>
      </c>
      <c r="X88" s="159"/>
      <c r="Y88" s="159"/>
      <c r="Z88" s="159"/>
    </row>
    <row r="89" spans="1:26" hidden="1" x14ac:dyDescent="0.35">
      <c r="A89" s="152" t="s">
        <v>144</v>
      </c>
      <c r="B89" s="152" t="s">
        <v>147</v>
      </c>
      <c r="C89" s="4"/>
      <c r="D89" s="4"/>
      <c r="E89" s="4"/>
      <c r="F89" s="68">
        <v>2.5</v>
      </c>
      <c r="G89" s="158"/>
      <c r="H89" s="227" t="s">
        <v>183</v>
      </c>
      <c r="I89" s="227"/>
      <c r="J89" s="227"/>
      <c r="K89" s="227"/>
      <c r="L89" s="227"/>
      <c r="M89" s="227"/>
      <c r="N89" s="131" t="s">
        <v>89</v>
      </c>
      <c r="O89" s="131" t="s">
        <v>89</v>
      </c>
      <c r="P89" s="131" t="s">
        <v>89</v>
      </c>
      <c r="Q89" s="131" t="s">
        <v>89</v>
      </c>
      <c r="R89" s="131" t="s">
        <v>89</v>
      </c>
      <c r="S89" s="131" t="s">
        <v>89</v>
      </c>
      <c r="T89" s="131" t="s">
        <v>89</v>
      </c>
      <c r="U89" s="131" t="s">
        <v>89</v>
      </c>
      <c r="V89" s="131" t="s">
        <v>89</v>
      </c>
      <c r="W89" s="131" t="s">
        <v>89</v>
      </c>
      <c r="X89" s="159"/>
      <c r="Y89" s="159"/>
      <c r="Z89" s="159"/>
    </row>
    <row r="90" spans="1:26" hidden="1" x14ac:dyDescent="0.35">
      <c r="A90" s="152" t="s">
        <v>47</v>
      </c>
      <c r="B90" s="160" t="s">
        <v>149</v>
      </c>
      <c r="C90" s="4"/>
      <c r="D90" s="4"/>
      <c r="E90" s="4"/>
      <c r="F90" s="68">
        <v>55</v>
      </c>
      <c r="G90" s="158"/>
      <c r="H90" s="227" t="s">
        <v>185</v>
      </c>
      <c r="I90" s="227"/>
      <c r="J90" s="227"/>
      <c r="K90" s="227"/>
      <c r="L90" s="227"/>
      <c r="M90" s="227"/>
      <c r="N90" s="131" t="s">
        <v>89</v>
      </c>
      <c r="O90" s="131" t="s">
        <v>89</v>
      </c>
      <c r="P90" s="131" t="s">
        <v>89</v>
      </c>
      <c r="Q90" s="131" t="s">
        <v>89</v>
      </c>
      <c r="R90" s="131" t="s">
        <v>89</v>
      </c>
      <c r="S90" s="131" t="s">
        <v>89</v>
      </c>
      <c r="T90" s="131" t="s">
        <v>89</v>
      </c>
      <c r="U90" s="131" t="s">
        <v>89</v>
      </c>
      <c r="V90" s="131" t="s">
        <v>89</v>
      </c>
      <c r="W90" s="131" t="s">
        <v>89</v>
      </c>
      <c r="X90" s="159"/>
      <c r="Y90" s="159"/>
      <c r="Z90" s="159"/>
    </row>
    <row r="91" spans="1:26" hidden="1" x14ac:dyDescent="0.35">
      <c r="A91" s="152" t="s">
        <v>47</v>
      </c>
      <c r="B91" s="152" t="s">
        <v>150</v>
      </c>
      <c r="C91" s="4"/>
      <c r="D91" s="4"/>
      <c r="E91" s="4"/>
      <c r="F91" s="161" t="s">
        <v>151</v>
      </c>
      <c r="G91" s="158"/>
      <c r="H91" s="227" t="s">
        <v>158</v>
      </c>
      <c r="I91" s="227"/>
      <c r="J91" s="227"/>
      <c r="K91" s="227"/>
      <c r="L91" s="227"/>
      <c r="M91" s="227"/>
      <c r="N91" s="131" t="s">
        <v>89</v>
      </c>
      <c r="O91" s="131" t="s">
        <v>89</v>
      </c>
      <c r="P91" s="131" t="s">
        <v>89</v>
      </c>
      <c r="Q91" s="131" t="s">
        <v>89</v>
      </c>
      <c r="R91" s="131" t="s">
        <v>89</v>
      </c>
      <c r="S91" s="131" t="s">
        <v>89</v>
      </c>
      <c r="T91" s="131" t="s">
        <v>89</v>
      </c>
      <c r="U91" s="131" t="s">
        <v>89</v>
      </c>
      <c r="V91" s="131" t="s">
        <v>89</v>
      </c>
      <c r="W91" s="131" t="s">
        <v>89</v>
      </c>
      <c r="X91" s="159"/>
      <c r="Y91" s="159"/>
      <c r="Z91" s="159"/>
    </row>
    <row r="92" spans="1:26" ht="29" hidden="1" x14ac:dyDescent="0.35">
      <c r="A92" s="152" t="s">
        <v>47</v>
      </c>
      <c r="B92" s="152" t="s">
        <v>152</v>
      </c>
      <c r="C92" s="4"/>
      <c r="D92" s="4"/>
      <c r="E92" s="4"/>
      <c r="F92" s="68">
        <v>1.1000000000000001</v>
      </c>
      <c r="G92" s="158"/>
      <c r="H92" s="227" t="s">
        <v>157</v>
      </c>
      <c r="I92" s="227"/>
      <c r="J92" s="227"/>
      <c r="K92" s="227"/>
      <c r="L92" s="227"/>
      <c r="M92" s="227"/>
      <c r="N92" s="131" t="s">
        <v>89</v>
      </c>
      <c r="O92" s="131" t="s">
        <v>89</v>
      </c>
      <c r="P92" s="131" t="s">
        <v>89</v>
      </c>
      <c r="Q92" s="131" t="s">
        <v>89</v>
      </c>
      <c r="R92" s="131" t="s">
        <v>89</v>
      </c>
      <c r="S92" s="131" t="s">
        <v>89</v>
      </c>
      <c r="T92" s="131" t="s">
        <v>89</v>
      </c>
      <c r="U92" s="131" t="s">
        <v>89</v>
      </c>
      <c r="V92" s="131" t="s">
        <v>89</v>
      </c>
      <c r="W92" s="131" t="s">
        <v>89</v>
      </c>
      <c r="X92" s="159" t="s">
        <v>153</v>
      </c>
      <c r="Y92" s="159"/>
      <c r="Z92" s="159"/>
    </row>
    <row r="93" spans="1:26" hidden="1" x14ac:dyDescent="0.35">
      <c r="A93" s="152" t="s">
        <v>47</v>
      </c>
      <c r="B93" s="160" t="s">
        <v>116</v>
      </c>
      <c r="C93" s="4"/>
      <c r="D93" s="4"/>
      <c r="E93" s="4"/>
      <c r="F93" s="68">
        <v>1.5</v>
      </c>
      <c r="G93" s="158"/>
      <c r="H93" s="227" t="s">
        <v>184</v>
      </c>
      <c r="I93" s="227"/>
      <c r="J93" s="227"/>
      <c r="K93" s="227"/>
      <c r="L93" s="227"/>
      <c r="M93" s="227"/>
      <c r="N93" s="131" t="s">
        <v>89</v>
      </c>
      <c r="O93" s="131" t="s">
        <v>89</v>
      </c>
      <c r="P93" s="131" t="s">
        <v>89</v>
      </c>
      <c r="Q93" s="131" t="s">
        <v>89</v>
      </c>
      <c r="R93" s="131" t="s">
        <v>89</v>
      </c>
      <c r="S93" s="131" t="s">
        <v>89</v>
      </c>
      <c r="T93" s="131" t="s">
        <v>89</v>
      </c>
      <c r="U93" s="131" t="s">
        <v>89</v>
      </c>
      <c r="V93" s="131" t="s">
        <v>89</v>
      </c>
      <c r="W93" s="131" t="s">
        <v>89</v>
      </c>
      <c r="X93" s="159"/>
      <c r="Y93" s="159"/>
      <c r="Z93" s="159"/>
    </row>
    <row r="94" spans="1:26" hidden="1" x14ac:dyDescent="0.35">
      <c r="A94" s="152" t="s">
        <v>47</v>
      </c>
      <c r="B94" s="152" t="s">
        <v>154</v>
      </c>
      <c r="C94" s="4"/>
      <c r="D94" s="4"/>
      <c r="E94" s="4"/>
      <c r="F94" s="68">
        <v>1</v>
      </c>
      <c r="G94" s="158"/>
      <c r="H94" s="227" t="s">
        <v>117</v>
      </c>
      <c r="I94" s="227"/>
      <c r="J94" s="227"/>
      <c r="K94" s="227"/>
      <c r="L94" s="227"/>
      <c r="M94" s="227"/>
      <c r="N94" s="131" t="s">
        <v>89</v>
      </c>
      <c r="O94" s="131" t="s">
        <v>89</v>
      </c>
      <c r="P94" s="131" t="s">
        <v>89</v>
      </c>
      <c r="Q94" s="131" t="s">
        <v>89</v>
      </c>
      <c r="R94" s="131" t="s">
        <v>89</v>
      </c>
      <c r="S94" s="131" t="s">
        <v>89</v>
      </c>
      <c r="T94" s="131" t="s">
        <v>89</v>
      </c>
      <c r="U94" s="131" t="s">
        <v>89</v>
      </c>
      <c r="V94" s="131" t="s">
        <v>89</v>
      </c>
      <c r="W94" s="131" t="s">
        <v>89</v>
      </c>
      <c r="X94" s="159"/>
      <c r="Y94" s="159"/>
      <c r="Z94" s="159"/>
    </row>
    <row r="95" spans="1:26" ht="29" hidden="1" x14ac:dyDescent="0.35">
      <c r="A95" s="152" t="s">
        <v>25</v>
      </c>
      <c r="B95" s="152" t="s">
        <v>159</v>
      </c>
      <c r="F95" s="68">
        <v>1</v>
      </c>
      <c r="H95" s="227" t="s">
        <v>128</v>
      </c>
      <c r="I95" s="227"/>
      <c r="J95" s="227"/>
      <c r="K95" s="227"/>
      <c r="L95" s="227"/>
      <c r="M95" s="227"/>
      <c r="N95" s="131" t="s">
        <v>89</v>
      </c>
      <c r="O95" s="131" t="s">
        <v>89</v>
      </c>
      <c r="P95" s="131" t="s">
        <v>89</v>
      </c>
      <c r="Q95" s="131" t="s">
        <v>89</v>
      </c>
      <c r="R95" s="131" t="s">
        <v>89</v>
      </c>
      <c r="S95" s="131" t="s">
        <v>89</v>
      </c>
      <c r="T95" s="131" t="s">
        <v>89</v>
      </c>
      <c r="U95" s="131" t="s">
        <v>89</v>
      </c>
      <c r="V95" s="131" t="s">
        <v>89</v>
      </c>
      <c r="W95" s="131" t="s">
        <v>89</v>
      </c>
    </row>
    <row r="96" spans="1:26" hidden="1" x14ac:dyDescent="0.35">
      <c r="A96" s="152" t="s">
        <v>128</v>
      </c>
      <c r="B96" s="176" t="s">
        <v>160</v>
      </c>
      <c r="F96" s="68">
        <v>1</v>
      </c>
      <c r="H96" s="227" t="s">
        <v>128</v>
      </c>
      <c r="I96" s="227"/>
      <c r="J96" s="227"/>
      <c r="K96" s="227"/>
      <c r="L96" s="227"/>
      <c r="M96" s="227"/>
      <c r="N96" s="131" t="s">
        <v>89</v>
      </c>
      <c r="O96" s="131" t="s">
        <v>89</v>
      </c>
      <c r="P96" s="131" t="s">
        <v>89</v>
      </c>
      <c r="Q96" s="131" t="s">
        <v>89</v>
      </c>
      <c r="R96" s="131" t="s">
        <v>89</v>
      </c>
      <c r="S96" s="131" t="s">
        <v>89</v>
      </c>
      <c r="T96" s="131" t="s">
        <v>89</v>
      </c>
      <c r="U96" s="131" t="s">
        <v>89</v>
      </c>
      <c r="V96" s="131" t="s">
        <v>89</v>
      </c>
      <c r="W96" s="131" t="s">
        <v>89</v>
      </c>
    </row>
    <row r="97" spans="1:23" hidden="1" x14ac:dyDescent="0.35">
      <c r="A97" s="152" t="s">
        <v>25</v>
      </c>
      <c r="B97" s="160" t="s">
        <v>130</v>
      </c>
      <c r="F97" s="68">
        <v>1</v>
      </c>
      <c r="H97" s="227" t="s">
        <v>161</v>
      </c>
      <c r="I97" s="227"/>
      <c r="J97" s="227"/>
      <c r="K97" s="227"/>
      <c r="L97" s="227"/>
      <c r="M97" s="227"/>
      <c r="N97" s="131" t="s">
        <v>89</v>
      </c>
      <c r="O97" s="131" t="s">
        <v>89</v>
      </c>
      <c r="P97" s="131" t="s">
        <v>89</v>
      </c>
      <c r="Q97" s="131" t="s">
        <v>89</v>
      </c>
      <c r="R97" s="131" t="s">
        <v>89</v>
      </c>
      <c r="S97" s="131" t="s">
        <v>89</v>
      </c>
      <c r="T97" s="131" t="s">
        <v>89</v>
      </c>
      <c r="U97" s="131" t="s">
        <v>89</v>
      </c>
      <c r="V97" s="131" t="s">
        <v>89</v>
      </c>
      <c r="W97" s="131" t="s">
        <v>89</v>
      </c>
    </row>
    <row r="98" spans="1:23" hidden="1" x14ac:dyDescent="0.35">
      <c r="A98" s="152" t="s">
        <v>47</v>
      </c>
      <c r="B98" s="176" t="s">
        <v>162</v>
      </c>
      <c r="F98" s="68">
        <v>1</v>
      </c>
      <c r="H98" s="227" t="s">
        <v>155</v>
      </c>
      <c r="I98" s="227"/>
      <c r="J98" s="227"/>
      <c r="K98" s="227"/>
      <c r="L98" s="227"/>
      <c r="M98" s="227"/>
      <c r="N98" s="131" t="s">
        <v>89</v>
      </c>
      <c r="O98" s="131" t="s">
        <v>89</v>
      </c>
      <c r="P98" s="131" t="s">
        <v>89</v>
      </c>
      <c r="Q98" s="131" t="s">
        <v>89</v>
      </c>
      <c r="R98" s="131" t="s">
        <v>89</v>
      </c>
      <c r="S98" s="131" t="s">
        <v>89</v>
      </c>
      <c r="T98" s="131" t="s">
        <v>89</v>
      </c>
      <c r="U98" s="131" t="s">
        <v>89</v>
      </c>
      <c r="V98" s="131" t="s">
        <v>89</v>
      </c>
      <c r="W98" s="131" t="s">
        <v>89</v>
      </c>
    </row>
    <row r="99" spans="1:23" hidden="1" x14ac:dyDescent="0.35">
      <c r="A99" s="152" t="s">
        <v>47</v>
      </c>
      <c r="B99" s="180" t="s">
        <v>164</v>
      </c>
      <c r="F99" s="68">
        <v>1</v>
      </c>
      <c r="H99" s="227" t="s">
        <v>155</v>
      </c>
      <c r="I99" s="227"/>
      <c r="J99" s="227"/>
      <c r="K99" s="227"/>
      <c r="L99" s="227"/>
      <c r="M99" s="227"/>
      <c r="N99" s="131" t="s">
        <v>89</v>
      </c>
      <c r="O99" s="131" t="s">
        <v>89</v>
      </c>
      <c r="P99" s="131" t="s">
        <v>89</v>
      </c>
      <c r="Q99" s="131" t="s">
        <v>89</v>
      </c>
      <c r="R99" s="131" t="s">
        <v>89</v>
      </c>
      <c r="S99" s="131" t="s">
        <v>89</v>
      </c>
      <c r="T99" s="131" t="s">
        <v>89</v>
      </c>
      <c r="U99" s="131" t="s">
        <v>89</v>
      </c>
      <c r="V99" s="131" t="s">
        <v>89</v>
      </c>
      <c r="W99" s="131" t="s">
        <v>89</v>
      </c>
    </row>
    <row r="100" spans="1:23" hidden="1" x14ac:dyDescent="0.35">
      <c r="A100" s="152" t="s">
        <v>47</v>
      </c>
      <c r="B100" s="177" t="s">
        <v>165</v>
      </c>
      <c r="F100" s="68">
        <v>1.4</v>
      </c>
      <c r="H100" s="227" t="s">
        <v>155</v>
      </c>
      <c r="I100" s="227"/>
      <c r="J100" s="227"/>
      <c r="K100" s="227"/>
      <c r="L100" s="227"/>
      <c r="M100" s="227"/>
      <c r="N100" s="131" t="s">
        <v>89</v>
      </c>
      <c r="O100" s="131" t="s">
        <v>89</v>
      </c>
      <c r="P100" s="131" t="s">
        <v>89</v>
      </c>
      <c r="Q100" s="131" t="s">
        <v>89</v>
      </c>
      <c r="R100" s="131" t="s">
        <v>89</v>
      </c>
      <c r="S100" s="131" t="s">
        <v>89</v>
      </c>
      <c r="T100" s="131" t="s">
        <v>89</v>
      </c>
      <c r="U100" s="131" t="s">
        <v>89</v>
      </c>
      <c r="V100" s="131" t="s">
        <v>89</v>
      </c>
      <c r="W100" s="131" t="s">
        <v>89</v>
      </c>
    </row>
    <row r="101" spans="1:23" hidden="1" x14ac:dyDescent="0.35">
      <c r="A101" s="152" t="s">
        <v>25</v>
      </c>
      <c r="B101" s="176" t="s">
        <v>166</v>
      </c>
      <c r="F101" s="68">
        <v>1</v>
      </c>
      <c r="H101" s="227" t="s">
        <v>109</v>
      </c>
      <c r="I101" s="227"/>
      <c r="J101" s="227"/>
      <c r="K101" s="227"/>
      <c r="L101" s="227"/>
      <c r="M101" s="227"/>
      <c r="N101" s="131" t="s">
        <v>89</v>
      </c>
      <c r="O101" s="131" t="s">
        <v>89</v>
      </c>
      <c r="P101" s="131" t="s">
        <v>89</v>
      </c>
      <c r="Q101" s="131" t="s">
        <v>89</v>
      </c>
      <c r="R101" s="131" t="s">
        <v>89</v>
      </c>
      <c r="S101" s="131" t="s">
        <v>89</v>
      </c>
      <c r="T101" s="131" t="s">
        <v>89</v>
      </c>
      <c r="U101" s="131" t="s">
        <v>89</v>
      </c>
      <c r="V101" s="131" t="s">
        <v>89</v>
      </c>
      <c r="W101" s="131" t="s">
        <v>89</v>
      </c>
    </row>
    <row r="102" spans="1:23" hidden="1" x14ac:dyDescent="0.35">
      <c r="A102" s="152" t="s">
        <v>47</v>
      </c>
      <c r="B102" s="176" t="s">
        <v>167</v>
      </c>
      <c r="F102" s="68">
        <v>1</v>
      </c>
      <c r="H102" s="227" t="s">
        <v>192</v>
      </c>
      <c r="I102" s="227"/>
      <c r="J102" s="227"/>
      <c r="K102" s="227"/>
      <c r="L102" s="227"/>
      <c r="M102" s="227"/>
    </row>
    <row r="103" spans="1:23" hidden="1" x14ac:dyDescent="0.35">
      <c r="A103" s="152" t="s">
        <v>47</v>
      </c>
      <c r="B103" s="176" t="s">
        <v>168</v>
      </c>
      <c r="F103" s="68">
        <v>1</v>
      </c>
      <c r="H103" s="227" t="s">
        <v>117</v>
      </c>
      <c r="I103" s="227"/>
      <c r="J103" s="227"/>
      <c r="K103" s="227"/>
      <c r="L103" s="227"/>
      <c r="M103" s="227"/>
    </row>
    <row r="104" spans="1:23" hidden="1" x14ac:dyDescent="0.35">
      <c r="A104" s="152" t="s">
        <v>25</v>
      </c>
      <c r="B104" s="176" t="s">
        <v>169</v>
      </c>
      <c r="F104" s="68">
        <v>1.5</v>
      </c>
      <c r="H104" s="227" t="s">
        <v>179</v>
      </c>
      <c r="I104" s="227"/>
      <c r="J104" s="227"/>
      <c r="K104" s="227"/>
      <c r="L104" s="227"/>
      <c r="M104" s="227"/>
    </row>
    <row r="105" spans="1:23" hidden="1" x14ac:dyDescent="0.35">
      <c r="A105" s="152" t="s">
        <v>47</v>
      </c>
      <c r="B105" s="176" t="s">
        <v>172</v>
      </c>
      <c r="F105" s="68">
        <v>5.8</v>
      </c>
      <c r="H105" s="227" t="s">
        <v>190</v>
      </c>
      <c r="I105" s="227"/>
      <c r="J105" s="227"/>
      <c r="K105" s="227"/>
      <c r="L105" s="227"/>
      <c r="M105" s="227"/>
      <c r="U105" s="130" t="s">
        <v>88</v>
      </c>
      <c r="V105" s="131" t="s">
        <v>89</v>
      </c>
      <c r="W105" s="131" t="s">
        <v>89</v>
      </c>
    </row>
    <row r="106" spans="1:23" hidden="1" x14ac:dyDescent="0.35">
      <c r="A106" s="152" t="s">
        <v>128</v>
      </c>
      <c r="B106" s="176" t="s">
        <v>173</v>
      </c>
      <c r="F106" s="68">
        <v>0.8</v>
      </c>
      <c r="H106" s="227" t="s">
        <v>178</v>
      </c>
      <c r="I106" s="227"/>
      <c r="J106" s="227"/>
      <c r="K106" s="227"/>
      <c r="L106" s="227"/>
      <c r="M106" s="227"/>
      <c r="R106" s="130" t="s">
        <v>88</v>
      </c>
      <c r="S106" s="131" t="s">
        <v>89</v>
      </c>
      <c r="T106" s="131" t="s">
        <v>89</v>
      </c>
      <c r="U106" s="131" t="s">
        <v>89</v>
      </c>
      <c r="V106" s="131" t="s">
        <v>89</v>
      </c>
      <c r="W106" s="131" t="s">
        <v>89</v>
      </c>
    </row>
    <row r="107" spans="1:23" hidden="1" x14ac:dyDescent="0.35">
      <c r="A107" s="152" t="s">
        <v>128</v>
      </c>
      <c r="B107" s="176" t="s">
        <v>174</v>
      </c>
      <c r="F107" s="174">
        <v>100</v>
      </c>
      <c r="H107" s="227" t="s">
        <v>146</v>
      </c>
      <c r="I107" s="227"/>
      <c r="J107" s="227"/>
      <c r="K107" s="227"/>
      <c r="L107" s="227"/>
      <c r="M107" s="227"/>
    </row>
    <row r="108" spans="1:23" hidden="1" x14ac:dyDescent="0.35">
      <c r="A108" s="152" t="s">
        <v>47</v>
      </c>
      <c r="B108" s="176" t="s">
        <v>147</v>
      </c>
      <c r="F108" s="68">
        <v>50</v>
      </c>
      <c r="H108" s="227" t="s">
        <v>209</v>
      </c>
      <c r="I108" s="227"/>
      <c r="J108" s="227"/>
      <c r="K108" s="227"/>
      <c r="L108" s="227"/>
      <c r="M108" s="227"/>
    </row>
    <row r="109" spans="1:23" ht="15" hidden="1" customHeight="1" x14ac:dyDescent="0.35">
      <c r="A109" s="152" t="s">
        <v>25</v>
      </c>
      <c r="B109" s="183" t="s">
        <v>195</v>
      </c>
      <c r="F109" s="68">
        <v>4</v>
      </c>
      <c r="H109" s="227" t="s">
        <v>244</v>
      </c>
      <c r="I109" s="227"/>
      <c r="J109" s="227"/>
      <c r="K109" s="227"/>
      <c r="L109" s="227"/>
      <c r="M109" s="227"/>
    </row>
    <row r="110" spans="1:23" ht="34" hidden="1" customHeight="1" x14ac:dyDescent="0.35">
      <c r="A110" s="152" t="s">
        <v>25</v>
      </c>
      <c r="B110" s="195" t="s">
        <v>124</v>
      </c>
      <c r="F110" s="68">
        <v>14</v>
      </c>
      <c r="H110" s="227" t="s">
        <v>243</v>
      </c>
      <c r="I110" s="227"/>
      <c r="J110" s="227"/>
      <c r="K110" s="227"/>
      <c r="L110" s="227"/>
      <c r="M110" s="227"/>
    </row>
    <row r="111" spans="1:23" hidden="1" x14ac:dyDescent="0.35">
      <c r="A111" s="152" t="s">
        <v>47</v>
      </c>
      <c r="B111" s="183" t="s">
        <v>193</v>
      </c>
      <c r="F111" s="68">
        <v>30</v>
      </c>
      <c r="H111" s="227" t="s">
        <v>196</v>
      </c>
      <c r="I111" s="227"/>
      <c r="J111" s="227"/>
      <c r="K111" s="227"/>
      <c r="L111" s="227"/>
      <c r="M111" s="227"/>
    </row>
    <row r="112" spans="1:23" hidden="1" x14ac:dyDescent="0.35">
      <c r="A112" s="152" t="s">
        <v>128</v>
      </c>
      <c r="B112" s="183" t="s">
        <v>194</v>
      </c>
      <c r="F112" s="68">
        <v>15</v>
      </c>
      <c r="H112" s="227" t="s">
        <v>197</v>
      </c>
      <c r="I112" s="227"/>
      <c r="J112" s="227"/>
      <c r="K112" s="227"/>
      <c r="L112" s="227"/>
      <c r="M112" s="227"/>
    </row>
    <row r="113" spans="1:14" hidden="1" x14ac:dyDescent="0.35">
      <c r="A113" s="152" t="s">
        <v>128</v>
      </c>
      <c r="B113" s="183" t="s">
        <v>198</v>
      </c>
      <c r="F113" s="68">
        <v>30</v>
      </c>
      <c r="H113" s="227" t="s">
        <v>199</v>
      </c>
      <c r="I113" s="227"/>
      <c r="J113" s="227"/>
      <c r="K113" s="227"/>
      <c r="L113" s="227"/>
      <c r="M113" s="227"/>
    </row>
    <row r="114" spans="1:14" hidden="1" x14ac:dyDescent="0.35">
      <c r="A114" s="152" t="s">
        <v>203</v>
      </c>
      <c r="B114" t="s">
        <v>204</v>
      </c>
      <c r="F114" s="68">
        <v>2.2000000000000002</v>
      </c>
    </row>
    <row r="115" spans="1:14" hidden="1" x14ac:dyDescent="0.35">
      <c r="A115" s="152" t="s">
        <v>203</v>
      </c>
      <c r="B115" s="184" t="s">
        <v>205</v>
      </c>
    </row>
    <row r="116" spans="1:14" hidden="1" x14ac:dyDescent="0.35">
      <c r="A116" s="152" t="s">
        <v>203</v>
      </c>
      <c r="B116" t="s">
        <v>206</v>
      </c>
      <c r="F116" s="68">
        <v>6</v>
      </c>
    </row>
    <row r="117" spans="1:14" ht="37" hidden="1" customHeight="1" x14ac:dyDescent="0.35">
      <c r="A117" s="152" t="s">
        <v>25</v>
      </c>
      <c r="B117" s="183" t="s">
        <v>211</v>
      </c>
      <c r="F117" s="68">
        <v>40</v>
      </c>
      <c r="H117" s="227" t="s">
        <v>254</v>
      </c>
      <c r="I117" s="227"/>
      <c r="J117" s="227"/>
      <c r="K117" s="227"/>
      <c r="L117" s="227"/>
      <c r="M117" s="227"/>
    </row>
    <row r="118" spans="1:14" ht="35" hidden="1" customHeight="1" x14ac:dyDescent="0.35">
      <c r="A118" s="152" t="s">
        <v>25</v>
      </c>
      <c r="B118" s="182" t="s">
        <v>218</v>
      </c>
      <c r="F118" s="68">
        <v>44</v>
      </c>
      <c r="H118" s="227" t="s">
        <v>260</v>
      </c>
      <c r="I118" s="227"/>
      <c r="J118" s="227"/>
      <c r="K118" s="227"/>
      <c r="L118" s="227"/>
      <c r="M118" s="227"/>
    </row>
    <row r="119" spans="1:14" ht="35" hidden="1" customHeight="1" x14ac:dyDescent="0.35">
      <c r="A119" s="152" t="s">
        <v>157</v>
      </c>
      <c r="B119" s="183" t="s">
        <v>219</v>
      </c>
      <c r="F119" s="68">
        <v>56</v>
      </c>
      <c r="H119" s="227" t="s">
        <v>245</v>
      </c>
      <c r="I119" s="227"/>
      <c r="J119" s="227"/>
      <c r="K119" s="227"/>
      <c r="L119" s="227"/>
      <c r="M119" s="227"/>
      <c r="N119" t="s">
        <v>97</v>
      </c>
    </row>
    <row r="120" spans="1:14" ht="35" hidden="1" customHeight="1" x14ac:dyDescent="0.35">
      <c r="A120" s="152" t="s">
        <v>47</v>
      </c>
      <c r="B120" s="182" t="s">
        <v>242</v>
      </c>
      <c r="F120" s="68">
        <v>100</v>
      </c>
      <c r="H120" s="227" t="s">
        <v>259</v>
      </c>
      <c r="I120" s="227"/>
      <c r="J120" s="227"/>
      <c r="K120" s="227"/>
      <c r="L120" s="227"/>
      <c r="M120" s="227"/>
      <c r="N120" t="s">
        <v>94</v>
      </c>
    </row>
    <row r="121" spans="1:14" ht="35" hidden="1" customHeight="1" x14ac:dyDescent="0.35">
      <c r="A121" s="152" t="s">
        <v>25</v>
      </c>
      <c r="B121" s="182" t="s">
        <v>246</v>
      </c>
      <c r="F121" s="68">
        <v>20</v>
      </c>
      <c r="H121" s="227" t="s">
        <v>128</v>
      </c>
      <c r="I121" s="227"/>
      <c r="J121" s="227"/>
      <c r="K121" s="227"/>
      <c r="L121" s="227"/>
      <c r="M121" s="227"/>
    </row>
    <row r="122" spans="1:14" hidden="1" x14ac:dyDescent="0.35">
      <c r="A122" s="152" t="s">
        <v>47</v>
      </c>
      <c r="B122" s="183" t="s">
        <v>247</v>
      </c>
      <c r="F122" s="68">
        <v>17</v>
      </c>
      <c r="H122" s="227" t="s">
        <v>155</v>
      </c>
      <c r="I122" s="227"/>
      <c r="J122" s="227"/>
      <c r="K122" s="227"/>
      <c r="L122" s="227"/>
      <c r="M122" s="227"/>
    </row>
    <row r="123" spans="1:14" hidden="1" x14ac:dyDescent="0.35">
      <c r="A123" s="152" t="s">
        <v>148</v>
      </c>
      <c r="B123" s="183" t="s">
        <v>166</v>
      </c>
      <c r="F123" s="68">
        <v>40</v>
      </c>
      <c r="H123" s="227" t="s">
        <v>255</v>
      </c>
      <c r="I123" s="227"/>
      <c r="J123" s="227"/>
      <c r="K123" s="227"/>
      <c r="L123" s="227"/>
      <c r="M123" s="227"/>
    </row>
    <row r="124" spans="1:14" hidden="1" x14ac:dyDescent="0.35">
      <c r="A124" s="152" t="s">
        <v>25</v>
      </c>
      <c r="B124" s="187" t="s">
        <v>248</v>
      </c>
      <c r="F124" s="68">
        <v>30</v>
      </c>
      <c r="H124" s="227" t="s">
        <v>87</v>
      </c>
      <c r="I124" s="227"/>
      <c r="J124" s="227"/>
      <c r="K124" s="227"/>
      <c r="L124" s="227"/>
      <c r="M124" s="227"/>
    </row>
    <row r="125" spans="1:14" hidden="1" x14ac:dyDescent="0.35">
      <c r="A125" s="152" t="s">
        <v>47</v>
      </c>
      <c r="B125" s="187" t="s">
        <v>249</v>
      </c>
      <c r="F125" s="68">
        <v>140</v>
      </c>
      <c r="H125" s="227" t="s">
        <v>256</v>
      </c>
      <c r="I125" s="227"/>
      <c r="J125" s="227"/>
      <c r="K125" s="227"/>
      <c r="L125" s="227"/>
      <c r="M125" s="227"/>
    </row>
    <row r="126" spans="1:14" hidden="1" x14ac:dyDescent="0.35">
      <c r="A126" s="152" t="s">
        <v>25</v>
      </c>
      <c r="B126" s="187" t="s">
        <v>253</v>
      </c>
      <c r="F126" s="68">
        <v>20</v>
      </c>
      <c r="H126" s="227" t="s">
        <v>286</v>
      </c>
      <c r="I126" s="227"/>
      <c r="J126" s="227"/>
      <c r="K126" s="227"/>
      <c r="L126" s="227"/>
      <c r="M126" s="227"/>
    </row>
    <row r="127" spans="1:14" hidden="1" x14ac:dyDescent="0.35">
      <c r="A127" s="152" t="s">
        <v>25</v>
      </c>
      <c r="B127" s="187" t="s">
        <v>257</v>
      </c>
      <c r="F127" s="68">
        <v>18</v>
      </c>
      <c r="H127" s="227" t="s">
        <v>261</v>
      </c>
      <c r="I127" s="227"/>
      <c r="J127" s="227"/>
      <c r="K127" s="227"/>
      <c r="L127" s="227"/>
      <c r="M127" s="227"/>
    </row>
    <row r="128" spans="1:14" x14ac:dyDescent="0.35">
      <c r="A128" s="152" t="s">
        <v>25</v>
      </c>
      <c r="B128" s="182" t="s">
        <v>147</v>
      </c>
      <c r="F128" s="68">
        <v>60</v>
      </c>
      <c r="H128" s="227" t="s">
        <v>286</v>
      </c>
      <c r="I128" s="227"/>
      <c r="J128" s="227"/>
      <c r="K128" s="227"/>
      <c r="L128" s="227"/>
      <c r="M128" s="227"/>
    </row>
    <row r="129" spans="1:13" hidden="1" x14ac:dyDescent="0.35">
      <c r="A129" s="152" t="s">
        <v>25</v>
      </c>
      <c r="B129" s="187" t="s">
        <v>263</v>
      </c>
      <c r="F129" s="68">
        <v>3</v>
      </c>
      <c r="H129" s="227" t="s">
        <v>286</v>
      </c>
      <c r="I129" s="227"/>
      <c r="J129" s="227"/>
      <c r="K129" s="227"/>
      <c r="L129" s="227"/>
      <c r="M129" s="227"/>
    </row>
    <row r="130" spans="1:13" hidden="1" x14ac:dyDescent="0.35">
      <c r="A130" s="152" t="s">
        <v>25</v>
      </c>
      <c r="B130" s="183" t="s">
        <v>264</v>
      </c>
      <c r="F130" s="68">
        <v>15</v>
      </c>
      <c r="H130" s="227" t="s">
        <v>287</v>
      </c>
      <c r="I130" s="227"/>
      <c r="J130" s="227"/>
      <c r="K130" s="227"/>
      <c r="L130" s="227"/>
      <c r="M130" s="227"/>
    </row>
    <row r="131" spans="1:13" x14ac:dyDescent="0.35">
      <c r="A131" s="152" t="s">
        <v>293</v>
      </c>
      <c r="B131" s="198" t="s">
        <v>265</v>
      </c>
      <c r="F131" s="68">
        <v>26</v>
      </c>
      <c r="H131" s="227" t="s">
        <v>310</v>
      </c>
      <c r="I131" s="227"/>
      <c r="J131" s="227"/>
      <c r="K131" s="227"/>
      <c r="L131" s="227"/>
      <c r="M131" s="227"/>
    </row>
    <row r="132" spans="1:13" hidden="1" x14ac:dyDescent="0.35">
      <c r="A132" s="152" t="s">
        <v>128</v>
      </c>
      <c r="B132" s="183" t="s">
        <v>266</v>
      </c>
      <c r="F132" s="68">
        <v>20</v>
      </c>
      <c r="H132" s="227" t="s">
        <v>287</v>
      </c>
      <c r="I132" s="227"/>
      <c r="J132" s="227"/>
      <c r="K132" s="227"/>
      <c r="L132" s="227"/>
      <c r="M132" s="227"/>
    </row>
    <row r="133" spans="1:13" hidden="1" x14ac:dyDescent="0.35">
      <c r="A133" s="152" t="s">
        <v>293</v>
      </c>
      <c r="B133" s="187" t="s">
        <v>267</v>
      </c>
      <c r="F133" s="68">
        <v>15</v>
      </c>
      <c r="H133" s="227" t="s">
        <v>87</v>
      </c>
      <c r="I133" s="227"/>
      <c r="J133" s="227"/>
      <c r="K133" s="227"/>
      <c r="L133" s="227"/>
      <c r="M133" s="227"/>
    </row>
    <row r="134" spans="1:13" hidden="1" x14ac:dyDescent="0.35">
      <c r="A134" s="152" t="s">
        <v>128</v>
      </c>
      <c r="B134" s="198" t="s">
        <v>268</v>
      </c>
      <c r="F134" s="68">
        <v>45</v>
      </c>
      <c r="H134" s="227" t="s">
        <v>281</v>
      </c>
      <c r="I134" s="227"/>
      <c r="J134" s="227"/>
      <c r="K134" s="227"/>
      <c r="L134" s="227"/>
      <c r="M134" s="227"/>
    </row>
    <row r="135" spans="1:13" hidden="1" x14ac:dyDescent="0.35">
      <c r="A135" s="152" t="s">
        <v>47</v>
      </c>
      <c r="B135" s="183" t="s">
        <v>269</v>
      </c>
      <c r="F135" s="68">
        <v>20</v>
      </c>
      <c r="H135" s="227" t="s">
        <v>300</v>
      </c>
      <c r="I135" s="227"/>
      <c r="J135" s="227"/>
      <c r="K135" s="227"/>
      <c r="L135" s="227"/>
      <c r="M135" s="227"/>
    </row>
    <row r="136" spans="1:13" ht="42.5" hidden="1" customHeight="1" x14ac:dyDescent="0.35">
      <c r="A136" s="152" t="s">
        <v>128</v>
      </c>
      <c r="B136" s="182" t="s">
        <v>282</v>
      </c>
      <c r="F136" s="68">
        <v>60</v>
      </c>
      <c r="H136" s="227" t="s">
        <v>283</v>
      </c>
      <c r="I136" s="227"/>
      <c r="J136" s="227"/>
      <c r="K136" s="227"/>
      <c r="L136" s="227"/>
      <c r="M136" s="227"/>
    </row>
    <row r="137" spans="1:13" hidden="1" x14ac:dyDescent="0.35">
      <c r="A137" s="152" t="s">
        <v>87</v>
      </c>
      <c r="B137" s="187" t="s">
        <v>284</v>
      </c>
      <c r="F137" s="68">
        <v>16</v>
      </c>
      <c r="H137" s="227" t="s">
        <v>87</v>
      </c>
      <c r="I137" s="227"/>
      <c r="J137" s="227"/>
      <c r="K137" s="227"/>
      <c r="L137" s="227"/>
      <c r="M137" s="227"/>
    </row>
    <row r="138" spans="1:13" hidden="1" x14ac:dyDescent="0.35">
      <c r="A138" s="152" t="s">
        <v>144</v>
      </c>
      <c r="B138" s="182" t="s">
        <v>258</v>
      </c>
      <c r="F138" s="68"/>
      <c r="H138" s="227" t="s">
        <v>285</v>
      </c>
      <c r="I138" s="227"/>
      <c r="J138" s="227"/>
      <c r="K138" s="227"/>
      <c r="L138" s="227"/>
      <c r="M138" s="227"/>
    </row>
    <row r="139" spans="1:13" x14ac:dyDescent="0.35">
      <c r="A139" s="152" t="s">
        <v>301</v>
      </c>
      <c r="B139" s="187" t="s">
        <v>288</v>
      </c>
      <c r="F139" s="68">
        <v>57</v>
      </c>
      <c r="H139" s="227" t="s">
        <v>87</v>
      </c>
      <c r="I139" s="227"/>
      <c r="J139" s="227"/>
      <c r="K139" s="227"/>
      <c r="L139" s="227"/>
      <c r="M139" s="227"/>
    </row>
    <row r="140" spans="1:13" x14ac:dyDescent="0.35">
      <c r="A140" s="152" t="s">
        <v>47</v>
      </c>
      <c r="B140" s="182" t="s">
        <v>289</v>
      </c>
      <c r="F140" s="68">
        <v>21</v>
      </c>
      <c r="H140" s="227" t="s">
        <v>25</v>
      </c>
      <c r="I140" s="227"/>
      <c r="J140" s="227"/>
      <c r="K140" s="227"/>
      <c r="L140" s="227"/>
      <c r="M140" s="227"/>
    </row>
    <row r="141" spans="1:13" x14ac:dyDescent="0.35">
      <c r="A141" s="152" t="s">
        <v>87</v>
      </c>
      <c r="B141" s="187" t="s">
        <v>290</v>
      </c>
      <c r="F141" s="68">
        <v>10</v>
      </c>
      <c r="H141" s="227" t="s">
        <v>87</v>
      </c>
      <c r="I141" s="227"/>
      <c r="J141" s="227"/>
      <c r="K141" s="227"/>
      <c r="L141" s="227"/>
      <c r="M141" s="227"/>
    </row>
    <row r="142" spans="1:13" x14ac:dyDescent="0.35">
      <c r="A142" s="152" t="s">
        <v>25</v>
      </c>
      <c r="B142" s="182" t="s">
        <v>246</v>
      </c>
      <c r="F142" s="68">
        <v>20</v>
      </c>
      <c r="H142" s="227" t="s">
        <v>286</v>
      </c>
      <c r="I142" s="227"/>
      <c r="J142" s="227"/>
      <c r="K142" s="227"/>
      <c r="L142" s="227"/>
      <c r="M142" s="227"/>
    </row>
    <row r="143" spans="1:13" x14ac:dyDescent="0.35">
      <c r="A143" s="152" t="s">
        <v>87</v>
      </c>
      <c r="B143" s="187" t="s">
        <v>292</v>
      </c>
      <c r="F143" s="68">
        <v>18</v>
      </c>
      <c r="H143" s="227" t="s">
        <v>87</v>
      </c>
      <c r="I143" s="227"/>
      <c r="J143" s="227"/>
      <c r="K143" s="227"/>
      <c r="L143" s="227"/>
      <c r="M143" s="227"/>
    </row>
    <row r="144" spans="1:13" hidden="1" x14ac:dyDescent="0.35">
      <c r="A144" s="152" t="s">
        <v>47</v>
      </c>
      <c r="B144" s="183" t="s">
        <v>294</v>
      </c>
      <c r="F144" s="68">
        <v>15</v>
      </c>
      <c r="H144" s="227" t="s">
        <v>155</v>
      </c>
      <c r="I144" s="227"/>
      <c r="J144" s="227"/>
      <c r="K144" s="227"/>
      <c r="L144" s="227"/>
      <c r="M144" s="227"/>
    </row>
    <row r="145" spans="1:13" hidden="1" x14ac:dyDescent="0.35">
      <c r="A145" s="152" t="s">
        <v>128</v>
      </c>
      <c r="B145" s="183" t="s">
        <v>295</v>
      </c>
      <c r="F145">
        <v>25</v>
      </c>
      <c r="H145" s="227" t="s">
        <v>299</v>
      </c>
      <c r="I145" s="227"/>
      <c r="J145" s="227"/>
      <c r="K145" s="227"/>
      <c r="L145" s="227"/>
      <c r="M145" s="227"/>
    </row>
    <row r="146" spans="1:13" x14ac:dyDescent="0.35">
      <c r="A146" s="152" t="s">
        <v>25</v>
      </c>
      <c r="B146" s="187" t="s">
        <v>297</v>
      </c>
      <c r="F146" s="68">
        <v>52</v>
      </c>
      <c r="H146" s="227" t="s">
        <v>286</v>
      </c>
      <c r="I146" s="227"/>
      <c r="J146" s="227"/>
      <c r="K146" s="227"/>
      <c r="L146" s="227"/>
      <c r="M146" s="227"/>
    </row>
    <row r="147" spans="1:13" x14ac:dyDescent="0.35">
      <c r="A147" s="152" t="s">
        <v>25</v>
      </c>
      <c r="B147" s="182" t="s">
        <v>298</v>
      </c>
      <c r="F147" s="68">
        <v>21</v>
      </c>
      <c r="H147" s="227" t="s">
        <v>307</v>
      </c>
      <c r="I147" s="227"/>
      <c r="J147" s="227"/>
      <c r="K147" s="227"/>
      <c r="L147" s="227"/>
      <c r="M147" s="227"/>
    </row>
    <row r="148" spans="1:13" hidden="1" x14ac:dyDescent="0.35">
      <c r="A148" s="152" t="s">
        <v>128</v>
      </c>
      <c r="B148" s="183" t="s">
        <v>267</v>
      </c>
      <c r="F148" s="68">
        <v>40</v>
      </c>
      <c r="H148" s="227" t="s">
        <v>309</v>
      </c>
      <c r="I148" s="227"/>
      <c r="J148" s="227"/>
      <c r="K148" s="227"/>
      <c r="L148" s="227"/>
      <c r="M148" s="227"/>
    </row>
    <row r="149" spans="1:13" hidden="1" x14ac:dyDescent="0.35">
      <c r="A149" s="152" t="s">
        <v>144</v>
      </c>
      <c r="B149" s="182" t="s">
        <v>303</v>
      </c>
      <c r="F149" s="68">
        <v>35</v>
      </c>
      <c r="H149" s="227" t="s">
        <v>302</v>
      </c>
      <c r="I149" s="227"/>
      <c r="J149" s="227"/>
      <c r="K149" s="227"/>
      <c r="L149" s="227"/>
      <c r="M149" s="227"/>
    </row>
    <row r="150" spans="1:13" ht="43" hidden="1" customHeight="1" x14ac:dyDescent="0.35">
      <c r="A150" s="152" t="s">
        <v>47</v>
      </c>
      <c r="B150" s="183" t="s">
        <v>304</v>
      </c>
      <c r="F150" s="68">
        <v>72</v>
      </c>
      <c r="H150" s="227" t="s">
        <v>308</v>
      </c>
      <c r="I150" s="227"/>
      <c r="J150" s="227"/>
      <c r="K150" s="227"/>
      <c r="L150" s="227"/>
      <c r="M150" s="227"/>
    </row>
  </sheetData>
  <mergeCells count="113">
    <mergeCell ref="AH3:AJ3"/>
    <mergeCell ref="A1:B1"/>
    <mergeCell ref="A3:B3"/>
    <mergeCell ref="H55:M55"/>
    <mergeCell ref="H56:M56"/>
    <mergeCell ref="H57:M57"/>
    <mergeCell ref="H125:M125"/>
    <mergeCell ref="H123:M123"/>
    <mergeCell ref="H124:M124"/>
    <mergeCell ref="A7:A8"/>
    <mergeCell ref="H58:M58"/>
    <mergeCell ref="H59:M59"/>
    <mergeCell ref="H60:M60"/>
    <mergeCell ref="H61:M61"/>
    <mergeCell ref="H62:M62"/>
    <mergeCell ref="H63:M63"/>
    <mergeCell ref="H80:M80"/>
    <mergeCell ref="H78:M78"/>
    <mergeCell ref="R2:U2"/>
    <mergeCell ref="H107:M107"/>
    <mergeCell ref="H96:M96"/>
    <mergeCell ref="H97:M97"/>
    <mergeCell ref="H98:M98"/>
    <mergeCell ref="H99:M99"/>
    <mergeCell ref="H106:M106"/>
    <mergeCell ref="H64:M64"/>
    <mergeCell ref="H65:M65"/>
    <mergeCell ref="H83:M83"/>
    <mergeCell ref="H69:M69"/>
    <mergeCell ref="H74:M74"/>
    <mergeCell ref="H75:M75"/>
    <mergeCell ref="H76:M76"/>
    <mergeCell ref="H77:M77"/>
    <mergeCell ref="H66:M66"/>
    <mergeCell ref="A5:A6"/>
    <mergeCell ref="H54:M54"/>
    <mergeCell ref="A9:A10"/>
    <mergeCell ref="A11:A12"/>
    <mergeCell ref="A13:A14"/>
    <mergeCell ref="A15:A16"/>
    <mergeCell ref="A18:A19"/>
    <mergeCell ref="A35:A38"/>
    <mergeCell ref="U38:U45"/>
    <mergeCell ref="A40:A41"/>
    <mergeCell ref="A44:A48"/>
    <mergeCell ref="A50:A52"/>
    <mergeCell ref="H147:M147"/>
    <mergeCell ref="H148:M148"/>
    <mergeCell ref="H149:M149"/>
    <mergeCell ref="H150:M150"/>
    <mergeCell ref="H138:M138"/>
    <mergeCell ref="H136:M136"/>
    <mergeCell ref="H112:M112"/>
    <mergeCell ref="H113:M113"/>
    <mergeCell ref="H143:M143"/>
    <mergeCell ref="H117:M117"/>
    <mergeCell ref="H118:M118"/>
    <mergeCell ref="H119:M119"/>
    <mergeCell ref="H126:M126"/>
    <mergeCell ref="H128:M128"/>
    <mergeCell ref="H127:M127"/>
    <mergeCell ref="H122:M122"/>
    <mergeCell ref="H134:M134"/>
    <mergeCell ref="H135:M135"/>
    <mergeCell ref="H133:M133"/>
    <mergeCell ref="H129:M129"/>
    <mergeCell ref="H130:M130"/>
    <mergeCell ref="H131:M131"/>
    <mergeCell ref="H132:M132"/>
    <mergeCell ref="H120:M120"/>
    <mergeCell ref="H111:M111"/>
    <mergeCell ref="H95:M95"/>
    <mergeCell ref="H89:M89"/>
    <mergeCell ref="H110:M110"/>
    <mergeCell ref="H108:M108"/>
    <mergeCell ref="H90:M90"/>
    <mergeCell ref="H91:M91"/>
    <mergeCell ref="H92:M92"/>
    <mergeCell ref="H146:M146"/>
    <mergeCell ref="H109:M109"/>
    <mergeCell ref="H121:M121"/>
    <mergeCell ref="H144:M144"/>
    <mergeCell ref="H145:M145"/>
    <mergeCell ref="H139:M139"/>
    <mergeCell ref="H140:M140"/>
    <mergeCell ref="H141:M141"/>
    <mergeCell ref="H142:M142"/>
    <mergeCell ref="H137:M137"/>
    <mergeCell ref="H100:M100"/>
    <mergeCell ref="H101:M101"/>
    <mergeCell ref="H102:M102"/>
    <mergeCell ref="H103:M103"/>
    <mergeCell ref="H104:M104"/>
    <mergeCell ref="H105:M105"/>
    <mergeCell ref="Y3:AA3"/>
    <mergeCell ref="AB3:AD3"/>
    <mergeCell ref="AE3:AG3"/>
    <mergeCell ref="H71:M71"/>
    <mergeCell ref="H93:M93"/>
    <mergeCell ref="H94:M94"/>
    <mergeCell ref="H85:M85"/>
    <mergeCell ref="H86:M86"/>
    <mergeCell ref="H87:M87"/>
    <mergeCell ref="H88:M88"/>
    <mergeCell ref="H84:M84"/>
    <mergeCell ref="H79:M79"/>
    <mergeCell ref="H81:M81"/>
    <mergeCell ref="H82:M82"/>
    <mergeCell ref="W3:X3"/>
    <mergeCell ref="H70:M70"/>
    <mergeCell ref="H68:M68"/>
    <mergeCell ref="H67:M67"/>
    <mergeCell ref="H72:M72"/>
  </mergeCells>
  <conditionalFormatting sqref="B115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C3B3-AA29-4584-81B8-8559DE31936C}">
  <dimension ref="A1:BB158"/>
  <sheetViews>
    <sheetView tabSelected="1" topLeftCell="A39" workbookViewId="0">
      <selection activeCell="K47" sqref="K47"/>
    </sheetView>
  </sheetViews>
  <sheetFormatPr baseColWidth="10" defaultRowHeight="14.5" x14ac:dyDescent="0.35"/>
  <cols>
    <col min="1" max="1" width="27" customWidth="1"/>
    <col min="2" max="2" width="24.26953125" customWidth="1"/>
    <col min="3" max="13" width="10.7265625" customWidth="1"/>
    <col min="14" max="14" width="11" customWidth="1"/>
    <col min="15" max="15" width="9.90625" customWidth="1"/>
    <col min="16" max="16" width="10.453125" customWidth="1"/>
    <col min="17" max="17" width="10.1796875" customWidth="1"/>
    <col min="18" max="25" width="10.453125" customWidth="1"/>
    <col min="26" max="26" width="3.54296875" customWidth="1"/>
    <col min="27" max="27" width="7.36328125" customWidth="1"/>
    <col min="28" max="28" width="14.1796875" customWidth="1"/>
    <col min="29" max="29" width="6" customWidth="1"/>
    <col min="30" max="30" width="7.1796875" customWidth="1"/>
    <col min="32" max="33" width="8.81640625" customWidth="1"/>
  </cols>
  <sheetData>
    <row r="1" spans="1:54" ht="23.5" x14ac:dyDescent="0.55000000000000004">
      <c r="A1" s="209" t="s">
        <v>0</v>
      </c>
      <c r="B1" s="209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1"/>
      <c r="W1" s="4"/>
      <c r="X1" s="4"/>
      <c r="Y1" s="4"/>
      <c r="Z1" s="4"/>
    </row>
    <row r="2" spans="1:54" x14ac:dyDescent="0.35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231" t="s">
        <v>1</v>
      </c>
      <c r="S2" s="232"/>
      <c r="T2" s="232"/>
      <c r="U2" s="232"/>
      <c r="V2" s="192"/>
      <c r="W2" s="192"/>
      <c r="X2" s="192"/>
      <c r="Y2" s="192"/>
      <c r="Z2" s="4"/>
    </row>
    <row r="3" spans="1:54" ht="18.5" x14ac:dyDescent="0.35">
      <c r="A3" s="213" t="s">
        <v>2</v>
      </c>
      <c r="B3" s="214"/>
      <c r="C3" s="6" t="s">
        <v>3</v>
      </c>
      <c r="D3" s="6" t="s">
        <v>170</v>
      </c>
      <c r="E3" s="6" t="s">
        <v>220</v>
      </c>
      <c r="F3" s="6" t="s">
        <v>318</v>
      </c>
      <c r="G3" s="8" t="s">
        <v>4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9</v>
      </c>
      <c r="M3" s="9" t="s">
        <v>10</v>
      </c>
      <c r="N3" s="9" t="s">
        <v>11</v>
      </c>
      <c r="O3" s="10" t="s">
        <v>12</v>
      </c>
      <c r="P3" s="10" t="s">
        <v>13</v>
      </c>
      <c r="Q3" s="10" t="s">
        <v>14</v>
      </c>
      <c r="R3" s="11" t="s">
        <v>15</v>
      </c>
      <c r="S3" s="191">
        <v>46057</v>
      </c>
      <c r="T3" s="191">
        <v>46063</v>
      </c>
      <c r="U3" s="191">
        <v>46067</v>
      </c>
      <c r="V3" s="191">
        <f>+U3+10</f>
        <v>46077</v>
      </c>
      <c r="W3" s="215"/>
      <c r="X3" s="216"/>
      <c r="Y3" s="215">
        <v>46000</v>
      </c>
      <c r="Z3" s="234"/>
      <c r="AA3" s="234"/>
      <c r="AB3" s="215">
        <v>46007</v>
      </c>
      <c r="AC3" s="234"/>
      <c r="AD3" s="234"/>
      <c r="AE3" s="215">
        <v>46014</v>
      </c>
      <c r="AF3" s="234"/>
      <c r="AG3" s="234"/>
      <c r="AH3" s="215">
        <v>46029</v>
      </c>
      <c r="AI3" s="234"/>
      <c r="AJ3" s="234"/>
      <c r="AK3" s="215">
        <v>46036</v>
      </c>
      <c r="AL3" s="234"/>
      <c r="AM3" s="234"/>
      <c r="AN3" s="215">
        <v>46050</v>
      </c>
      <c r="AO3" s="234"/>
      <c r="AP3" s="234"/>
      <c r="AQ3" s="215">
        <v>46057</v>
      </c>
      <c r="AR3" s="234"/>
      <c r="AS3" s="234"/>
      <c r="AT3" s="215">
        <v>46064</v>
      </c>
      <c r="AU3" s="234"/>
      <c r="AV3" s="234"/>
      <c r="AW3" s="215">
        <v>46071</v>
      </c>
      <c r="AX3" s="234"/>
      <c r="AY3" s="234"/>
      <c r="AZ3" s="215">
        <v>46078</v>
      </c>
      <c r="BA3" s="234"/>
      <c r="BB3" s="234"/>
    </row>
    <row r="4" spans="1:54" ht="18.5" x14ac:dyDescent="0.35">
      <c r="A4" s="12"/>
      <c r="B4" s="13"/>
      <c r="C4" s="14"/>
      <c r="D4" s="14"/>
      <c r="E4" s="14"/>
      <c r="F4" s="15"/>
      <c r="G4" s="16"/>
      <c r="H4" s="10"/>
      <c r="I4" s="10"/>
      <c r="J4" s="10"/>
      <c r="K4" s="10"/>
      <c r="L4" s="10"/>
      <c r="M4" s="10"/>
      <c r="N4" s="10"/>
      <c r="O4" s="10"/>
      <c r="P4" s="10"/>
      <c r="Q4" s="15"/>
      <c r="R4" s="15"/>
      <c r="S4" s="15"/>
      <c r="T4" s="15"/>
      <c r="U4" s="15"/>
      <c r="V4" s="15"/>
      <c r="W4" s="199" t="s">
        <v>86</v>
      </c>
      <c r="X4" s="200"/>
      <c r="Y4" s="200">
        <v>428.69</v>
      </c>
      <c r="Z4" s="201">
        <v>43</v>
      </c>
      <c r="AA4" s="202">
        <f>+Y4/Z4</f>
        <v>9.9695348837209306</v>
      </c>
      <c r="AB4" s="200">
        <v>443.71499999999997</v>
      </c>
      <c r="AC4" s="201">
        <v>47</v>
      </c>
      <c r="AD4" s="202">
        <f>+AB4/AC4</f>
        <v>9.4407446808510631</v>
      </c>
      <c r="AE4" s="200">
        <v>429.84899999999999</v>
      </c>
      <c r="AF4" s="201">
        <v>47</v>
      </c>
      <c r="AG4" s="202">
        <f>+AE4/AF4</f>
        <v>9.1457234042553193</v>
      </c>
      <c r="AH4" s="200">
        <v>411.49799999999999</v>
      </c>
      <c r="AI4" s="201">
        <v>47</v>
      </c>
      <c r="AJ4" s="202">
        <f>+AH4/AI4</f>
        <v>8.7552765957446805</v>
      </c>
      <c r="AK4" s="200">
        <v>375.94799999999998</v>
      </c>
      <c r="AL4" s="201">
        <v>42</v>
      </c>
      <c r="AM4" s="202">
        <f>+AK4/AL4</f>
        <v>8.9511428571428571</v>
      </c>
      <c r="AN4" s="200">
        <v>305.17399999999998</v>
      </c>
      <c r="AO4" s="201">
        <v>36</v>
      </c>
      <c r="AP4" s="202">
        <f>+AN4/AO4</f>
        <v>8.4770555555555553</v>
      </c>
      <c r="AQ4" s="200">
        <v>389.89</v>
      </c>
      <c r="AR4" s="201">
        <v>44</v>
      </c>
      <c r="AS4" s="202">
        <f>+AQ4/AR4</f>
        <v>8.8611363636363638</v>
      </c>
      <c r="AT4" s="200">
        <v>381.94600000000003</v>
      </c>
      <c r="AU4" s="201">
        <v>41</v>
      </c>
      <c r="AV4" s="202">
        <f>+AT4/AU4</f>
        <v>9.3157560975609766</v>
      </c>
      <c r="AW4" s="200">
        <v>451.46600000000001</v>
      </c>
      <c r="AX4" s="201">
        <v>45</v>
      </c>
      <c r="AY4" s="202">
        <f>+AW4/AX4</f>
        <v>10.032577777777778</v>
      </c>
      <c r="AZ4" s="200">
        <v>411.63600000000002</v>
      </c>
      <c r="BA4" s="201">
        <v>43</v>
      </c>
      <c r="BB4" s="202">
        <f>+AZ4/BA4</f>
        <v>9.5729302325581394</v>
      </c>
    </row>
    <row r="5" spans="1:54" ht="15.5" x14ac:dyDescent="0.35">
      <c r="A5" s="207" t="s">
        <v>19</v>
      </c>
      <c r="B5" s="17" t="s">
        <v>20</v>
      </c>
      <c r="C5" s="18">
        <v>78.468000000000004</v>
      </c>
      <c r="D5" s="145">
        <v>670.22863410000002</v>
      </c>
      <c r="E5" s="145">
        <v>596.06265619999999</v>
      </c>
      <c r="F5" s="18">
        <v>723.55200000000002</v>
      </c>
      <c r="G5" s="18">
        <v>546.87199999999996</v>
      </c>
      <c r="H5" s="145"/>
      <c r="I5" s="18"/>
      <c r="J5" s="18"/>
      <c r="K5" s="18"/>
      <c r="L5" s="145"/>
      <c r="M5" s="18"/>
      <c r="N5" s="18"/>
      <c r="O5" s="18"/>
      <c r="P5" s="18"/>
      <c r="Q5" s="18"/>
      <c r="R5" s="18"/>
      <c r="S5" s="18">
        <v>530.89499999999998</v>
      </c>
      <c r="T5" s="18">
        <v>592.88499999999999</v>
      </c>
      <c r="U5" s="18">
        <v>669.70799999999997</v>
      </c>
      <c r="V5" s="18">
        <v>608.01599999999996</v>
      </c>
      <c r="W5" s="199" t="s">
        <v>97</v>
      </c>
      <c r="X5" s="200"/>
      <c r="Y5" s="200">
        <v>353.18400000000003</v>
      </c>
      <c r="Z5" s="201">
        <v>42</v>
      </c>
      <c r="AA5" s="202">
        <f t="shared" ref="AA5:AA7" si="0">+Y5/Z5</f>
        <v>8.4091428571428573</v>
      </c>
      <c r="AB5" s="200">
        <v>374.00099999999998</v>
      </c>
      <c r="AC5" s="201">
        <v>36</v>
      </c>
      <c r="AD5" s="202">
        <f t="shared" ref="AD5:AD7" si="1">+AB5/AC5</f>
        <v>10.388916666666667</v>
      </c>
      <c r="AE5" s="200">
        <f>393.527-81+55</f>
        <v>367.52699999999999</v>
      </c>
      <c r="AF5" s="201">
        <v>38</v>
      </c>
      <c r="AG5" s="202">
        <f t="shared" ref="AG5:AG7" si="2">+AE5/AF5</f>
        <v>9.6717631578947358</v>
      </c>
      <c r="AH5" s="200">
        <v>274.197</v>
      </c>
      <c r="AI5" s="201">
        <v>37</v>
      </c>
      <c r="AJ5" s="202">
        <f t="shared" ref="AJ5:AJ7" si="3">+AH5/AI5</f>
        <v>7.4107297297297299</v>
      </c>
      <c r="AK5" s="200">
        <v>295.53399999999999</v>
      </c>
      <c r="AL5" s="201">
        <v>40</v>
      </c>
      <c r="AM5" s="202">
        <f t="shared" ref="AM5:AM7" si="4">+AK5/AL5</f>
        <v>7.38835</v>
      </c>
      <c r="AN5" s="200">
        <v>279.041</v>
      </c>
      <c r="AO5" s="201">
        <v>39</v>
      </c>
      <c r="AP5" s="202">
        <f t="shared" ref="AP5:AP7" si="5">+AN5/AO5</f>
        <v>7.1548974358974355</v>
      </c>
      <c r="AQ5" s="200">
        <v>262.61099999999999</v>
      </c>
      <c r="AR5" s="201">
        <v>39</v>
      </c>
      <c r="AS5" s="202">
        <f t="shared" ref="AS5:AS7" si="6">+AQ5/AR5</f>
        <v>6.7336153846153843</v>
      </c>
      <c r="AT5" s="200">
        <v>315.94600000000003</v>
      </c>
      <c r="AU5" s="201">
        <v>44</v>
      </c>
      <c r="AV5" s="202">
        <f t="shared" ref="AV5:AV7" si="7">+AT5/AU5</f>
        <v>7.1805909090909097</v>
      </c>
      <c r="AW5" s="200">
        <v>349.08300000000003</v>
      </c>
      <c r="AX5" s="201">
        <v>45</v>
      </c>
      <c r="AY5" s="202">
        <f t="shared" ref="AY5:AY7" si="8">+AW5/AX5</f>
        <v>7.7574000000000005</v>
      </c>
      <c r="AZ5" s="200">
        <v>320.35899999999998</v>
      </c>
      <c r="BA5" s="201">
        <v>48</v>
      </c>
      <c r="BB5" s="202">
        <f t="shared" ref="BB5:BB7" si="9">+AZ5/BA5</f>
        <v>6.6741458333333332</v>
      </c>
    </row>
    <row r="6" spans="1:54" ht="15.5" x14ac:dyDescent="0.35">
      <c r="A6" s="208"/>
      <c r="B6" s="21" t="s">
        <v>21</v>
      </c>
      <c r="C6" s="22">
        <v>231</v>
      </c>
      <c r="D6" s="146"/>
      <c r="E6" s="146"/>
      <c r="F6" s="22">
        <v>88</v>
      </c>
      <c r="G6" s="22">
        <v>57</v>
      </c>
      <c r="H6" s="146"/>
      <c r="I6" s="22"/>
      <c r="J6" s="22"/>
      <c r="K6" s="22"/>
      <c r="L6" s="146"/>
      <c r="M6" s="22"/>
      <c r="N6" s="22"/>
      <c r="O6" s="22"/>
      <c r="P6" s="22"/>
      <c r="Q6" s="22"/>
      <c r="R6" s="22"/>
      <c r="S6" s="22">
        <v>58</v>
      </c>
      <c r="T6" s="22">
        <v>67</v>
      </c>
      <c r="U6" s="22">
        <v>67</v>
      </c>
      <c r="V6" s="22">
        <v>66</v>
      </c>
      <c r="W6" s="199" t="s">
        <v>94</v>
      </c>
      <c r="X6" s="200"/>
      <c r="Y6" s="200">
        <v>586.803</v>
      </c>
      <c r="Z6" s="203">
        <v>62</v>
      </c>
      <c r="AA6" s="202">
        <f t="shared" si="0"/>
        <v>9.4645645161290322</v>
      </c>
      <c r="AB6" s="200">
        <v>631.56500000000005</v>
      </c>
      <c r="AC6" s="203">
        <v>66</v>
      </c>
      <c r="AD6" s="202">
        <f t="shared" si="1"/>
        <v>9.5691666666666677</v>
      </c>
      <c r="AE6" s="200">
        <v>620.82399999999996</v>
      </c>
      <c r="AF6" s="203">
        <v>66</v>
      </c>
      <c r="AG6" s="202">
        <f t="shared" si="2"/>
        <v>9.4064242424242419</v>
      </c>
      <c r="AH6" s="200">
        <v>632.36900000000003</v>
      </c>
      <c r="AI6" s="203">
        <v>66</v>
      </c>
      <c r="AJ6" s="202">
        <f t="shared" si="3"/>
        <v>9.5813484848484851</v>
      </c>
      <c r="AK6" s="200">
        <v>608.43799999999999</v>
      </c>
      <c r="AL6" s="203">
        <v>63</v>
      </c>
      <c r="AM6" s="202">
        <f t="shared" si="4"/>
        <v>9.6577460317460311</v>
      </c>
      <c r="AN6" s="200">
        <v>675.43100000000004</v>
      </c>
      <c r="AO6" s="203">
        <v>69</v>
      </c>
      <c r="AP6" s="202">
        <f t="shared" si="5"/>
        <v>9.7888550724637682</v>
      </c>
      <c r="AQ6" s="200">
        <v>598.64599999999996</v>
      </c>
      <c r="AR6" s="203">
        <v>57</v>
      </c>
      <c r="AS6" s="202">
        <f t="shared" si="6"/>
        <v>10.502561403508771</v>
      </c>
      <c r="AT6" s="200">
        <v>518.68600000000004</v>
      </c>
      <c r="AU6" s="203">
        <v>54</v>
      </c>
      <c r="AV6" s="202">
        <f t="shared" si="7"/>
        <v>9.6052962962962969</v>
      </c>
      <c r="AW6" s="200">
        <v>468.74799999999999</v>
      </c>
      <c r="AX6" s="203">
        <v>51</v>
      </c>
      <c r="AY6" s="202">
        <f t="shared" si="8"/>
        <v>9.1911372549019603</v>
      </c>
      <c r="AZ6" s="200">
        <v>498.03300000000002</v>
      </c>
      <c r="BA6" s="203">
        <v>51</v>
      </c>
      <c r="BB6" s="202">
        <f t="shared" si="9"/>
        <v>9.7653529411764701</v>
      </c>
    </row>
    <row r="7" spans="1:54" ht="15.5" x14ac:dyDescent="0.35">
      <c r="A7" s="207" t="s">
        <v>22</v>
      </c>
      <c r="B7" s="17" t="s">
        <v>20</v>
      </c>
      <c r="C7" s="18">
        <v>28.087</v>
      </c>
      <c r="D7" s="145">
        <v>598.36150829999997</v>
      </c>
      <c r="E7" s="145">
        <v>440.31949179999998</v>
      </c>
      <c r="F7" s="18">
        <v>429.46899999999999</v>
      </c>
      <c r="G7" s="18">
        <v>429.536</v>
      </c>
      <c r="H7" s="145"/>
      <c r="I7" s="18"/>
      <c r="J7" s="18"/>
      <c r="K7" s="18"/>
      <c r="L7" s="145"/>
      <c r="M7" s="18"/>
      <c r="N7" s="18"/>
      <c r="O7" s="18"/>
      <c r="P7" s="18"/>
      <c r="Q7" s="18"/>
      <c r="R7" s="18"/>
      <c r="S7" s="18">
        <v>465.43700000000001</v>
      </c>
      <c r="T7" s="18">
        <v>385.375</v>
      </c>
      <c r="U7" s="18">
        <v>354.39600000000002</v>
      </c>
      <c r="V7" s="18">
        <v>394.74799999999999</v>
      </c>
      <c r="W7" s="199" t="s">
        <v>105</v>
      </c>
      <c r="X7" s="200"/>
      <c r="Y7" s="200">
        <v>493.01900000000001</v>
      </c>
      <c r="Z7" s="201">
        <v>75</v>
      </c>
      <c r="AA7" s="202">
        <f t="shared" si="0"/>
        <v>6.5735866666666665</v>
      </c>
      <c r="AB7" s="200">
        <v>396.24700000000001</v>
      </c>
      <c r="AC7" s="201">
        <v>68</v>
      </c>
      <c r="AD7" s="202">
        <f t="shared" si="1"/>
        <v>5.8271617647058829</v>
      </c>
      <c r="AE7" s="200">
        <v>372.68099999999998</v>
      </c>
      <c r="AF7" s="201">
        <v>71</v>
      </c>
      <c r="AG7" s="202">
        <f t="shared" si="2"/>
        <v>5.2490281690140845</v>
      </c>
      <c r="AH7" s="200">
        <v>391.97699999999998</v>
      </c>
      <c r="AI7" s="201">
        <v>77</v>
      </c>
      <c r="AJ7" s="202">
        <f t="shared" si="3"/>
        <v>5.0906103896103891</v>
      </c>
      <c r="AK7" s="200">
        <v>383.41500000000002</v>
      </c>
      <c r="AL7" s="201">
        <v>68</v>
      </c>
      <c r="AM7" s="202">
        <f t="shared" si="4"/>
        <v>5.6384558823529414</v>
      </c>
      <c r="AN7" s="200">
        <v>319.80500000000001</v>
      </c>
      <c r="AO7" s="201">
        <v>45</v>
      </c>
      <c r="AP7" s="202">
        <f t="shared" si="5"/>
        <v>7.1067777777777783</v>
      </c>
      <c r="AQ7" s="200">
        <v>301.28899999999999</v>
      </c>
      <c r="AR7" s="201">
        <v>41</v>
      </c>
      <c r="AS7" s="202">
        <f t="shared" si="6"/>
        <v>7.348512195121951</v>
      </c>
      <c r="AT7" s="200">
        <v>360.49200000000002</v>
      </c>
      <c r="AU7" s="201">
        <v>42</v>
      </c>
      <c r="AV7" s="202">
        <f t="shared" si="7"/>
        <v>8.5831428571428567</v>
      </c>
      <c r="AW7" s="200">
        <v>349.46699999999998</v>
      </c>
      <c r="AX7" s="201">
        <v>45</v>
      </c>
      <c r="AY7" s="202">
        <f t="shared" si="8"/>
        <v>7.7659333333333329</v>
      </c>
      <c r="AZ7" s="200">
        <v>395.983</v>
      </c>
      <c r="BA7" s="201">
        <v>52</v>
      </c>
      <c r="BB7" s="202">
        <f t="shared" si="9"/>
        <v>7.6150576923076922</v>
      </c>
    </row>
    <row r="8" spans="1:54" ht="15.5" x14ac:dyDescent="0.35">
      <c r="A8" s="208"/>
      <c r="B8" s="21" t="s">
        <v>21</v>
      </c>
      <c r="C8" s="22">
        <v>74</v>
      </c>
      <c r="D8" s="146"/>
      <c r="E8" s="146"/>
      <c r="F8" s="22">
        <v>53</v>
      </c>
      <c r="G8" s="22">
        <v>57</v>
      </c>
      <c r="H8" s="146"/>
      <c r="I8" s="22"/>
      <c r="J8" s="22"/>
      <c r="K8" s="22"/>
      <c r="L8" s="146"/>
      <c r="M8" s="22"/>
      <c r="N8" s="22"/>
      <c r="O8" s="22"/>
      <c r="P8" s="22"/>
      <c r="Q8" s="22"/>
      <c r="R8" s="22"/>
      <c r="S8" s="22">
        <v>53</v>
      </c>
      <c r="T8" s="22">
        <v>40</v>
      </c>
      <c r="U8" s="22">
        <v>40</v>
      </c>
      <c r="V8" s="22">
        <v>49</v>
      </c>
      <c r="W8" s="1"/>
      <c r="X8" s="194"/>
      <c r="Y8" s="194"/>
      <c r="Z8" s="204"/>
      <c r="AA8" s="205"/>
      <c r="AB8" s="194"/>
      <c r="AC8" s="204"/>
      <c r="AD8" s="205"/>
      <c r="AE8" s="22"/>
      <c r="AF8" s="146"/>
      <c r="AG8" s="22"/>
      <c r="AH8" s="146"/>
    </row>
    <row r="9" spans="1:54" ht="15.5" x14ac:dyDescent="0.35">
      <c r="A9" s="207" t="s">
        <v>23</v>
      </c>
      <c r="B9" s="17" t="s">
        <v>20</v>
      </c>
      <c r="C9" s="18">
        <v>8.16</v>
      </c>
      <c r="D9" s="145">
        <v>201.67005330000001</v>
      </c>
      <c r="E9" s="145">
        <v>188.90085960000002</v>
      </c>
      <c r="F9" s="18">
        <v>166.89699999999999</v>
      </c>
      <c r="G9" s="18">
        <v>211.43899999999999</v>
      </c>
      <c r="H9" s="145"/>
      <c r="I9" s="18"/>
      <c r="J9" s="18"/>
      <c r="K9" s="18"/>
      <c r="L9" s="145"/>
      <c r="M9" s="18"/>
      <c r="N9" s="18"/>
      <c r="O9" s="18"/>
      <c r="P9" s="18"/>
      <c r="Q9" s="18"/>
      <c r="R9" s="18"/>
      <c r="S9" s="18">
        <v>196.33099999999999</v>
      </c>
      <c r="T9" s="18">
        <v>165.91499999999999</v>
      </c>
      <c r="U9" s="18">
        <v>189.00299999999999</v>
      </c>
      <c r="V9" s="18">
        <v>180.042</v>
      </c>
      <c r="W9" s="1"/>
      <c r="X9" s="194"/>
      <c r="Y9" s="194"/>
      <c r="Z9" s="204"/>
      <c r="AA9" s="205"/>
      <c r="AB9" s="194"/>
      <c r="AC9" s="204"/>
      <c r="AD9" s="205"/>
      <c r="AE9" s="18"/>
      <c r="AF9" s="145"/>
      <c r="AG9" s="18"/>
      <c r="AH9" s="145"/>
    </row>
    <row r="10" spans="1:54" ht="15.5" x14ac:dyDescent="0.35">
      <c r="A10" s="208"/>
      <c r="B10" s="21" t="s">
        <v>21</v>
      </c>
      <c r="C10" s="22">
        <v>20</v>
      </c>
      <c r="D10" s="146"/>
      <c r="E10" s="146"/>
      <c r="F10" s="22">
        <v>21</v>
      </c>
      <c r="G10" s="22">
        <v>23</v>
      </c>
      <c r="H10" s="146"/>
      <c r="I10" s="22"/>
      <c r="J10" s="22"/>
      <c r="K10" s="22"/>
      <c r="L10" s="146"/>
      <c r="M10" s="22"/>
      <c r="N10" s="22"/>
      <c r="O10" s="22"/>
      <c r="P10" s="22"/>
      <c r="Q10" s="22"/>
      <c r="R10" s="22"/>
      <c r="S10" s="22">
        <v>19</v>
      </c>
      <c r="T10" s="22">
        <v>17</v>
      </c>
      <c r="U10" s="22">
        <v>20</v>
      </c>
      <c r="V10" s="22">
        <v>15</v>
      </c>
      <c r="W10" s="1"/>
      <c r="X10" s="194"/>
      <c r="Y10" s="194"/>
      <c r="Z10" s="186"/>
      <c r="AA10" s="205"/>
      <c r="AB10" s="194"/>
      <c r="AC10" s="186"/>
      <c r="AD10" s="205"/>
      <c r="AE10" s="22"/>
      <c r="AF10" s="146"/>
      <c r="AG10" s="22"/>
      <c r="AH10" s="146"/>
    </row>
    <row r="11" spans="1:54" ht="15.5" x14ac:dyDescent="0.35">
      <c r="A11" s="207" t="s">
        <v>24</v>
      </c>
      <c r="B11" s="17" t="s">
        <v>20</v>
      </c>
      <c r="C11" s="18">
        <v>7.7080000000000002</v>
      </c>
      <c r="D11" s="145">
        <v>522.46749299999999</v>
      </c>
      <c r="E11" s="145">
        <v>334.08827990000003</v>
      </c>
      <c r="F11" s="18">
        <v>304.47500000000002</v>
      </c>
      <c r="G11" s="18">
        <v>236.43</v>
      </c>
      <c r="H11" s="145"/>
      <c r="I11" s="18"/>
      <c r="J11" s="18"/>
      <c r="K11" s="18"/>
      <c r="L11" s="145"/>
      <c r="M11" s="18"/>
      <c r="N11" s="18"/>
      <c r="O11" s="18"/>
      <c r="P11" s="18"/>
      <c r="Q11" s="18"/>
      <c r="R11" s="18"/>
      <c r="S11" s="18">
        <v>197.38800000000001</v>
      </c>
      <c r="T11" s="18">
        <v>284.70800000000003</v>
      </c>
      <c r="U11" s="18">
        <v>293.10300000000001</v>
      </c>
      <c r="V11" s="18">
        <v>324.76400000000001</v>
      </c>
      <c r="W11" s="1"/>
      <c r="X11" s="194"/>
      <c r="Y11" s="194"/>
      <c r="Z11" s="204"/>
      <c r="AA11" s="205"/>
      <c r="AB11" s="194"/>
      <c r="AC11" s="204"/>
      <c r="AD11" s="205"/>
      <c r="AE11" s="18"/>
      <c r="AF11" s="145"/>
      <c r="AG11" s="18"/>
      <c r="AH11" s="145"/>
    </row>
    <row r="12" spans="1:54" ht="15.5" x14ac:dyDescent="0.35">
      <c r="A12" s="208"/>
      <c r="B12" s="21" t="s">
        <v>21</v>
      </c>
      <c r="C12" s="22">
        <v>20</v>
      </c>
      <c r="D12" s="146"/>
      <c r="E12" s="146"/>
      <c r="F12" s="22">
        <v>29</v>
      </c>
      <c r="G12" s="22">
        <v>25</v>
      </c>
      <c r="H12" s="146"/>
      <c r="I12" s="22"/>
      <c r="J12" s="22"/>
      <c r="K12" s="22"/>
      <c r="L12" s="146"/>
      <c r="M12" s="22"/>
      <c r="N12" s="22"/>
      <c r="O12" s="22"/>
      <c r="P12" s="22"/>
      <c r="Q12" s="22"/>
      <c r="R12" s="22"/>
      <c r="S12" s="22">
        <v>22</v>
      </c>
      <c r="T12" s="22">
        <v>27</v>
      </c>
      <c r="U12" s="22">
        <v>30</v>
      </c>
      <c r="V12" s="22">
        <v>24</v>
      </c>
      <c r="W12" s="1"/>
      <c r="X12" s="194"/>
      <c r="Y12" s="194"/>
      <c r="Z12" s="204"/>
      <c r="AA12" s="205"/>
      <c r="AB12" s="194"/>
      <c r="AC12" s="204"/>
      <c r="AD12" s="205"/>
      <c r="AE12" s="22"/>
      <c r="AF12" s="146"/>
      <c r="AG12" s="22"/>
      <c r="AH12" s="146"/>
    </row>
    <row r="13" spans="1:54" ht="15.5" x14ac:dyDescent="0.35">
      <c r="A13" s="207" t="s">
        <v>25</v>
      </c>
      <c r="B13" s="17" t="s">
        <v>20</v>
      </c>
      <c r="C13" s="18">
        <v>11.074</v>
      </c>
      <c r="D13" s="145">
        <v>290.82710040000001</v>
      </c>
      <c r="E13" s="145">
        <v>211.91115669999999</v>
      </c>
      <c r="F13" s="18">
        <v>192.48599999999999</v>
      </c>
      <c r="G13" s="18">
        <v>155.17400000000001</v>
      </c>
      <c r="H13" s="145"/>
      <c r="I13" s="18"/>
      <c r="J13" s="18"/>
      <c r="K13" s="18"/>
      <c r="L13" s="145"/>
      <c r="M13" s="18"/>
      <c r="N13" s="18"/>
      <c r="O13" s="18"/>
      <c r="P13" s="18"/>
      <c r="Q13" s="18"/>
      <c r="R13" s="18"/>
      <c r="S13" s="18">
        <v>162.661</v>
      </c>
      <c r="T13" s="18">
        <v>148.18799999999999</v>
      </c>
      <c r="U13" s="18">
        <v>112.655</v>
      </c>
      <c r="V13" s="18">
        <v>118.44199999999999</v>
      </c>
      <c r="W13" s="1"/>
      <c r="X13" s="194"/>
      <c r="Y13" s="194"/>
      <c r="Z13" s="186"/>
      <c r="AA13" s="205"/>
      <c r="AB13" s="194"/>
      <c r="AC13" s="186"/>
      <c r="AD13" s="205"/>
      <c r="AE13" s="18"/>
      <c r="AF13" s="145"/>
      <c r="AG13" s="18"/>
      <c r="AH13" s="145"/>
    </row>
    <row r="14" spans="1:54" ht="15.5" x14ac:dyDescent="0.35">
      <c r="A14" s="208"/>
      <c r="B14" s="21" t="s">
        <v>21</v>
      </c>
      <c r="C14" s="22">
        <v>43</v>
      </c>
      <c r="D14" s="146"/>
      <c r="E14" s="146"/>
      <c r="F14" s="22">
        <v>31</v>
      </c>
      <c r="G14" s="22">
        <v>27</v>
      </c>
      <c r="H14" s="146"/>
      <c r="I14" s="22"/>
      <c r="J14" s="22"/>
      <c r="K14" s="22"/>
      <c r="L14" s="146"/>
      <c r="M14" s="22"/>
      <c r="N14" s="22"/>
      <c r="O14" s="22"/>
      <c r="P14" s="22"/>
      <c r="Q14" s="22"/>
      <c r="R14" s="22"/>
      <c r="S14" s="22">
        <v>29</v>
      </c>
      <c r="T14" s="22">
        <v>30</v>
      </c>
      <c r="U14" s="22">
        <v>29</v>
      </c>
      <c r="V14" s="22">
        <v>30</v>
      </c>
      <c r="W14" s="1"/>
      <c r="X14" s="194"/>
      <c r="Y14" s="194"/>
      <c r="Z14" s="204"/>
      <c r="AA14" s="205"/>
      <c r="AB14" s="194"/>
      <c r="AC14" s="204"/>
      <c r="AD14" s="205"/>
      <c r="AE14" s="22"/>
      <c r="AF14" s="146"/>
      <c r="AG14" s="22"/>
      <c r="AH14" s="146"/>
    </row>
    <row r="15" spans="1:54" ht="15.5" x14ac:dyDescent="0.35">
      <c r="A15" s="207" t="s">
        <v>26</v>
      </c>
      <c r="B15" s="17" t="s">
        <v>20</v>
      </c>
      <c r="C15" s="27">
        <f t="shared" ref="C15:C16" si="10">+C5+C7+C9+C11+C13</f>
        <v>133.49700000000001</v>
      </c>
      <c r="D15" s="147">
        <v>2283.5547890999997</v>
      </c>
      <c r="E15" s="147">
        <f>1771.2824442+195</f>
        <v>1966.2824442000001</v>
      </c>
      <c r="F15" s="147">
        <f t="shared" ref="F15:G16" si="11">+F5+F7+F9+F11+F13</f>
        <v>1816.8789999999999</v>
      </c>
      <c r="G15" s="147">
        <f t="shared" si="11"/>
        <v>1579.451</v>
      </c>
      <c r="H15" s="147">
        <f t="shared" ref="H15:Q16" si="12">+H5+H7+H9+H11+H13</f>
        <v>0</v>
      </c>
      <c r="I15" s="147">
        <f t="shared" si="12"/>
        <v>0</v>
      </c>
      <c r="J15" s="147">
        <f t="shared" si="12"/>
        <v>0</v>
      </c>
      <c r="K15" s="147">
        <f t="shared" si="12"/>
        <v>0</v>
      </c>
      <c r="L15" s="147">
        <f t="shared" si="12"/>
        <v>0</v>
      </c>
      <c r="M15" s="147">
        <f t="shared" si="12"/>
        <v>0</v>
      </c>
      <c r="N15" s="147">
        <f t="shared" si="12"/>
        <v>0</v>
      </c>
      <c r="O15" s="147">
        <f t="shared" si="12"/>
        <v>0</v>
      </c>
      <c r="P15" s="147">
        <f t="shared" si="12"/>
        <v>0</v>
      </c>
      <c r="Q15" s="147">
        <f t="shared" si="12"/>
        <v>0</v>
      </c>
      <c r="R15" s="147"/>
      <c r="S15" s="147">
        <f t="shared" ref="S15:T15" si="13">+S5+S7+S9+S11+S13</f>
        <v>1552.712</v>
      </c>
      <c r="T15" s="147">
        <f t="shared" si="13"/>
        <v>1577.0709999999999</v>
      </c>
      <c r="U15" s="147">
        <f t="shared" ref="U15:U16" si="14">+U5+U7+U9+U11+U13</f>
        <v>1618.865</v>
      </c>
      <c r="V15" s="147">
        <f t="shared" ref="V15" si="15">+V5+V7+V9+V11+V13</f>
        <v>1626.0119999999997</v>
      </c>
      <c r="W15" s="1"/>
      <c r="X15" s="194"/>
      <c r="Y15" s="194"/>
      <c r="Z15" s="204"/>
      <c r="AA15" s="205"/>
      <c r="AB15" s="194"/>
      <c r="AC15" s="204"/>
      <c r="AD15" s="205"/>
      <c r="AE15" s="27"/>
      <c r="AF15" s="147"/>
      <c r="AG15" s="27"/>
      <c r="AH15" s="147"/>
    </row>
    <row r="16" spans="1:54" ht="15.5" x14ac:dyDescent="0.35">
      <c r="A16" s="208"/>
      <c r="B16" s="21" t="s">
        <v>21</v>
      </c>
      <c r="C16" s="28">
        <f t="shared" si="10"/>
        <v>388</v>
      </c>
      <c r="D16" s="148">
        <v>288</v>
      </c>
      <c r="E16" s="148">
        <v>230</v>
      </c>
      <c r="F16" s="148">
        <f t="shared" ref="F16" si="16">+F6+F8+F10+F12+F14</f>
        <v>222</v>
      </c>
      <c r="G16" s="148">
        <f t="shared" si="11"/>
        <v>189</v>
      </c>
      <c r="H16" s="148">
        <f t="shared" si="12"/>
        <v>0</v>
      </c>
      <c r="I16" s="148">
        <f t="shared" si="12"/>
        <v>0</v>
      </c>
      <c r="J16" s="148">
        <f t="shared" si="12"/>
        <v>0</v>
      </c>
      <c r="K16" s="148">
        <f t="shared" si="12"/>
        <v>0</v>
      </c>
      <c r="L16" s="148">
        <f t="shared" si="12"/>
        <v>0</v>
      </c>
      <c r="M16" s="148">
        <f t="shared" si="12"/>
        <v>0</v>
      </c>
      <c r="N16" s="148">
        <f t="shared" si="12"/>
        <v>0</v>
      </c>
      <c r="O16" s="148">
        <f t="shared" si="12"/>
        <v>0</v>
      </c>
      <c r="P16" s="148">
        <f t="shared" si="12"/>
        <v>0</v>
      </c>
      <c r="Q16" s="148">
        <f t="shared" si="12"/>
        <v>0</v>
      </c>
      <c r="R16" s="148"/>
      <c r="S16" s="148">
        <f t="shared" ref="S16:T16" si="17">+S6+S8+S10+S12+S14</f>
        <v>181</v>
      </c>
      <c r="T16" s="148">
        <f t="shared" si="17"/>
        <v>181</v>
      </c>
      <c r="U16" s="148">
        <f t="shared" si="14"/>
        <v>186</v>
      </c>
      <c r="V16" s="148">
        <f t="shared" ref="V16" si="18">+V6+V8+V10+V12+V14</f>
        <v>184</v>
      </c>
      <c r="W16" s="28"/>
      <c r="X16" s="148"/>
      <c r="Y16" s="28"/>
      <c r="Z16" s="148"/>
      <c r="AA16" s="28"/>
      <c r="AB16" s="148"/>
      <c r="AC16" s="28"/>
      <c r="AD16" s="148"/>
      <c r="AE16" s="28"/>
      <c r="AF16" s="148"/>
      <c r="AG16" s="28"/>
      <c r="AH16" s="148"/>
    </row>
    <row r="17" spans="1:28" ht="15.5" hidden="1" x14ac:dyDescent="0.35">
      <c r="A17" s="29" t="s">
        <v>27</v>
      </c>
      <c r="B17" s="30"/>
      <c r="C17" s="31">
        <f t="shared" ref="C17:L17" si="19">+C15/C16</f>
        <v>0.34406443298969075</v>
      </c>
      <c r="D17" s="149">
        <v>7.9290096843749991</v>
      </c>
      <c r="E17" s="149"/>
      <c r="F17" s="149">
        <f t="shared" ref="F17" si="20">+F15/F16</f>
        <v>8.1841396396396391</v>
      </c>
      <c r="G17" s="31">
        <f t="shared" si="19"/>
        <v>8.3568835978835985</v>
      </c>
      <c r="H17" s="31" t="e">
        <f t="shared" si="19"/>
        <v>#DIV/0!</v>
      </c>
      <c r="I17" s="31" t="e">
        <f t="shared" si="19"/>
        <v>#DIV/0!</v>
      </c>
      <c r="J17" s="31" t="e">
        <f t="shared" si="19"/>
        <v>#DIV/0!</v>
      </c>
      <c r="K17" s="31" t="e">
        <f t="shared" si="19"/>
        <v>#DIV/0!</v>
      </c>
      <c r="L17" s="31" t="e">
        <f t="shared" si="19"/>
        <v>#DIV/0!</v>
      </c>
      <c r="M17" s="31">
        <v>7.3395326097560973</v>
      </c>
      <c r="N17" s="31">
        <v>7.7443498039215681</v>
      </c>
      <c r="O17" s="31">
        <v>7.8119581276346608</v>
      </c>
      <c r="P17" s="149">
        <v>7.9677477941176473</v>
      </c>
      <c r="Q17" s="149">
        <v>7.9290096843749991</v>
      </c>
      <c r="R17" s="149" t="e">
        <f t="shared" ref="R17" si="21">+R15/R16</f>
        <v>#DIV/0!</v>
      </c>
      <c r="S17" s="31"/>
      <c r="T17" s="149"/>
      <c r="U17" s="31">
        <f t="shared" ref="U17:V17" si="22">+U15/U16</f>
        <v>8.7035752688172039</v>
      </c>
      <c r="V17" s="149">
        <f t="shared" si="22"/>
        <v>8.8370217391304333</v>
      </c>
      <c r="W17" s="31" t="e">
        <f>+#REF!/W16</f>
        <v>#REF!</v>
      </c>
      <c r="X17" s="149" t="e">
        <f>+#REF!/X16</f>
        <v>#REF!</v>
      </c>
      <c r="Y17" s="31" t="e">
        <f>+#REF!/Y16</f>
        <v>#REF!</v>
      </c>
      <c r="Z17" s="149" t="e">
        <f>+#REF!/Z16</f>
        <v>#REF!</v>
      </c>
      <c r="AA17" s="31" t="e">
        <f>+#REF!/AA16</f>
        <v>#REF!</v>
      </c>
      <c r="AB17" s="149" t="e">
        <f>+#REF!/AB16</f>
        <v>#REF!</v>
      </c>
    </row>
    <row r="18" spans="1:28" hidden="1" x14ac:dyDescent="0.35">
      <c r="A18" s="207" t="s">
        <v>28</v>
      </c>
      <c r="B18" s="17" t="s">
        <v>20</v>
      </c>
      <c r="C18" s="32">
        <v>3.71</v>
      </c>
      <c r="D18" s="32"/>
      <c r="E18" s="32"/>
      <c r="F18" s="32"/>
      <c r="G18" s="32">
        <v>5.91</v>
      </c>
      <c r="H18" s="32">
        <v>5.9</v>
      </c>
      <c r="I18" s="32">
        <v>6.48</v>
      </c>
      <c r="J18" s="32">
        <v>4.04</v>
      </c>
      <c r="K18" s="32">
        <v>4.53</v>
      </c>
      <c r="L18" s="19"/>
      <c r="M18" s="19"/>
      <c r="N18" s="18"/>
      <c r="O18" s="18"/>
      <c r="P18" s="32"/>
      <c r="Q18" s="32"/>
      <c r="R18" s="32"/>
      <c r="S18" s="32"/>
      <c r="T18" s="32"/>
      <c r="U18" s="32"/>
      <c r="V18" s="32"/>
      <c r="W18" s="32"/>
      <c r="X18" s="33"/>
      <c r="Y18" s="4"/>
      <c r="Z18" s="4"/>
    </row>
    <row r="19" spans="1:28" hidden="1" x14ac:dyDescent="0.35">
      <c r="A19" s="208"/>
      <c r="B19" s="21" t="s">
        <v>21</v>
      </c>
      <c r="C19" s="22">
        <v>44</v>
      </c>
      <c r="D19" s="22"/>
      <c r="E19" s="22"/>
      <c r="F19" s="22"/>
      <c r="G19" s="22">
        <v>57</v>
      </c>
      <c r="H19" s="22">
        <v>59</v>
      </c>
      <c r="I19" s="22">
        <v>69</v>
      </c>
      <c r="J19" s="22">
        <v>46</v>
      </c>
      <c r="K19" s="22">
        <v>51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33"/>
      <c r="Y19" s="4"/>
      <c r="Z19" s="4"/>
    </row>
    <row r="20" spans="1:28" ht="15.5" hidden="1" x14ac:dyDescent="0.35">
      <c r="A20" s="34" t="s">
        <v>29</v>
      </c>
      <c r="B20" s="1"/>
      <c r="C20" s="31">
        <f t="shared" ref="C20:K20" si="23">+C18/C19</f>
        <v>8.431818181818182E-2</v>
      </c>
      <c r="D20" s="31"/>
      <c r="E20" s="31"/>
      <c r="F20" s="31"/>
      <c r="G20" s="31">
        <f t="shared" si="23"/>
        <v>0.1036842105263158</v>
      </c>
      <c r="H20" s="31">
        <f t="shared" si="23"/>
        <v>0.1</v>
      </c>
      <c r="I20" s="31">
        <f t="shared" si="23"/>
        <v>9.3913043478260877E-2</v>
      </c>
      <c r="J20" s="31">
        <f t="shared" si="23"/>
        <v>8.7826086956521734E-2</v>
      </c>
      <c r="K20" s="31">
        <f t="shared" si="23"/>
        <v>8.8823529411764704E-2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162"/>
      <c r="W20" s="162"/>
      <c r="X20" s="163"/>
      <c r="Y20" s="4"/>
      <c r="Z20" s="4"/>
    </row>
    <row r="21" spans="1:28" ht="15.5" x14ac:dyDescent="0.35">
      <c r="A21" s="1"/>
      <c r="B21" s="1"/>
      <c r="C21" s="150">
        <f>+F21</f>
        <v>1621.8789999999999</v>
      </c>
      <c r="D21" s="150"/>
      <c r="E21" s="194">
        <f>+E15-195</f>
        <v>1771.2824442000001</v>
      </c>
      <c r="F21" s="194">
        <f>+F15-195</f>
        <v>1621.8789999999999</v>
      </c>
      <c r="G21" s="151">
        <v>18.407699999999998</v>
      </c>
      <c r="H21" s="150">
        <v>18.09</v>
      </c>
      <c r="I21" s="150">
        <v>18.07</v>
      </c>
      <c r="J21" s="150">
        <v>17.653199999999998</v>
      </c>
      <c r="K21" s="150">
        <v>17.1187</v>
      </c>
      <c r="L21" s="150">
        <v>16.73</v>
      </c>
      <c r="M21" s="150">
        <v>17.02</v>
      </c>
      <c r="N21" s="150">
        <v>17.02</v>
      </c>
      <c r="O21" s="150">
        <v>17.02</v>
      </c>
      <c r="P21" s="192"/>
      <c r="Q21" s="150"/>
      <c r="R21" s="194"/>
      <c r="S21" s="194"/>
      <c r="T21" s="194"/>
      <c r="U21" s="35"/>
      <c r="V21" s="36"/>
      <c r="W21" s="4"/>
      <c r="X21" s="4"/>
      <c r="Y21" s="4"/>
      <c r="Z21" s="4"/>
    </row>
    <row r="22" spans="1:28" ht="15.5" hidden="1" x14ac:dyDescent="0.35">
      <c r="A22" s="1"/>
      <c r="B22" s="1" t="s">
        <v>86</v>
      </c>
      <c r="C22" s="150"/>
      <c r="D22" s="150"/>
      <c r="E22" s="194"/>
      <c r="F22" s="194"/>
      <c r="G22" s="151"/>
      <c r="H22" s="150"/>
      <c r="I22" s="150"/>
      <c r="J22" s="150"/>
      <c r="K22" s="150"/>
      <c r="L22" s="150"/>
      <c r="M22" s="150"/>
      <c r="N22" s="150"/>
      <c r="O22" s="150"/>
      <c r="P22" s="192"/>
      <c r="W22" s="4"/>
      <c r="X22" s="4"/>
      <c r="Y22" s="4"/>
      <c r="Z22" s="4"/>
    </row>
    <row r="23" spans="1:28" ht="15.5" hidden="1" x14ac:dyDescent="0.35">
      <c r="A23" s="1"/>
      <c r="B23" s="1" t="s">
        <v>97</v>
      </c>
      <c r="C23" s="150"/>
      <c r="D23" s="150"/>
      <c r="E23" s="194"/>
      <c r="F23" s="194"/>
      <c r="G23" s="151"/>
      <c r="H23" s="150"/>
      <c r="I23" s="150"/>
      <c r="J23" s="150"/>
      <c r="K23" s="150"/>
      <c r="L23" s="150"/>
      <c r="M23" s="150"/>
      <c r="N23" s="150"/>
      <c r="O23" s="150"/>
      <c r="P23" s="192"/>
      <c r="W23" s="4"/>
      <c r="X23" s="4"/>
      <c r="Y23" s="4"/>
      <c r="Z23" s="4"/>
    </row>
    <row r="24" spans="1:28" ht="15.5" hidden="1" x14ac:dyDescent="0.35">
      <c r="A24" s="1"/>
      <c r="B24" s="1" t="s">
        <v>94</v>
      </c>
      <c r="C24" s="150"/>
      <c r="D24" s="150"/>
      <c r="E24" s="194"/>
      <c r="F24" s="194"/>
      <c r="G24" s="151"/>
      <c r="H24" s="150"/>
      <c r="I24" s="150"/>
      <c r="J24" s="150"/>
      <c r="K24" s="150"/>
      <c r="L24" s="150"/>
      <c r="M24" s="150"/>
      <c r="N24" s="150"/>
      <c r="O24" s="150"/>
      <c r="P24" s="192"/>
      <c r="W24" s="4"/>
      <c r="X24" s="4"/>
      <c r="Y24" s="4"/>
      <c r="Z24" s="4"/>
    </row>
    <row r="25" spans="1:28" ht="15.5" hidden="1" x14ac:dyDescent="0.35">
      <c r="A25" s="1"/>
      <c r="B25" s="1" t="s">
        <v>105</v>
      </c>
      <c r="C25" s="150"/>
      <c r="D25" s="150"/>
      <c r="E25" s="194"/>
      <c r="F25" s="194"/>
      <c r="G25" s="151"/>
      <c r="H25" s="150"/>
      <c r="I25" s="150"/>
      <c r="J25" s="150"/>
      <c r="K25" s="150"/>
      <c r="L25" s="150"/>
      <c r="M25" s="150"/>
      <c r="N25" s="150"/>
      <c r="O25" s="150"/>
      <c r="P25" s="192"/>
      <c r="W25" s="4"/>
      <c r="X25" s="4"/>
      <c r="Y25" s="4"/>
      <c r="Z25" s="4"/>
    </row>
    <row r="26" spans="1:28" ht="15.5" hidden="1" x14ac:dyDescent="0.35">
      <c r="A26" s="1"/>
      <c r="B26" s="1"/>
      <c r="C26" s="150"/>
      <c r="D26" s="150"/>
      <c r="E26" s="194"/>
      <c r="F26" s="194"/>
      <c r="G26" s="151"/>
      <c r="H26" s="150"/>
      <c r="I26" s="150"/>
      <c r="J26" s="150"/>
      <c r="K26" s="150"/>
      <c r="L26" s="150"/>
      <c r="M26" s="150"/>
      <c r="N26" s="150"/>
      <c r="O26" s="150"/>
      <c r="P26" s="192"/>
      <c r="W26" s="4"/>
      <c r="X26" s="4"/>
      <c r="Y26" s="4"/>
      <c r="Z26" s="4"/>
    </row>
    <row r="27" spans="1:28" ht="15.5" hidden="1" x14ac:dyDescent="0.35">
      <c r="A27" s="1"/>
      <c r="B27" s="1"/>
      <c r="C27" s="150"/>
      <c r="D27" s="150"/>
      <c r="E27" s="194"/>
      <c r="F27" s="194"/>
      <c r="G27" s="151"/>
      <c r="H27" s="150"/>
      <c r="I27" s="150"/>
      <c r="J27" s="150"/>
      <c r="K27" s="150"/>
      <c r="L27" s="150"/>
      <c r="M27" s="150"/>
      <c r="N27" s="150"/>
      <c r="O27" s="150"/>
      <c r="P27" s="192"/>
      <c r="W27" s="4"/>
      <c r="X27" s="4"/>
      <c r="Y27" s="4"/>
      <c r="Z27" s="4"/>
    </row>
    <row r="28" spans="1:28" ht="15.5" hidden="1" x14ac:dyDescent="0.35">
      <c r="A28" s="1"/>
      <c r="B28" s="1"/>
      <c r="C28" s="150"/>
      <c r="D28" s="150"/>
      <c r="E28" s="194"/>
      <c r="F28" s="194"/>
      <c r="G28" s="151"/>
      <c r="H28" s="150"/>
      <c r="I28" s="150"/>
      <c r="J28" s="150"/>
      <c r="K28" s="150"/>
      <c r="L28" s="150"/>
      <c r="M28" s="150"/>
      <c r="N28" s="150"/>
      <c r="O28" s="150"/>
      <c r="P28" s="192"/>
      <c r="W28" s="4"/>
      <c r="X28" s="4"/>
      <c r="Y28" s="4"/>
      <c r="Z28" s="4"/>
    </row>
    <row r="29" spans="1:28" ht="15.5" hidden="1" x14ac:dyDescent="0.35">
      <c r="A29" s="1"/>
      <c r="B29" s="1"/>
      <c r="C29" s="150"/>
      <c r="D29" s="150"/>
      <c r="E29" s="194"/>
      <c r="F29" s="194"/>
      <c r="G29" s="151"/>
      <c r="H29" s="150"/>
      <c r="I29" s="150"/>
      <c r="J29" s="150"/>
      <c r="K29" s="150"/>
      <c r="L29" s="150"/>
      <c r="M29" s="150"/>
      <c r="N29" s="150"/>
      <c r="O29" s="150"/>
      <c r="P29" s="192"/>
      <c r="W29" s="4"/>
      <c r="X29" s="4"/>
      <c r="Y29" s="4"/>
      <c r="Z29" s="4"/>
    </row>
    <row r="30" spans="1:28" ht="15.5" hidden="1" x14ac:dyDescent="0.35">
      <c r="A30" s="1"/>
      <c r="B30" s="1"/>
      <c r="C30" s="150"/>
      <c r="D30" s="150"/>
      <c r="E30" s="194"/>
      <c r="F30" s="194"/>
      <c r="G30" s="151"/>
      <c r="H30" s="150"/>
      <c r="I30" s="150"/>
      <c r="J30" s="150"/>
      <c r="K30" s="150"/>
      <c r="L30" s="150"/>
      <c r="M30" s="150"/>
      <c r="N30" s="150"/>
      <c r="O30" s="150"/>
      <c r="P30" s="192"/>
      <c r="W30" s="4"/>
      <c r="X30" s="4"/>
      <c r="Y30" s="4"/>
      <c r="Z30" s="4"/>
    </row>
    <row r="31" spans="1:28" ht="15.5" hidden="1" x14ac:dyDescent="0.35">
      <c r="A31" s="1"/>
      <c r="B31" s="1"/>
      <c r="C31" s="150"/>
      <c r="D31" s="150"/>
      <c r="E31" s="194"/>
      <c r="F31" s="194"/>
      <c r="G31" s="151"/>
      <c r="H31" s="150"/>
      <c r="I31" s="150"/>
      <c r="J31" s="150"/>
      <c r="K31" s="150"/>
      <c r="L31" s="150"/>
      <c r="M31" s="150"/>
      <c r="N31" s="150"/>
      <c r="O31" s="150"/>
      <c r="P31" s="192"/>
      <c r="W31" s="4"/>
      <c r="X31" s="4"/>
      <c r="Y31" s="4"/>
      <c r="Z31" s="4"/>
    </row>
    <row r="32" spans="1:28" ht="15.5" hidden="1" x14ac:dyDescent="0.35">
      <c r="A32" s="1"/>
      <c r="B32" s="1"/>
      <c r="C32" s="150"/>
      <c r="D32" s="150"/>
      <c r="E32" s="194"/>
      <c r="F32" s="194"/>
      <c r="G32" s="151"/>
      <c r="H32" s="150"/>
      <c r="I32" s="150"/>
      <c r="J32" s="150"/>
      <c r="K32" s="150"/>
      <c r="L32" s="150"/>
      <c r="M32" s="150"/>
      <c r="N32" s="150"/>
      <c r="O32" s="150"/>
      <c r="P32" s="192"/>
      <c r="W32" s="4"/>
      <c r="X32" s="4"/>
      <c r="Y32" s="4"/>
      <c r="Z32" s="4"/>
    </row>
    <row r="33" spans="1:32" ht="15.5" hidden="1" x14ac:dyDescent="0.35">
      <c r="A33" s="1"/>
      <c r="B33" s="1"/>
      <c r="C33" s="150"/>
      <c r="D33" s="150"/>
      <c r="E33" s="194"/>
      <c r="F33" s="194"/>
      <c r="G33" s="151"/>
      <c r="H33" s="150"/>
      <c r="I33" s="150"/>
      <c r="J33" s="150"/>
      <c r="K33" s="150"/>
      <c r="L33" s="150"/>
      <c r="M33" s="150"/>
      <c r="N33" s="150"/>
      <c r="O33" s="150"/>
      <c r="P33" s="192"/>
      <c r="W33" s="4"/>
      <c r="X33" s="4"/>
      <c r="Y33" s="4"/>
      <c r="Z33" s="4"/>
    </row>
    <row r="34" spans="1:32" ht="15.5" x14ac:dyDescent="0.35">
      <c r="A34" s="1"/>
      <c r="B34" s="1"/>
      <c r="C34" s="150"/>
      <c r="D34" s="150"/>
      <c r="E34" s="194"/>
      <c r="F34" s="194"/>
      <c r="G34" s="151"/>
      <c r="H34" s="150"/>
      <c r="I34" s="150"/>
      <c r="J34" s="150"/>
      <c r="K34" s="150"/>
      <c r="L34" s="150"/>
      <c r="M34" s="150"/>
      <c r="N34" s="150"/>
      <c r="O34" s="150"/>
      <c r="P34" s="192"/>
      <c r="Q34" s="150"/>
      <c r="R34" s="194"/>
      <c r="S34" s="194"/>
      <c r="T34" s="194"/>
      <c r="U34" s="35"/>
      <c r="V34" s="36"/>
      <c r="W34" s="4"/>
      <c r="X34" s="4"/>
      <c r="Y34" s="4"/>
      <c r="Z34" s="4"/>
    </row>
    <row r="35" spans="1:32" ht="15.5" x14ac:dyDescent="0.35">
      <c r="A35" s="218" t="s">
        <v>30</v>
      </c>
      <c r="B35" s="37" t="s">
        <v>31</v>
      </c>
      <c r="C35" s="38" t="s">
        <v>3</v>
      </c>
      <c r="D35" s="38" t="s">
        <v>170</v>
      </c>
      <c r="E35" s="38" t="s">
        <v>220</v>
      </c>
      <c r="F35" s="38" t="s">
        <v>4</v>
      </c>
      <c r="G35" s="39" t="s">
        <v>5</v>
      </c>
      <c r="H35" s="39" t="s">
        <v>6</v>
      </c>
      <c r="I35" s="39" t="s">
        <v>33</v>
      </c>
      <c r="J35" s="39" t="s">
        <v>8</v>
      </c>
      <c r="K35" s="39" t="s">
        <v>9</v>
      </c>
      <c r="L35" s="39" t="s">
        <v>10</v>
      </c>
      <c r="M35" s="39" t="s">
        <v>34</v>
      </c>
      <c r="N35" s="39" t="s">
        <v>35</v>
      </c>
      <c r="O35" s="39" t="s">
        <v>13</v>
      </c>
      <c r="P35" s="39" t="s">
        <v>14</v>
      </c>
      <c r="Q35" s="39" t="s">
        <v>15</v>
      </c>
      <c r="R35" s="40"/>
      <c r="S35" s="41" t="s">
        <v>202</v>
      </c>
      <c r="T35" s="42"/>
      <c r="U35" s="65" t="s">
        <v>176</v>
      </c>
      <c r="X35" s="178"/>
    </row>
    <row r="36" spans="1:32" x14ac:dyDescent="0.35">
      <c r="A36" s="219"/>
      <c r="B36" s="46" t="s">
        <v>41</v>
      </c>
      <c r="C36" s="47">
        <f>+'[1]LMM Formato'!C23*[1]Pesos!D21</f>
        <v>155.117018</v>
      </c>
      <c r="D36" s="47">
        <v>1065.6300000000001</v>
      </c>
      <c r="E36" s="48">
        <v>1056</v>
      </c>
      <c r="F36" s="47">
        <v>14.97</v>
      </c>
      <c r="G36" s="47">
        <v>8.7899999999999991</v>
      </c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8"/>
      <c r="S36" s="49">
        <f>+SUM(F36:Q36)</f>
        <v>23.759999999999998</v>
      </c>
      <c r="T36" s="50"/>
      <c r="U36" s="65" t="s">
        <v>175</v>
      </c>
      <c r="V36" t="s">
        <v>324</v>
      </c>
      <c r="X36" s="178">
        <v>15.3</v>
      </c>
    </row>
    <row r="37" spans="1:32" x14ac:dyDescent="0.35">
      <c r="A37" s="219"/>
      <c r="B37" s="57" t="s">
        <v>270</v>
      </c>
      <c r="C37" s="54">
        <f>+'[1]LMM Formato'!C25*[1]Pesos!C21</f>
        <v>191.36106699999999</v>
      </c>
      <c r="D37" s="54">
        <v>1579</v>
      </c>
      <c r="E37" s="48">
        <v>1384</v>
      </c>
      <c r="F37" s="54">
        <f>+F39*$S$37</f>
        <v>50.567999999999998</v>
      </c>
      <c r="G37" s="54">
        <f>+G39*$S$37</f>
        <v>47.04</v>
      </c>
      <c r="H37" s="54">
        <f t="shared" ref="H37:Q37" si="24">+H39*$S$37</f>
        <v>59.975999999999999</v>
      </c>
      <c r="I37" s="54">
        <f t="shared" si="24"/>
        <v>43.512</v>
      </c>
      <c r="J37" s="54">
        <f t="shared" si="24"/>
        <v>112.896</v>
      </c>
      <c r="K37" s="54">
        <f t="shared" si="24"/>
        <v>78.792000000000002</v>
      </c>
      <c r="L37" s="54">
        <f t="shared" si="24"/>
        <v>84.671999999999997</v>
      </c>
      <c r="M37" s="54">
        <f t="shared" si="24"/>
        <v>152.88</v>
      </c>
      <c r="N37" s="54">
        <f t="shared" si="24"/>
        <v>122.30399999999999</v>
      </c>
      <c r="O37" s="54">
        <f t="shared" si="24"/>
        <v>76.44</v>
      </c>
      <c r="P37" s="54">
        <f t="shared" si="24"/>
        <v>166.99199999999999</v>
      </c>
      <c r="Q37" s="54">
        <f t="shared" si="24"/>
        <v>179.92799999999991</v>
      </c>
      <c r="R37" s="48">
        <f>+SUM(F37:Q37)</f>
        <v>1175.9999999999998</v>
      </c>
      <c r="S37" s="49">
        <v>1176</v>
      </c>
      <c r="T37" s="50"/>
      <c r="U37" s="65"/>
      <c r="V37" t="s">
        <v>311</v>
      </c>
      <c r="W37" t="s">
        <v>25</v>
      </c>
      <c r="X37" s="178">
        <v>13</v>
      </c>
    </row>
    <row r="38" spans="1:32" x14ac:dyDescent="0.35">
      <c r="A38" s="219"/>
      <c r="B38" s="57"/>
      <c r="C38" s="54"/>
      <c r="D38" s="54"/>
      <c r="E38" s="62">
        <v>0.9289017341040462</v>
      </c>
      <c r="F38" s="54"/>
      <c r="G38" s="61">
        <v>0</v>
      </c>
      <c r="H38" s="54"/>
      <c r="I38" s="196"/>
      <c r="J38" s="54"/>
      <c r="K38" s="54"/>
      <c r="L38" s="54"/>
      <c r="M38" s="54"/>
      <c r="N38" s="54"/>
      <c r="O38" s="54"/>
      <c r="P38" s="54"/>
      <c r="Q38" s="54"/>
      <c r="R38" s="62">
        <f>+R36/R37</f>
        <v>0</v>
      </c>
      <c r="S38" s="63">
        <f>+S36/S37</f>
        <v>2.0204081632653061E-2</v>
      </c>
      <c r="T38" s="64"/>
      <c r="U38" s="230" t="s">
        <v>181</v>
      </c>
      <c r="X38" s="178"/>
      <c r="AF38" s="186"/>
    </row>
    <row r="39" spans="1:32" x14ac:dyDescent="0.35">
      <c r="A39" s="73"/>
      <c r="B39" s="1"/>
      <c r="C39" s="74"/>
      <c r="D39" s="74"/>
      <c r="E39" s="77" t="e">
        <v>#REF!</v>
      </c>
      <c r="F39" s="197">
        <v>4.2999999999999997E-2</v>
      </c>
      <c r="G39" s="197">
        <v>0.04</v>
      </c>
      <c r="H39" s="197">
        <v>5.0999999999999997E-2</v>
      </c>
      <c r="I39" s="197">
        <v>3.6999999999999998E-2</v>
      </c>
      <c r="J39" s="197">
        <v>9.6000000000000002E-2</v>
      </c>
      <c r="K39" s="197">
        <v>6.7000000000000004E-2</v>
      </c>
      <c r="L39" s="197">
        <v>7.1999999999999995E-2</v>
      </c>
      <c r="M39" s="197">
        <v>0.13</v>
      </c>
      <c r="N39" s="197">
        <v>0.104</v>
      </c>
      <c r="O39" s="197">
        <v>6.5000000000000002E-2</v>
      </c>
      <c r="P39" s="197">
        <v>0.14199999999999999</v>
      </c>
      <c r="Q39" s="197">
        <f>+R39-SUM(F39:P39)</f>
        <v>0.15299999999999991</v>
      </c>
      <c r="R39" s="197">
        <v>1</v>
      </c>
      <c r="S39" s="63"/>
      <c r="T39" s="64"/>
      <c r="U39" s="230"/>
      <c r="X39" s="178"/>
      <c r="AF39" s="186"/>
    </row>
    <row r="40" spans="1:32" x14ac:dyDescent="0.35">
      <c r="A40" s="221" t="s">
        <v>49</v>
      </c>
      <c r="B40" s="78" t="s">
        <v>50</v>
      </c>
      <c r="C40" s="79">
        <f>+'[1]LMM Formato'!C30*[1]Pesos!C21</f>
        <v>0</v>
      </c>
      <c r="D40" s="79">
        <v>104</v>
      </c>
      <c r="E40" s="80">
        <v>121.544</v>
      </c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80">
        <f t="shared" ref="R40" si="25">+SUM(F40:Q40)</f>
        <v>0</v>
      </c>
      <c r="S40" s="81">
        <f>+SUM(F40:Q40)</f>
        <v>0</v>
      </c>
      <c r="T40" s="82"/>
      <c r="U40" s="230"/>
      <c r="W40" s="178"/>
      <c r="X40" s="178"/>
      <c r="AF40" s="186"/>
    </row>
    <row r="41" spans="1:32" x14ac:dyDescent="0.35">
      <c r="A41" s="222"/>
      <c r="B41" s="83" t="s">
        <v>51</v>
      </c>
      <c r="C41" s="84"/>
      <c r="D41" s="84">
        <v>123.17</v>
      </c>
      <c r="E41" s="80">
        <v>135</v>
      </c>
      <c r="F41" s="79">
        <f>+F37/$R37*$R41</f>
        <v>5.8050000000000006</v>
      </c>
      <c r="G41" s="79">
        <f>+G37/$R37*$R41</f>
        <v>5.4000000000000012</v>
      </c>
      <c r="H41" s="79">
        <f t="shared" ref="H41:Q41" si="26">+H37/$R37*$R41</f>
        <v>6.8850000000000016</v>
      </c>
      <c r="I41" s="79">
        <f t="shared" si="26"/>
        <v>4.995000000000001</v>
      </c>
      <c r="J41" s="79">
        <f t="shared" si="26"/>
        <v>12.960000000000003</v>
      </c>
      <c r="K41" s="79">
        <f t="shared" si="26"/>
        <v>9.0450000000000017</v>
      </c>
      <c r="L41" s="79">
        <f t="shared" si="26"/>
        <v>9.7200000000000006</v>
      </c>
      <c r="M41" s="79">
        <f t="shared" si="26"/>
        <v>17.550000000000004</v>
      </c>
      <c r="N41" s="79">
        <f t="shared" si="26"/>
        <v>14.040000000000001</v>
      </c>
      <c r="O41" s="79">
        <f t="shared" si="26"/>
        <v>8.7750000000000021</v>
      </c>
      <c r="P41" s="79">
        <f t="shared" si="26"/>
        <v>19.170000000000002</v>
      </c>
      <c r="Q41" s="79">
        <f t="shared" si="26"/>
        <v>20.65499999999999</v>
      </c>
      <c r="R41" s="80">
        <v>135</v>
      </c>
      <c r="S41" s="81">
        <f>+SUM(F41:Q41)</f>
        <v>135.00000000000003</v>
      </c>
      <c r="T41" s="82"/>
      <c r="U41" s="230"/>
      <c r="W41" s="178"/>
      <c r="X41" s="178"/>
      <c r="AF41" s="186"/>
    </row>
    <row r="42" spans="1:32" x14ac:dyDescent="0.35">
      <c r="A42" s="86"/>
      <c r="B42" s="1"/>
      <c r="C42" s="87"/>
      <c r="D42" s="87"/>
      <c r="E42" s="87"/>
      <c r="F42" s="193"/>
      <c r="G42" s="193"/>
      <c r="H42" s="193"/>
      <c r="I42" s="193"/>
      <c r="J42" s="88">
        <f t="shared" ref="J42:R42" si="27">+J36-J37</f>
        <v>-112.896</v>
      </c>
      <c r="K42" s="88">
        <f t="shared" si="27"/>
        <v>-78.792000000000002</v>
      </c>
      <c r="L42" s="88">
        <f t="shared" si="27"/>
        <v>-84.671999999999997</v>
      </c>
      <c r="M42" s="88">
        <f t="shared" si="27"/>
        <v>-152.88</v>
      </c>
      <c r="N42" s="88">
        <f t="shared" si="27"/>
        <v>-122.30399999999999</v>
      </c>
      <c r="O42" s="88">
        <f t="shared" si="27"/>
        <v>-76.44</v>
      </c>
      <c r="P42" s="88">
        <f t="shared" si="27"/>
        <v>-166.99199999999999</v>
      </c>
      <c r="Q42" s="88">
        <f t="shared" si="27"/>
        <v>-179.92799999999991</v>
      </c>
      <c r="R42" s="88">
        <f t="shared" si="27"/>
        <v>-1175.9999999999998</v>
      </c>
      <c r="S42" s="89">
        <f>+S40/S41</f>
        <v>0</v>
      </c>
      <c r="T42" s="90"/>
      <c r="U42" s="230"/>
      <c r="AF42" s="186"/>
    </row>
    <row r="43" spans="1:32" x14ac:dyDescent="0.35">
      <c r="A43" s="86"/>
      <c r="B43" s="1"/>
      <c r="C43" s="1"/>
      <c r="D43" s="1"/>
      <c r="E43" s="1"/>
      <c r="F43" s="189">
        <f t="shared" ref="F43:Q43" si="28">+F42/F37</f>
        <v>0</v>
      </c>
      <c r="G43" s="189">
        <f t="shared" si="28"/>
        <v>0</v>
      </c>
      <c r="H43" s="189">
        <f t="shared" si="28"/>
        <v>0</v>
      </c>
      <c r="I43" s="189">
        <f t="shared" si="28"/>
        <v>0</v>
      </c>
      <c r="J43" s="189">
        <f t="shared" si="28"/>
        <v>-1</v>
      </c>
      <c r="K43" s="189">
        <f t="shared" si="28"/>
        <v>-1</v>
      </c>
      <c r="L43" s="189">
        <f t="shared" si="28"/>
        <v>-1</v>
      </c>
      <c r="M43" s="189">
        <f t="shared" si="28"/>
        <v>-1</v>
      </c>
      <c r="N43" s="189">
        <f t="shared" si="28"/>
        <v>-1</v>
      </c>
      <c r="O43" s="189">
        <f t="shared" si="28"/>
        <v>-1</v>
      </c>
      <c r="P43" s="189">
        <f t="shared" si="28"/>
        <v>-1</v>
      </c>
      <c r="Q43" s="189">
        <f t="shared" si="28"/>
        <v>-1</v>
      </c>
      <c r="R43" s="190"/>
      <c r="S43" s="96"/>
      <c r="T43" s="97"/>
      <c r="U43" s="230"/>
      <c r="W43" s="178"/>
      <c r="X43" s="178"/>
      <c r="AF43" s="186"/>
    </row>
    <row r="44" spans="1:32" ht="15.5" x14ac:dyDescent="0.35">
      <c r="A44" s="219" t="s">
        <v>55</v>
      </c>
      <c r="B44" s="29" t="s">
        <v>56</v>
      </c>
      <c r="C44" s="99" t="s">
        <v>15</v>
      </c>
      <c r="D44" s="170">
        <v>45261</v>
      </c>
      <c r="E44" s="170"/>
      <c r="F44" s="99" t="s">
        <v>32</v>
      </c>
      <c r="G44" s="100" t="s">
        <v>5</v>
      </c>
      <c r="H44" s="99" t="s">
        <v>6</v>
      </c>
      <c r="I44" s="99" t="s">
        <v>33</v>
      </c>
      <c r="J44" s="99" t="s">
        <v>8</v>
      </c>
      <c r="K44" s="99" t="s">
        <v>9</v>
      </c>
      <c r="L44" s="99" t="s">
        <v>10</v>
      </c>
      <c r="M44" s="99" t="s">
        <v>34</v>
      </c>
      <c r="N44" s="99" t="s">
        <v>35</v>
      </c>
      <c r="O44" s="99" t="s">
        <v>13</v>
      </c>
      <c r="P44" s="99" t="s">
        <v>14</v>
      </c>
      <c r="Q44" s="99" t="s">
        <v>15</v>
      </c>
      <c r="R44" s="101" t="s">
        <v>57</v>
      </c>
      <c r="S44" s="1"/>
      <c r="T44" s="1"/>
      <c r="U44" s="230"/>
      <c r="W44" s="178"/>
      <c r="X44" s="178"/>
      <c r="AF44" s="186"/>
    </row>
    <row r="45" spans="1:32" x14ac:dyDescent="0.35">
      <c r="A45" s="219"/>
      <c r="B45" s="86" t="s">
        <v>186</v>
      </c>
      <c r="C45" s="102"/>
      <c r="D45" s="102"/>
      <c r="E45" s="102"/>
      <c r="F45" s="102">
        <v>0</v>
      </c>
      <c r="G45" s="102">
        <v>0</v>
      </c>
      <c r="H45" s="102">
        <v>0</v>
      </c>
      <c r="I45" s="102">
        <v>0</v>
      </c>
      <c r="J45" s="102">
        <v>0</v>
      </c>
      <c r="K45" s="102">
        <v>0</v>
      </c>
      <c r="L45" s="102">
        <v>0</v>
      </c>
      <c r="M45" s="102">
        <v>0</v>
      </c>
      <c r="N45" s="102">
        <v>0</v>
      </c>
      <c r="O45" s="102">
        <v>0</v>
      </c>
      <c r="P45" s="102">
        <v>0</v>
      </c>
      <c r="Q45" s="102">
        <v>0</v>
      </c>
      <c r="R45" s="103">
        <f>+SUM(F45:Q45)</f>
        <v>0</v>
      </c>
      <c r="S45" s="1"/>
      <c r="T45" s="1"/>
      <c r="U45" s="230"/>
      <c r="W45" s="185"/>
      <c r="AF45" s="186"/>
    </row>
    <row r="46" spans="1:32" x14ac:dyDescent="0.35">
      <c r="A46" s="219"/>
      <c r="B46" s="86" t="s">
        <v>187</v>
      </c>
      <c r="C46" s="102"/>
      <c r="D46" s="102"/>
      <c r="E46" s="102"/>
      <c r="F46" s="105">
        <v>0</v>
      </c>
      <c r="G46" s="105">
        <v>0</v>
      </c>
      <c r="H46" s="105">
        <v>0</v>
      </c>
      <c r="I46" s="105">
        <v>0</v>
      </c>
      <c r="J46" s="105">
        <v>0</v>
      </c>
      <c r="K46" s="105">
        <v>0</v>
      </c>
      <c r="L46" s="105">
        <v>0</v>
      </c>
      <c r="M46" s="105">
        <v>0</v>
      </c>
      <c r="N46" s="105">
        <v>0</v>
      </c>
      <c r="O46" s="105">
        <v>0</v>
      </c>
      <c r="P46" s="105">
        <v>0</v>
      </c>
      <c r="Q46" s="105">
        <v>0</v>
      </c>
      <c r="R46" s="106">
        <f>+SUM(F46:Q46)</f>
        <v>0</v>
      </c>
      <c r="S46" s="1"/>
      <c r="T46" s="1"/>
      <c r="U46" s="171" t="s">
        <v>177</v>
      </c>
      <c r="V46" s="173"/>
      <c r="W46" s="179"/>
      <c r="X46" s="179">
        <f>+SUM(X35:X44)</f>
        <v>28.3</v>
      </c>
      <c r="AF46" s="186"/>
    </row>
    <row r="47" spans="1:32" x14ac:dyDescent="0.35">
      <c r="A47" s="219"/>
      <c r="B47" s="86" t="s">
        <v>189</v>
      </c>
      <c r="C47" s="102"/>
      <c r="D47" s="102"/>
      <c r="E47" s="102"/>
      <c r="F47" s="105">
        <f>+F45</f>
        <v>0</v>
      </c>
      <c r="G47" s="105">
        <v>0</v>
      </c>
      <c r="H47" s="105">
        <f>+G47+H45</f>
        <v>0</v>
      </c>
      <c r="I47" s="105">
        <f>+H47+I45</f>
        <v>0</v>
      </c>
      <c r="J47" s="105">
        <f>+I47+J45</f>
        <v>0</v>
      </c>
      <c r="K47" s="105">
        <f t="shared" ref="K47:O47" si="29">+J47+K45</f>
        <v>0</v>
      </c>
      <c r="L47" s="105">
        <f t="shared" si="29"/>
        <v>0</v>
      </c>
      <c r="M47" s="105">
        <f t="shared" si="29"/>
        <v>0</v>
      </c>
      <c r="N47" s="105">
        <f t="shared" si="29"/>
        <v>0</v>
      </c>
      <c r="O47" s="105">
        <f t="shared" si="29"/>
        <v>0</v>
      </c>
      <c r="Q47" s="105"/>
      <c r="R47" s="106"/>
      <c r="S47" s="1"/>
      <c r="T47" s="1"/>
      <c r="W47" s="185"/>
    </row>
    <row r="48" spans="1:32" x14ac:dyDescent="0.35">
      <c r="A48" s="219"/>
      <c r="B48" s="104" t="s">
        <v>188</v>
      </c>
      <c r="C48" s="105"/>
      <c r="D48" s="105"/>
      <c r="E48" s="105"/>
      <c r="F48" s="105">
        <v>0</v>
      </c>
      <c r="G48" s="105">
        <v>0</v>
      </c>
      <c r="H48" s="105">
        <f>+G48+H46</f>
        <v>0</v>
      </c>
      <c r="I48" s="105">
        <f t="shared" ref="I48:Q48" si="30">+H48+I46</f>
        <v>0</v>
      </c>
      <c r="J48" s="105">
        <f t="shared" si="30"/>
        <v>0</v>
      </c>
      <c r="K48" s="105">
        <f t="shared" si="30"/>
        <v>0</v>
      </c>
      <c r="L48" s="105">
        <f t="shared" si="30"/>
        <v>0</v>
      </c>
      <c r="M48" s="105">
        <f t="shared" si="30"/>
        <v>0</v>
      </c>
      <c r="N48" s="105">
        <f t="shared" si="30"/>
        <v>0</v>
      </c>
      <c r="O48" s="105">
        <f t="shared" si="30"/>
        <v>0</v>
      </c>
      <c r="P48" s="105">
        <f t="shared" si="30"/>
        <v>0</v>
      </c>
      <c r="Q48" s="105">
        <f t="shared" si="30"/>
        <v>0</v>
      </c>
      <c r="R48" s="106"/>
      <c r="S48" s="1"/>
      <c r="T48" s="1"/>
      <c r="U48" s="72"/>
    </row>
    <row r="49" spans="1:26" x14ac:dyDescent="0.35">
      <c r="A49" s="86"/>
      <c r="B49" s="1"/>
      <c r="C49" s="1"/>
      <c r="D49" s="1"/>
      <c r="E49" s="1"/>
      <c r="F49" s="107"/>
      <c r="G49" s="108"/>
      <c r="H49" s="107"/>
      <c r="I49" s="10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6" ht="15.5" hidden="1" x14ac:dyDescent="0.35">
      <c r="A50" s="219" t="s">
        <v>60</v>
      </c>
      <c r="B50" s="29" t="s">
        <v>61</v>
      </c>
      <c r="C50" s="99"/>
      <c r="D50" s="99"/>
      <c r="E50" s="99"/>
      <c r="F50" s="99" t="s">
        <v>62</v>
      </c>
      <c r="G50" s="100" t="s">
        <v>63</v>
      </c>
      <c r="H50" s="99" t="s">
        <v>64</v>
      </c>
      <c r="I50" s="99" t="s">
        <v>65</v>
      </c>
      <c r="J50" s="99" t="s">
        <v>66</v>
      </c>
      <c r="K50" s="99" t="s">
        <v>67</v>
      </c>
      <c r="L50" s="99" t="s">
        <v>68</v>
      </c>
      <c r="M50" s="99" t="s">
        <v>69</v>
      </c>
      <c r="N50" s="99" t="s">
        <v>70</v>
      </c>
      <c r="O50" s="99" t="s">
        <v>71</v>
      </c>
      <c r="P50" s="99" t="s">
        <v>72</v>
      </c>
      <c r="Q50" s="99" t="s">
        <v>73</v>
      </c>
      <c r="R50" s="101" t="s">
        <v>74</v>
      </c>
      <c r="S50" s="5"/>
      <c r="T50" s="5"/>
      <c r="U50" s="3"/>
      <c r="V50" s="68"/>
      <c r="W50" s="72"/>
      <c r="X50" s="1"/>
      <c r="Y50" s="68"/>
      <c r="Z50" s="72"/>
    </row>
    <row r="51" spans="1:26" hidden="1" x14ac:dyDescent="0.35">
      <c r="A51" s="219"/>
      <c r="B51" s="1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1"/>
      <c r="S51" s="1"/>
      <c r="T51" s="1"/>
      <c r="U51" s="3"/>
      <c r="V51" s="68"/>
      <c r="W51" s="72"/>
      <c r="X51" s="1"/>
      <c r="Y51" s="68"/>
      <c r="Z51" s="72"/>
    </row>
    <row r="52" spans="1:26" hidden="1" x14ac:dyDescent="0.35">
      <c r="A52" s="223"/>
      <c r="B52" s="112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4"/>
      <c r="S52" s="1"/>
      <c r="T52" s="1"/>
      <c r="U52" s="3"/>
      <c r="V52" s="1"/>
      <c r="W52" s="1"/>
      <c r="X52" s="4"/>
      <c r="Y52" s="68"/>
      <c r="Z52" s="72"/>
    </row>
    <row r="53" spans="1:26" hidden="1" x14ac:dyDescent="0.35">
      <c r="A53" s="1"/>
      <c r="B53" s="1"/>
      <c r="C53" s="115"/>
      <c r="D53" s="169"/>
      <c r="E53" s="169"/>
      <c r="F53" s="1"/>
      <c r="G53" s="2"/>
      <c r="H53" s="1"/>
      <c r="I53" s="1"/>
      <c r="J53" s="1"/>
      <c r="K53" s="1"/>
      <c r="L53" s="1"/>
      <c r="M53" s="1"/>
      <c r="N53" s="1"/>
      <c r="O53" s="1"/>
      <c r="P53" s="115"/>
      <c r="Q53" s="115"/>
      <c r="R53" s="115"/>
      <c r="S53" s="1"/>
      <c r="T53" s="1"/>
      <c r="U53" s="3"/>
      <c r="V53" s="1"/>
      <c r="W53" s="4"/>
      <c r="X53" s="4"/>
      <c r="Y53" s="68"/>
      <c r="Z53" s="72"/>
    </row>
    <row r="54" spans="1:26" ht="15.5" x14ac:dyDescent="0.35">
      <c r="A54" s="116"/>
      <c r="B54" s="117"/>
      <c r="C54" s="118"/>
      <c r="D54" s="118"/>
      <c r="E54" s="118"/>
      <c r="F54" s="117"/>
      <c r="G54" s="119" t="s">
        <v>75</v>
      </c>
      <c r="H54" s="217" t="s">
        <v>76</v>
      </c>
      <c r="I54" s="217"/>
      <c r="J54" s="217"/>
      <c r="K54" s="217"/>
      <c r="L54" s="217"/>
      <c r="M54" s="217"/>
      <c r="N54" s="118" t="s">
        <v>63</v>
      </c>
      <c r="O54" s="118" t="s">
        <v>64</v>
      </c>
      <c r="P54" s="118" t="s">
        <v>65</v>
      </c>
      <c r="Q54" s="118" t="s">
        <v>66</v>
      </c>
      <c r="R54" s="118" t="s">
        <v>67</v>
      </c>
      <c r="S54" s="118" t="s">
        <v>69</v>
      </c>
      <c r="T54" s="118" t="s">
        <v>70</v>
      </c>
      <c r="U54" s="118" t="s">
        <v>71</v>
      </c>
      <c r="V54" s="118" t="s">
        <v>72</v>
      </c>
      <c r="W54" s="118" t="s">
        <v>73</v>
      </c>
      <c r="X54" s="120"/>
      <c r="Y54" s="120"/>
      <c r="Z54" s="121"/>
    </row>
    <row r="55" spans="1:26" x14ac:dyDescent="0.35">
      <c r="A55" s="122" t="s">
        <v>77</v>
      </c>
      <c r="B55" s="123" t="s">
        <v>78</v>
      </c>
      <c r="C55" s="124"/>
      <c r="D55" s="124"/>
      <c r="E55" s="124"/>
      <c r="F55" s="125" t="s">
        <v>79</v>
      </c>
      <c r="G55" s="126" t="s">
        <v>80</v>
      </c>
      <c r="H55" s="225" t="s">
        <v>81</v>
      </c>
      <c r="I55" s="225"/>
      <c r="J55" s="225"/>
      <c r="K55" s="225"/>
      <c r="L55" s="225"/>
      <c r="M55" s="225"/>
      <c r="N55" s="124">
        <f t="shared" ref="N55:U55" si="31">+O55-7</f>
        <v>45966</v>
      </c>
      <c r="O55" s="124">
        <f t="shared" si="31"/>
        <v>45973</v>
      </c>
      <c r="P55" s="124">
        <f t="shared" si="31"/>
        <v>45980</v>
      </c>
      <c r="Q55" s="124">
        <f t="shared" si="31"/>
        <v>45987</v>
      </c>
      <c r="R55" s="124">
        <f t="shared" si="31"/>
        <v>45994</v>
      </c>
      <c r="S55" s="124">
        <f t="shared" si="31"/>
        <v>46001</v>
      </c>
      <c r="T55" s="124">
        <f t="shared" si="31"/>
        <v>46008</v>
      </c>
      <c r="U55" s="124">
        <f t="shared" si="31"/>
        <v>46015</v>
      </c>
      <c r="V55" s="124">
        <f>+W55-7</f>
        <v>46022</v>
      </c>
      <c r="W55" s="124">
        <v>46029</v>
      </c>
      <c r="X55" s="125" t="s">
        <v>82</v>
      </c>
      <c r="Y55" s="125" t="s">
        <v>83</v>
      </c>
      <c r="Z55" s="127" t="s">
        <v>84</v>
      </c>
    </row>
    <row r="56" spans="1:26" ht="33.5" customHeight="1" x14ac:dyDescent="0.35">
      <c r="A56" s="128" t="s">
        <v>47</v>
      </c>
      <c r="B56" s="128" t="s">
        <v>312</v>
      </c>
      <c r="C56" s="4"/>
      <c r="D56" s="4"/>
      <c r="E56" s="4"/>
      <c r="F56" s="142">
        <v>10</v>
      </c>
      <c r="G56" s="68" t="s">
        <v>105</v>
      </c>
      <c r="H56" s="224" t="s">
        <v>117</v>
      </c>
      <c r="I56" s="224"/>
      <c r="J56" s="224"/>
      <c r="K56" s="224"/>
      <c r="L56" s="224"/>
      <c r="M56" s="224"/>
      <c r="N56" s="131" t="s">
        <v>89</v>
      </c>
      <c r="O56" s="131" t="s">
        <v>89</v>
      </c>
      <c r="P56" s="131" t="s">
        <v>89</v>
      </c>
      <c r="Q56" s="131" t="s">
        <v>89</v>
      </c>
      <c r="R56" s="131" t="s">
        <v>89</v>
      </c>
      <c r="S56" s="131" t="s">
        <v>89</v>
      </c>
      <c r="T56" s="131" t="s">
        <v>89</v>
      </c>
      <c r="U56" s="131" t="s">
        <v>89</v>
      </c>
      <c r="V56" s="131" t="s">
        <v>89</v>
      </c>
      <c r="W56" s="131" t="s">
        <v>89</v>
      </c>
      <c r="X56" s="4" t="s">
        <v>100</v>
      </c>
      <c r="Y56" s="139" t="s">
        <v>214</v>
      </c>
      <c r="Z56" s="4" t="str">
        <f t="shared" ref="Z56:Z66" si="32">+G56</f>
        <v>LMM 5</v>
      </c>
    </row>
    <row r="57" spans="1:26" ht="25.5" customHeight="1" x14ac:dyDescent="0.35">
      <c r="A57" s="128" t="s">
        <v>25</v>
      </c>
      <c r="B57" s="128" t="s">
        <v>306</v>
      </c>
      <c r="C57" s="4"/>
      <c r="D57" s="4"/>
      <c r="E57" s="4"/>
      <c r="F57" s="142">
        <v>3.8039999999999998</v>
      </c>
      <c r="G57" s="68" t="s">
        <v>94</v>
      </c>
      <c r="H57" s="224" t="s">
        <v>313</v>
      </c>
      <c r="I57" s="224"/>
      <c r="J57" s="224"/>
      <c r="K57" s="224"/>
      <c r="L57" s="224"/>
      <c r="M57" s="224"/>
      <c r="N57" s="131" t="s">
        <v>89</v>
      </c>
      <c r="O57" s="131" t="s">
        <v>89</v>
      </c>
      <c r="P57" s="131" t="s">
        <v>89</v>
      </c>
      <c r="Q57" s="131" t="s">
        <v>89</v>
      </c>
      <c r="R57" s="131" t="s">
        <v>89</v>
      </c>
      <c r="S57" s="131" t="s">
        <v>89</v>
      </c>
      <c r="T57" s="131" t="s">
        <v>89</v>
      </c>
      <c r="U57" s="131" t="s">
        <v>89</v>
      </c>
      <c r="V57" s="131" t="s">
        <v>89</v>
      </c>
      <c r="W57" s="131" t="s">
        <v>89</v>
      </c>
      <c r="X57" s="4" t="s">
        <v>90</v>
      </c>
      <c r="Y57" s="139" t="s">
        <v>214</v>
      </c>
      <c r="Z57" s="133" t="str">
        <f t="shared" si="32"/>
        <v>LMM 4</v>
      </c>
    </row>
    <row r="58" spans="1:26" ht="26" customHeight="1" x14ac:dyDescent="0.35">
      <c r="A58" s="128" t="s">
        <v>25</v>
      </c>
      <c r="B58" s="128" t="s">
        <v>314</v>
      </c>
      <c r="C58" s="4"/>
      <c r="D58" s="4"/>
      <c r="E58" s="4"/>
      <c r="F58" s="142">
        <v>1.77</v>
      </c>
      <c r="G58" s="68" t="s">
        <v>105</v>
      </c>
      <c r="H58" s="224" t="s">
        <v>25</v>
      </c>
      <c r="I58" s="224"/>
      <c r="J58" s="224"/>
      <c r="K58" s="224"/>
      <c r="L58" s="224"/>
      <c r="M58" s="224"/>
      <c r="N58" s="131" t="s">
        <v>89</v>
      </c>
      <c r="O58" s="131" t="s">
        <v>89</v>
      </c>
      <c r="P58" s="131" t="s">
        <v>89</v>
      </c>
      <c r="Q58" s="131" t="s">
        <v>89</v>
      </c>
      <c r="R58" s="131" t="s">
        <v>89</v>
      </c>
      <c r="S58" s="131" t="s">
        <v>89</v>
      </c>
      <c r="T58" s="131" t="s">
        <v>89</v>
      </c>
      <c r="U58" s="131" t="s">
        <v>89</v>
      </c>
      <c r="V58" s="131" t="s">
        <v>89</v>
      </c>
      <c r="W58" s="131" t="s">
        <v>89</v>
      </c>
      <c r="X58" s="4" t="s">
        <v>90</v>
      </c>
      <c r="Y58" s="139" t="s">
        <v>214</v>
      </c>
      <c r="Z58" s="133" t="str">
        <f t="shared" si="32"/>
        <v>LMM 5</v>
      </c>
    </row>
    <row r="59" spans="1:26" ht="27" customHeight="1" x14ac:dyDescent="0.35">
      <c r="A59" s="128" t="s">
        <v>25</v>
      </c>
      <c r="B59" s="128" t="s">
        <v>326</v>
      </c>
      <c r="C59" s="4"/>
      <c r="D59" s="4"/>
      <c r="E59" s="4"/>
      <c r="F59" s="142">
        <v>10</v>
      </c>
      <c r="G59" s="68" t="s">
        <v>94</v>
      </c>
      <c r="H59" s="224" t="s">
        <v>109</v>
      </c>
      <c r="I59" s="224"/>
      <c r="J59" s="224"/>
      <c r="K59" s="224"/>
      <c r="L59" s="224"/>
      <c r="M59" s="224"/>
      <c r="N59" s="131" t="s">
        <v>89</v>
      </c>
      <c r="O59" s="131" t="s">
        <v>89</v>
      </c>
      <c r="P59" s="131" t="s">
        <v>89</v>
      </c>
      <c r="Q59" s="131" t="s">
        <v>89</v>
      </c>
      <c r="R59" s="131" t="s">
        <v>89</v>
      </c>
      <c r="S59" s="131" t="s">
        <v>89</v>
      </c>
      <c r="T59" s="131" t="s">
        <v>89</v>
      </c>
      <c r="U59" s="131" t="s">
        <v>89</v>
      </c>
      <c r="V59" s="131" t="s">
        <v>89</v>
      </c>
      <c r="W59" s="131" t="s">
        <v>89</v>
      </c>
      <c r="X59" s="4" t="s">
        <v>100</v>
      </c>
      <c r="Y59" s="139" t="s">
        <v>214</v>
      </c>
      <c r="Z59" s="133" t="str">
        <f t="shared" si="32"/>
        <v>LMM 4</v>
      </c>
    </row>
    <row r="60" spans="1:26" ht="34.5" customHeight="1" x14ac:dyDescent="0.35">
      <c r="A60" s="128" t="s">
        <v>128</v>
      </c>
      <c r="B60" s="128" t="s">
        <v>315</v>
      </c>
      <c r="C60" s="4"/>
      <c r="D60" s="4"/>
      <c r="E60" s="4"/>
      <c r="F60" s="142">
        <v>3</v>
      </c>
      <c r="G60" s="68" t="s">
        <v>97</v>
      </c>
      <c r="H60" s="224" t="s">
        <v>117</v>
      </c>
      <c r="I60" s="224"/>
      <c r="J60" s="224"/>
      <c r="K60" s="224"/>
      <c r="L60" s="224"/>
      <c r="M60" s="224"/>
      <c r="O60" s="4"/>
      <c r="P60" s="4"/>
      <c r="Q60" s="130" t="s">
        <v>88</v>
      </c>
      <c r="R60" s="131" t="s">
        <v>89</v>
      </c>
      <c r="S60" s="131" t="s">
        <v>89</v>
      </c>
      <c r="T60" s="131" t="s">
        <v>89</v>
      </c>
      <c r="U60" s="131" t="s">
        <v>89</v>
      </c>
      <c r="V60" s="131" t="s">
        <v>89</v>
      </c>
      <c r="W60" s="131" t="s">
        <v>89</v>
      </c>
      <c r="X60" s="4" t="s">
        <v>90</v>
      </c>
      <c r="Y60" s="139" t="s">
        <v>214</v>
      </c>
      <c r="Z60" s="133" t="str">
        <f t="shared" si="32"/>
        <v>LMM 3</v>
      </c>
    </row>
    <row r="61" spans="1:26" ht="30.5" customHeight="1" x14ac:dyDescent="0.35">
      <c r="A61" s="128" t="s">
        <v>128</v>
      </c>
      <c r="B61" s="128" t="s">
        <v>305</v>
      </c>
      <c r="C61" s="4"/>
      <c r="D61" s="4"/>
      <c r="E61" s="4"/>
      <c r="F61" s="142">
        <v>4.2</v>
      </c>
      <c r="G61" s="68" t="s">
        <v>86</v>
      </c>
      <c r="H61" s="224" t="s">
        <v>128</v>
      </c>
      <c r="I61" s="224"/>
      <c r="J61" s="224"/>
      <c r="K61" s="224"/>
      <c r="L61" s="224"/>
      <c r="M61" s="224"/>
      <c r="N61" s="131" t="s">
        <v>89</v>
      </c>
      <c r="O61" s="131" t="s">
        <v>89</v>
      </c>
      <c r="P61" s="131" t="s">
        <v>89</v>
      </c>
      <c r="Q61" s="131" t="s">
        <v>89</v>
      </c>
      <c r="R61" s="131" t="s">
        <v>89</v>
      </c>
      <c r="S61" s="131" t="s">
        <v>89</v>
      </c>
      <c r="T61" s="131" t="s">
        <v>89</v>
      </c>
      <c r="U61" s="131" t="s">
        <v>89</v>
      </c>
      <c r="V61" s="131" t="s">
        <v>89</v>
      </c>
      <c r="W61" s="131" t="s">
        <v>89</v>
      </c>
      <c r="X61" s="4" t="s">
        <v>90</v>
      </c>
      <c r="Y61" s="139" t="s">
        <v>214</v>
      </c>
      <c r="Z61" s="133" t="str">
        <f t="shared" si="32"/>
        <v>LMM 1</v>
      </c>
    </row>
    <row r="62" spans="1:26" ht="38" customHeight="1" x14ac:dyDescent="0.35">
      <c r="A62" s="128" t="s">
        <v>47</v>
      </c>
      <c r="B62" s="128" t="s">
        <v>291</v>
      </c>
      <c r="C62" s="4"/>
      <c r="D62" s="4"/>
      <c r="E62" s="4"/>
      <c r="F62" s="142">
        <v>4</v>
      </c>
      <c r="G62" s="68" t="s">
        <v>94</v>
      </c>
      <c r="H62" s="224" t="s">
        <v>316</v>
      </c>
      <c r="I62" s="224"/>
      <c r="J62" s="224"/>
      <c r="K62" s="224"/>
      <c r="L62" s="224"/>
      <c r="M62" s="224"/>
      <c r="N62" s="131" t="s">
        <v>89</v>
      </c>
      <c r="O62" s="131" t="s">
        <v>89</v>
      </c>
      <c r="P62" s="131" t="s">
        <v>89</v>
      </c>
      <c r="Q62" s="131" t="s">
        <v>89</v>
      </c>
      <c r="R62" s="131" t="s">
        <v>89</v>
      </c>
      <c r="S62" s="131" t="s">
        <v>89</v>
      </c>
      <c r="T62" s="131" t="s">
        <v>89</v>
      </c>
      <c r="U62" s="131" t="s">
        <v>89</v>
      </c>
      <c r="V62" s="131" t="s">
        <v>89</v>
      </c>
      <c r="W62" s="131" t="s">
        <v>89</v>
      </c>
      <c r="X62" s="4" t="s">
        <v>100</v>
      </c>
      <c r="Y62" s="139" t="s">
        <v>214</v>
      </c>
      <c r="Z62" s="4" t="str">
        <f t="shared" si="32"/>
        <v>LMM 4</v>
      </c>
    </row>
    <row r="63" spans="1:26" ht="53.5" customHeight="1" x14ac:dyDescent="0.35">
      <c r="A63" s="128" t="s">
        <v>128</v>
      </c>
      <c r="B63" s="128" t="s">
        <v>317</v>
      </c>
      <c r="C63" s="4"/>
      <c r="D63" s="4"/>
      <c r="E63" s="4"/>
      <c r="F63" s="142">
        <v>4</v>
      </c>
      <c r="G63" s="68" t="s">
        <v>86</v>
      </c>
      <c r="H63" s="224" t="s">
        <v>128</v>
      </c>
      <c r="I63" s="224"/>
      <c r="J63" s="224"/>
      <c r="K63" s="224"/>
      <c r="L63" s="224"/>
      <c r="M63" s="224"/>
      <c r="N63" s="131" t="s">
        <v>89</v>
      </c>
      <c r="O63" s="131" t="s">
        <v>89</v>
      </c>
      <c r="P63" s="131" t="s">
        <v>89</v>
      </c>
      <c r="Q63" s="131" t="s">
        <v>89</v>
      </c>
      <c r="R63" s="131" t="s">
        <v>89</v>
      </c>
      <c r="S63" s="131" t="s">
        <v>89</v>
      </c>
      <c r="T63" s="131" t="s">
        <v>89</v>
      </c>
      <c r="U63" s="131" t="s">
        <v>89</v>
      </c>
      <c r="V63" s="131" t="s">
        <v>89</v>
      </c>
      <c r="W63" s="131" t="s">
        <v>89</v>
      </c>
      <c r="X63" s="4" t="s">
        <v>100</v>
      </c>
      <c r="Y63" s="139" t="s">
        <v>214</v>
      </c>
      <c r="Z63" s="133" t="str">
        <f t="shared" si="32"/>
        <v>LMM 1</v>
      </c>
    </row>
    <row r="64" spans="1:26" ht="15" customHeight="1" x14ac:dyDescent="0.35">
      <c r="A64" s="128" t="s">
        <v>25</v>
      </c>
      <c r="B64" s="128" t="s">
        <v>296</v>
      </c>
      <c r="C64" s="4"/>
      <c r="D64" s="4"/>
      <c r="E64" s="4"/>
      <c r="F64" s="142">
        <v>1.7</v>
      </c>
      <c r="G64" s="68" t="s">
        <v>97</v>
      </c>
      <c r="H64" s="224" t="s">
        <v>113</v>
      </c>
      <c r="I64" s="224"/>
      <c r="J64" s="224"/>
      <c r="K64" s="224"/>
      <c r="L64" s="224"/>
      <c r="M64" s="224"/>
      <c r="N64" s="131" t="s">
        <v>89</v>
      </c>
      <c r="O64" s="131" t="s">
        <v>89</v>
      </c>
      <c r="P64" s="131" t="s">
        <v>89</v>
      </c>
      <c r="Q64" s="131" t="s">
        <v>89</v>
      </c>
      <c r="R64" s="131" t="s">
        <v>89</v>
      </c>
      <c r="S64" s="131" t="s">
        <v>89</v>
      </c>
      <c r="T64" s="131" t="s">
        <v>89</v>
      </c>
      <c r="U64" s="131" t="s">
        <v>89</v>
      </c>
      <c r="V64" s="131" t="s">
        <v>89</v>
      </c>
      <c r="W64" s="131" t="s">
        <v>89</v>
      </c>
      <c r="X64" s="4" t="s">
        <v>90</v>
      </c>
      <c r="Y64" s="139" t="s">
        <v>214</v>
      </c>
      <c r="Z64" s="133" t="str">
        <f t="shared" si="32"/>
        <v>LMM 3</v>
      </c>
    </row>
    <row r="65" spans="1:26" ht="48" hidden="1" customHeight="1" x14ac:dyDescent="0.35">
      <c r="A65" s="128" t="s">
        <v>47</v>
      </c>
      <c r="B65" s="128" t="s">
        <v>271</v>
      </c>
      <c r="C65" s="4"/>
      <c r="D65" s="4"/>
      <c r="E65" s="4"/>
      <c r="F65" s="142">
        <v>3.6</v>
      </c>
      <c r="G65" s="68" t="s">
        <v>105</v>
      </c>
      <c r="H65" s="224" t="s">
        <v>272</v>
      </c>
      <c r="I65" s="224"/>
      <c r="J65" s="224"/>
      <c r="K65" s="224"/>
      <c r="L65" s="224"/>
      <c r="M65" s="224"/>
      <c r="N65" s="4"/>
      <c r="O65" s="4"/>
      <c r="P65" s="4"/>
      <c r="Q65" s="4"/>
      <c r="R65" s="130" t="s">
        <v>88</v>
      </c>
      <c r="S65" s="131" t="s">
        <v>89</v>
      </c>
      <c r="T65" s="131" t="s">
        <v>89</v>
      </c>
      <c r="U65" s="131" t="s">
        <v>89</v>
      </c>
      <c r="V65" s="131" t="s">
        <v>89</v>
      </c>
      <c r="W65" s="131" t="s">
        <v>89</v>
      </c>
      <c r="X65" s="4" t="s">
        <v>90</v>
      </c>
      <c r="Y65" s="139" t="s">
        <v>214</v>
      </c>
      <c r="Z65" s="133" t="str">
        <f t="shared" si="32"/>
        <v>LMM 5</v>
      </c>
    </row>
    <row r="66" spans="1:26" ht="59.5" hidden="1" customHeight="1" x14ac:dyDescent="0.35">
      <c r="A66" s="152" t="s">
        <v>47</v>
      </c>
      <c r="B66" s="128" t="s">
        <v>273</v>
      </c>
      <c r="C66" s="4"/>
      <c r="D66" s="4"/>
      <c r="E66" s="4"/>
      <c r="F66" s="142">
        <v>3.14</v>
      </c>
      <c r="G66" s="68" t="s">
        <v>105</v>
      </c>
      <c r="H66" s="224" t="s">
        <v>272</v>
      </c>
      <c r="I66" s="224"/>
      <c r="J66" s="224"/>
      <c r="K66" s="224"/>
      <c r="L66" s="224"/>
      <c r="M66" s="224"/>
      <c r="N66" s="131" t="s">
        <v>89</v>
      </c>
      <c r="O66" s="131" t="s">
        <v>89</v>
      </c>
      <c r="P66" s="131" t="s">
        <v>89</v>
      </c>
      <c r="Q66" s="131" t="s">
        <v>89</v>
      </c>
      <c r="R66" s="131" t="s">
        <v>89</v>
      </c>
      <c r="S66" s="131" t="s">
        <v>89</v>
      </c>
      <c r="T66" s="131" t="s">
        <v>89</v>
      </c>
      <c r="U66" s="131" t="s">
        <v>89</v>
      </c>
      <c r="V66" s="131" t="s">
        <v>89</v>
      </c>
      <c r="W66" s="131" t="s">
        <v>89</v>
      </c>
      <c r="X66" s="1"/>
      <c r="Y66" s="1"/>
      <c r="Z66" s="1" t="str">
        <f t="shared" si="32"/>
        <v>LMM 5</v>
      </c>
    </row>
    <row r="67" spans="1:26" ht="15" hidden="1" customHeight="1" x14ac:dyDescent="0.35">
      <c r="A67" s="152" t="s">
        <v>47</v>
      </c>
      <c r="B67" s="128" t="s">
        <v>274</v>
      </c>
      <c r="C67" s="4"/>
      <c r="D67" s="4"/>
      <c r="E67" s="4"/>
      <c r="F67" s="142">
        <v>7</v>
      </c>
      <c r="G67" s="68" t="s">
        <v>94</v>
      </c>
      <c r="H67" s="224" t="s">
        <v>275</v>
      </c>
      <c r="I67" s="224"/>
      <c r="J67" s="224"/>
      <c r="K67" s="224"/>
      <c r="L67" s="224"/>
      <c r="M67" s="224"/>
      <c r="N67" s="131" t="s">
        <v>89</v>
      </c>
      <c r="O67" s="131" t="s">
        <v>89</v>
      </c>
      <c r="P67" s="131" t="s">
        <v>89</v>
      </c>
      <c r="Q67" s="131" t="s">
        <v>89</v>
      </c>
      <c r="R67" s="131" t="s">
        <v>89</v>
      </c>
      <c r="S67" s="131" t="s">
        <v>89</v>
      </c>
      <c r="T67" s="131" t="s">
        <v>89</v>
      </c>
      <c r="U67" s="131" t="s">
        <v>89</v>
      </c>
      <c r="V67" s="131" t="s">
        <v>89</v>
      </c>
      <c r="W67" s="131" t="s">
        <v>89</v>
      </c>
      <c r="X67" s="1"/>
      <c r="Y67" s="1"/>
      <c r="Z67" s="1"/>
    </row>
    <row r="68" spans="1:26" ht="15" hidden="1" customHeight="1" x14ac:dyDescent="0.35">
      <c r="A68" s="152" t="s">
        <v>47</v>
      </c>
      <c r="B68" s="128" t="s">
        <v>276</v>
      </c>
      <c r="C68" s="4"/>
      <c r="D68" s="4"/>
      <c r="E68" s="4"/>
      <c r="F68" s="142">
        <v>5.4989999999999997</v>
      </c>
      <c r="G68" s="68" t="s">
        <v>94</v>
      </c>
      <c r="H68" s="224" t="s">
        <v>275</v>
      </c>
      <c r="I68" s="224"/>
      <c r="J68" s="224"/>
      <c r="K68" s="224"/>
      <c r="L68" s="224"/>
      <c r="M68" s="224"/>
      <c r="N68" s="131" t="s">
        <v>89</v>
      </c>
      <c r="O68" s="131" t="s">
        <v>89</v>
      </c>
      <c r="P68" s="131" t="s">
        <v>89</v>
      </c>
      <c r="Q68" s="131" t="s">
        <v>89</v>
      </c>
      <c r="R68" s="131" t="s">
        <v>89</v>
      </c>
      <c r="S68" s="131" t="s">
        <v>89</v>
      </c>
      <c r="T68" s="131" t="s">
        <v>89</v>
      </c>
      <c r="U68" s="131" t="s">
        <v>89</v>
      </c>
      <c r="V68" s="131" t="s">
        <v>89</v>
      </c>
      <c r="W68" s="131" t="s">
        <v>89</v>
      </c>
      <c r="X68" s="1"/>
      <c r="Y68" s="1"/>
      <c r="Z68" s="1"/>
    </row>
    <row r="69" spans="1:26" ht="15" hidden="1" customHeight="1" x14ac:dyDescent="0.35">
      <c r="A69" s="152" t="s">
        <v>25</v>
      </c>
      <c r="B69" s="128" t="s">
        <v>277</v>
      </c>
      <c r="C69" s="4"/>
      <c r="D69" s="4"/>
      <c r="E69" s="4"/>
      <c r="F69" s="142">
        <v>4.3140000000000001</v>
      </c>
      <c r="G69" s="68" t="s">
        <v>94</v>
      </c>
      <c r="H69" s="224" t="s">
        <v>278</v>
      </c>
      <c r="I69" s="224"/>
      <c r="J69" s="224"/>
      <c r="K69" s="224"/>
      <c r="L69" s="224"/>
      <c r="M69" s="224"/>
      <c r="N69" s="131" t="s">
        <v>89</v>
      </c>
      <c r="O69" s="131" t="s">
        <v>89</v>
      </c>
      <c r="P69" s="131" t="s">
        <v>89</v>
      </c>
      <c r="Q69" s="131" t="s">
        <v>89</v>
      </c>
      <c r="R69" s="131" t="s">
        <v>89</v>
      </c>
      <c r="S69" s="131" t="s">
        <v>89</v>
      </c>
      <c r="T69" s="131" t="s">
        <v>89</v>
      </c>
      <c r="U69" s="131" t="s">
        <v>89</v>
      </c>
      <c r="V69" s="131" t="s">
        <v>89</v>
      </c>
      <c r="W69" s="131" t="s">
        <v>89</v>
      </c>
      <c r="X69" s="1"/>
      <c r="Y69" s="1"/>
      <c r="Z69" s="1"/>
    </row>
    <row r="70" spans="1:26" ht="15" hidden="1" customHeight="1" x14ac:dyDescent="0.35">
      <c r="A70" s="152" t="s">
        <v>47</v>
      </c>
      <c r="B70" s="128" t="s">
        <v>279</v>
      </c>
      <c r="C70" s="4"/>
      <c r="D70" s="4"/>
      <c r="E70" s="4"/>
      <c r="F70" s="142">
        <v>3.9119999999999999</v>
      </c>
      <c r="G70" s="68" t="s">
        <v>86</v>
      </c>
      <c r="H70" s="224" t="s">
        <v>275</v>
      </c>
      <c r="I70" s="224"/>
      <c r="J70" s="224"/>
      <c r="K70" s="224"/>
      <c r="L70" s="224"/>
      <c r="M70" s="224"/>
      <c r="N70" s="131" t="s">
        <v>89</v>
      </c>
      <c r="O70" s="131" t="s">
        <v>89</v>
      </c>
      <c r="P70" s="131" t="s">
        <v>89</v>
      </c>
      <c r="Q70" s="131" t="s">
        <v>89</v>
      </c>
      <c r="R70" s="131" t="s">
        <v>89</v>
      </c>
      <c r="S70" s="131" t="s">
        <v>89</v>
      </c>
      <c r="T70" s="131" t="s">
        <v>89</v>
      </c>
      <c r="U70" s="131" t="s">
        <v>89</v>
      </c>
      <c r="V70" s="131" t="s">
        <v>89</v>
      </c>
      <c r="W70" s="131" t="s">
        <v>89</v>
      </c>
      <c r="X70" s="1"/>
      <c r="Y70" s="1"/>
      <c r="Z70" s="1"/>
    </row>
    <row r="71" spans="1:26" ht="15" hidden="1" customHeight="1" x14ac:dyDescent="0.35">
      <c r="A71" s="152" t="s">
        <v>47</v>
      </c>
      <c r="B71" s="128" t="s">
        <v>280</v>
      </c>
      <c r="C71" s="4"/>
      <c r="D71" s="4"/>
      <c r="E71" s="4"/>
      <c r="F71" s="142">
        <v>3.609</v>
      </c>
      <c r="G71" s="68" t="s">
        <v>94</v>
      </c>
      <c r="H71" s="224" t="s">
        <v>275</v>
      </c>
      <c r="I71" s="224"/>
      <c r="J71" s="224"/>
      <c r="K71" s="224"/>
      <c r="L71" s="224"/>
      <c r="M71" s="224"/>
      <c r="N71" s="131" t="s">
        <v>89</v>
      </c>
      <c r="O71" s="131" t="s">
        <v>89</v>
      </c>
      <c r="P71" s="131" t="s">
        <v>89</v>
      </c>
      <c r="Q71" s="131" t="s">
        <v>89</v>
      </c>
      <c r="R71" s="131" t="s">
        <v>89</v>
      </c>
      <c r="S71" s="131" t="s">
        <v>89</v>
      </c>
      <c r="T71" s="131" t="s">
        <v>89</v>
      </c>
      <c r="U71" s="131" t="s">
        <v>89</v>
      </c>
      <c r="V71" s="131" t="s">
        <v>89</v>
      </c>
      <c r="W71" s="131" t="s">
        <v>89</v>
      </c>
      <c r="X71" s="1"/>
      <c r="Y71" s="1"/>
      <c r="Z71" s="1"/>
    </row>
    <row r="72" spans="1:26" hidden="1" x14ac:dyDescent="0.35">
      <c r="A72" s="152" t="s">
        <v>47</v>
      </c>
      <c r="B72" s="128" t="s">
        <v>262</v>
      </c>
      <c r="C72" s="4"/>
      <c r="D72" s="4"/>
      <c r="E72" s="4"/>
      <c r="F72" s="142">
        <v>2.552</v>
      </c>
      <c r="G72" s="68" t="s">
        <v>86</v>
      </c>
      <c r="H72" s="224" t="s">
        <v>98</v>
      </c>
      <c r="I72" s="224"/>
      <c r="J72" s="224"/>
      <c r="K72" s="224"/>
      <c r="L72" s="224"/>
      <c r="M72" s="224"/>
      <c r="N72" s="131" t="s">
        <v>89</v>
      </c>
      <c r="O72" s="131" t="s">
        <v>89</v>
      </c>
      <c r="P72" s="131" t="s">
        <v>89</v>
      </c>
      <c r="Q72" s="131" t="s">
        <v>89</v>
      </c>
      <c r="R72" s="131" t="s">
        <v>89</v>
      </c>
      <c r="S72" s="131" t="s">
        <v>89</v>
      </c>
      <c r="T72" s="131" t="s">
        <v>89</v>
      </c>
      <c r="U72" s="131" t="s">
        <v>89</v>
      </c>
      <c r="V72" s="131" t="s">
        <v>89</v>
      </c>
      <c r="W72" s="131" t="s">
        <v>89</v>
      </c>
      <c r="X72" s="1"/>
      <c r="Y72" s="1"/>
      <c r="Z72" s="1"/>
    </row>
    <row r="73" spans="1:26" x14ac:dyDescent="0.35">
      <c r="A73" s="152"/>
      <c r="B73" s="156"/>
      <c r="C73" s="4"/>
      <c r="D73" s="4"/>
      <c r="E73" s="4"/>
      <c r="F73" s="153"/>
      <c r="G73" s="154"/>
      <c r="H73" s="157"/>
      <c r="I73" s="157"/>
      <c r="J73" s="157"/>
      <c r="K73" s="157"/>
      <c r="L73" s="157"/>
      <c r="M73" s="157"/>
      <c r="N73" s="1"/>
      <c r="O73" s="1"/>
      <c r="P73" s="4"/>
      <c r="Q73" s="4"/>
      <c r="R73" s="155"/>
      <c r="S73" s="4"/>
      <c r="T73" s="4"/>
      <c r="U73" s="3"/>
      <c r="V73" s="1"/>
      <c r="W73" s="1"/>
      <c r="X73" s="1"/>
      <c r="Y73" s="1"/>
      <c r="Z73" s="1"/>
    </row>
    <row r="74" spans="1:26" ht="15.5" x14ac:dyDescent="0.35">
      <c r="A74" s="116"/>
      <c r="B74" s="117"/>
      <c r="C74" s="118"/>
      <c r="D74" s="118"/>
      <c r="E74" s="118"/>
      <c r="F74" s="117"/>
      <c r="G74" s="119" t="s">
        <v>75</v>
      </c>
      <c r="H74" s="217" t="s">
        <v>76</v>
      </c>
      <c r="I74" s="217"/>
      <c r="J74" s="217"/>
      <c r="K74" s="217"/>
      <c r="L74" s="217"/>
      <c r="M74" s="217"/>
      <c r="N74" s="118" t="s">
        <v>64</v>
      </c>
      <c r="O74" s="118" t="s">
        <v>65</v>
      </c>
      <c r="P74" s="118" t="s">
        <v>66</v>
      </c>
      <c r="Q74" s="118" t="s">
        <v>67</v>
      </c>
      <c r="R74" s="118" t="s">
        <v>68</v>
      </c>
      <c r="S74" s="118" t="s">
        <v>69</v>
      </c>
      <c r="T74" s="118" t="s">
        <v>70</v>
      </c>
      <c r="U74" s="118" t="s">
        <v>71</v>
      </c>
      <c r="V74" s="118" t="s">
        <v>72</v>
      </c>
      <c r="W74" s="118" t="s">
        <v>73</v>
      </c>
      <c r="X74" s="120"/>
      <c r="Y74" s="120"/>
      <c r="Z74" s="121"/>
    </row>
    <row r="75" spans="1:26" x14ac:dyDescent="0.35">
      <c r="A75" s="122" t="s">
        <v>77</v>
      </c>
      <c r="B75" s="123" t="s">
        <v>78</v>
      </c>
      <c r="C75" s="124"/>
      <c r="D75" s="124"/>
      <c r="E75" s="124"/>
      <c r="F75" s="125" t="s">
        <v>120</v>
      </c>
      <c r="G75" s="126" t="s">
        <v>80</v>
      </c>
      <c r="H75" s="225" t="s">
        <v>81</v>
      </c>
      <c r="I75" s="225"/>
      <c r="J75" s="225"/>
      <c r="K75" s="225"/>
      <c r="L75" s="225"/>
      <c r="M75" s="225"/>
      <c r="N75" s="124">
        <f t="shared" ref="N75:U75" si="33">+O75-7</f>
        <v>45160</v>
      </c>
      <c r="O75" s="124">
        <f t="shared" si="33"/>
        <v>45167</v>
      </c>
      <c r="P75" s="124">
        <f t="shared" si="33"/>
        <v>45174</v>
      </c>
      <c r="Q75" s="124">
        <f t="shared" si="33"/>
        <v>45181</v>
      </c>
      <c r="R75" s="124">
        <f t="shared" si="33"/>
        <v>45188</v>
      </c>
      <c r="S75" s="124">
        <f t="shared" si="33"/>
        <v>45195</v>
      </c>
      <c r="T75" s="124">
        <f t="shared" si="33"/>
        <v>45202</v>
      </c>
      <c r="U75" s="124">
        <f t="shared" si="33"/>
        <v>45209</v>
      </c>
      <c r="V75" s="124">
        <f>+W75-7</f>
        <v>45216</v>
      </c>
      <c r="W75" s="124">
        <v>45223</v>
      </c>
      <c r="X75" s="125" t="s">
        <v>82</v>
      </c>
      <c r="Y75" s="125" t="s">
        <v>83</v>
      </c>
      <c r="Z75" s="127" t="s">
        <v>84</v>
      </c>
    </row>
    <row r="76" spans="1:26" hidden="1" x14ac:dyDescent="0.35">
      <c r="A76" s="152" t="s">
        <v>25</v>
      </c>
      <c r="B76" s="152" t="s">
        <v>121</v>
      </c>
      <c r="C76" s="4"/>
      <c r="D76" s="4"/>
      <c r="E76" s="4"/>
      <c r="F76" s="68">
        <v>1.5</v>
      </c>
      <c r="G76" s="158">
        <v>2</v>
      </c>
      <c r="H76" s="227" t="s">
        <v>122</v>
      </c>
      <c r="I76" s="227"/>
      <c r="J76" s="227"/>
      <c r="K76" s="227"/>
      <c r="L76" s="227"/>
      <c r="M76" s="227"/>
      <c r="N76" s="143" t="s">
        <v>99</v>
      </c>
      <c r="O76" s="131" t="s">
        <v>89</v>
      </c>
      <c r="P76" s="131" t="s">
        <v>89</v>
      </c>
      <c r="Q76" s="131" t="s">
        <v>89</v>
      </c>
      <c r="R76" s="131" t="s">
        <v>89</v>
      </c>
      <c r="S76" s="131" t="s">
        <v>89</v>
      </c>
      <c r="T76" s="131" t="s">
        <v>89</v>
      </c>
      <c r="U76" s="131" t="s">
        <v>89</v>
      </c>
      <c r="V76" s="131" t="s">
        <v>89</v>
      </c>
      <c r="W76" s="131" t="s">
        <v>89</v>
      </c>
      <c r="X76" s="159"/>
      <c r="Y76" s="159"/>
      <c r="Z76" s="159"/>
    </row>
    <row r="77" spans="1:26" ht="29" hidden="1" x14ac:dyDescent="0.35">
      <c r="A77" s="152" t="s">
        <v>148</v>
      </c>
      <c r="B77" s="176" t="s">
        <v>123</v>
      </c>
      <c r="C77" s="4"/>
      <c r="D77" s="4"/>
      <c r="E77" s="4"/>
      <c r="F77" s="68">
        <v>1.2</v>
      </c>
      <c r="G77" s="158">
        <v>3</v>
      </c>
      <c r="H77" s="227" t="s">
        <v>182</v>
      </c>
      <c r="I77" s="227"/>
      <c r="J77" s="227"/>
      <c r="K77" s="227"/>
      <c r="L77" s="227"/>
      <c r="M77" s="227"/>
      <c r="N77" s="131" t="s">
        <v>89</v>
      </c>
      <c r="O77" s="131" t="s">
        <v>89</v>
      </c>
      <c r="P77" s="131" t="s">
        <v>89</v>
      </c>
      <c r="Q77" s="131" t="s">
        <v>89</v>
      </c>
      <c r="R77" s="131" t="s">
        <v>89</v>
      </c>
      <c r="S77" s="131" t="s">
        <v>89</v>
      </c>
      <c r="T77" s="131" t="s">
        <v>89</v>
      </c>
      <c r="U77" s="131" t="s">
        <v>89</v>
      </c>
      <c r="V77" s="131" t="s">
        <v>89</v>
      </c>
      <c r="W77" s="131" t="s">
        <v>89</v>
      </c>
      <c r="X77" s="159"/>
      <c r="Y77" s="159"/>
      <c r="Z77" s="159"/>
    </row>
    <row r="78" spans="1:26" hidden="1" x14ac:dyDescent="0.35">
      <c r="A78" s="152" t="s">
        <v>25</v>
      </c>
      <c r="B78" s="176" t="s">
        <v>126</v>
      </c>
      <c r="C78" s="4"/>
      <c r="D78" s="4"/>
      <c r="E78" s="4"/>
      <c r="F78" s="68">
        <v>1.5</v>
      </c>
      <c r="G78" s="158">
        <v>2</v>
      </c>
      <c r="H78" s="233" t="s">
        <v>125</v>
      </c>
      <c r="I78" s="233"/>
      <c r="J78" s="233"/>
      <c r="K78" s="233"/>
      <c r="L78" s="233"/>
      <c r="M78" s="233"/>
      <c r="N78" s="131" t="s">
        <v>89</v>
      </c>
      <c r="O78" s="143" t="s">
        <v>99</v>
      </c>
      <c r="P78" s="143" t="s">
        <v>99</v>
      </c>
      <c r="Q78" s="143" t="s">
        <v>99</v>
      </c>
      <c r="R78" s="143" t="s">
        <v>99</v>
      </c>
      <c r="S78" s="143" t="s">
        <v>99</v>
      </c>
      <c r="T78" s="143" t="s">
        <v>99</v>
      </c>
      <c r="U78" s="143" t="s">
        <v>99</v>
      </c>
      <c r="V78" s="143" t="s">
        <v>99</v>
      </c>
      <c r="W78" s="143" t="s">
        <v>99</v>
      </c>
      <c r="X78" s="159"/>
      <c r="Y78" s="159"/>
      <c r="Z78" s="159"/>
    </row>
    <row r="79" spans="1:26" hidden="1" x14ac:dyDescent="0.35">
      <c r="A79" s="152" t="s">
        <v>25</v>
      </c>
      <c r="B79" s="180" t="s">
        <v>127</v>
      </c>
      <c r="C79" s="4"/>
      <c r="D79" s="4"/>
      <c r="E79" s="4"/>
      <c r="F79" s="68">
        <v>1</v>
      </c>
      <c r="G79" s="158">
        <v>4</v>
      </c>
      <c r="H79" s="227" t="s">
        <v>87</v>
      </c>
      <c r="I79" s="227"/>
      <c r="J79" s="227"/>
      <c r="K79" s="227"/>
      <c r="L79" s="227"/>
      <c r="M79" s="227"/>
      <c r="N79" s="131" t="s">
        <v>89</v>
      </c>
      <c r="O79" s="131" t="s">
        <v>89</v>
      </c>
      <c r="P79" s="131" t="s">
        <v>89</v>
      </c>
      <c r="Q79" s="131" t="s">
        <v>89</v>
      </c>
      <c r="R79" s="131" t="s">
        <v>89</v>
      </c>
      <c r="S79" s="131" t="s">
        <v>89</v>
      </c>
      <c r="T79" s="131" t="s">
        <v>89</v>
      </c>
      <c r="U79" s="131" t="s">
        <v>89</v>
      </c>
      <c r="V79" s="131" t="s">
        <v>89</v>
      </c>
      <c r="W79" s="131" t="s">
        <v>89</v>
      </c>
      <c r="X79" s="159"/>
      <c r="Y79" s="159"/>
      <c r="Z79" s="159"/>
    </row>
    <row r="80" spans="1:26" hidden="1" x14ac:dyDescent="0.35">
      <c r="A80" s="152" t="s">
        <v>25</v>
      </c>
      <c r="B80" s="160" t="s">
        <v>130</v>
      </c>
      <c r="C80" s="4"/>
      <c r="D80" s="4"/>
      <c r="E80" s="4"/>
      <c r="F80" s="68">
        <v>2</v>
      </c>
      <c r="G80" s="158" t="s">
        <v>129</v>
      </c>
      <c r="H80" s="227" t="s">
        <v>156</v>
      </c>
      <c r="I80" s="227"/>
      <c r="J80" s="227"/>
      <c r="K80" s="227"/>
      <c r="L80" s="227"/>
      <c r="M80" s="227"/>
      <c r="N80" s="131" t="s">
        <v>89</v>
      </c>
      <c r="O80" s="131" t="s">
        <v>89</v>
      </c>
      <c r="P80" s="131" t="s">
        <v>89</v>
      </c>
      <c r="Q80" s="131" t="s">
        <v>89</v>
      </c>
      <c r="R80" s="131" t="s">
        <v>89</v>
      </c>
      <c r="S80" s="131" t="s">
        <v>89</v>
      </c>
      <c r="T80" s="131" t="s">
        <v>89</v>
      </c>
      <c r="U80" s="131" t="s">
        <v>89</v>
      </c>
      <c r="V80" s="131" t="s">
        <v>89</v>
      </c>
      <c r="W80" s="131" t="s">
        <v>89</v>
      </c>
      <c r="X80" s="159"/>
      <c r="Y80" s="159"/>
      <c r="Z80" s="159"/>
    </row>
    <row r="81" spans="1:26" hidden="1" x14ac:dyDescent="0.35">
      <c r="A81" s="152" t="s">
        <v>131</v>
      </c>
      <c r="B81" s="152" t="s">
        <v>132</v>
      </c>
      <c r="C81" s="4"/>
      <c r="D81" s="4"/>
      <c r="E81" s="4"/>
      <c r="F81" s="68">
        <v>1.5</v>
      </c>
      <c r="G81" s="158" t="s">
        <v>133</v>
      </c>
      <c r="H81" s="227" t="s">
        <v>134</v>
      </c>
      <c r="I81" s="227"/>
      <c r="J81" s="227"/>
      <c r="K81" s="227"/>
      <c r="L81" s="227"/>
      <c r="M81" s="227"/>
      <c r="N81" s="143" t="s">
        <v>99</v>
      </c>
      <c r="O81" s="143" t="s">
        <v>99</v>
      </c>
      <c r="P81" s="143" t="s">
        <v>99</v>
      </c>
      <c r="Q81" s="143" t="s">
        <v>99</v>
      </c>
      <c r="R81" s="143" t="s">
        <v>99</v>
      </c>
      <c r="S81" s="143" t="s">
        <v>99</v>
      </c>
      <c r="T81" s="143" t="s">
        <v>99</v>
      </c>
      <c r="U81" s="143" t="s">
        <v>99</v>
      </c>
      <c r="V81" s="143" t="s">
        <v>99</v>
      </c>
      <c r="W81" s="143" t="s">
        <v>99</v>
      </c>
      <c r="X81" s="159"/>
      <c r="Y81" s="159"/>
      <c r="Z81" s="159"/>
    </row>
    <row r="82" spans="1:26" hidden="1" x14ac:dyDescent="0.35">
      <c r="A82" s="152" t="s">
        <v>128</v>
      </c>
      <c r="B82" s="152" t="s">
        <v>135</v>
      </c>
      <c r="C82" s="4"/>
      <c r="D82" s="4"/>
      <c r="E82" s="4"/>
      <c r="F82" s="68">
        <v>1</v>
      </c>
      <c r="G82" s="158" t="s">
        <v>136</v>
      </c>
      <c r="H82" s="227" t="s">
        <v>137</v>
      </c>
      <c r="I82" s="227"/>
      <c r="J82" s="227"/>
      <c r="K82" s="227"/>
      <c r="L82" s="227"/>
      <c r="M82" s="227"/>
      <c r="N82" s="143" t="s">
        <v>99</v>
      </c>
      <c r="O82" s="143" t="s">
        <v>99</v>
      </c>
      <c r="P82" s="143" t="s">
        <v>99</v>
      </c>
      <c r="Q82" s="143" t="s">
        <v>99</v>
      </c>
      <c r="R82" s="143" t="s">
        <v>99</v>
      </c>
      <c r="S82" s="143" t="s">
        <v>99</v>
      </c>
      <c r="T82" s="143" t="s">
        <v>99</v>
      </c>
      <c r="U82" s="143" t="s">
        <v>99</v>
      </c>
      <c r="V82" s="143" t="s">
        <v>99</v>
      </c>
      <c r="W82" s="143" t="s">
        <v>99</v>
      </c>
      <c r="X82" s="159"/>
      <c r="Y82" s="159"/>
      <c r="Z82" s="159"/>
    </row>
    <row r="83" spans="1:26" hidden="1" x14ac:dyDescent="0.35">
      <c r="A83" s="152" t="s">
        <v>47</v>
      </c>
      <c r="B83" s="152" t="s">
        <v>138</v>
      </c>
      <c r="C83" s="4"/>
      <c r="D83" s="4"/>
      <c r="E83" s="4"/>
      <c r="F83" s="68">
        <v>1</v>
      </c>
      <c r="G83" s="158" t="s">
        <v>136</v>
      </c>
      <c r="H83" s="227" t="s">
        <v>139</v>
      </c>
      <c r="I83" s="227"/>
      <c r="J83" s="227"/>
      <c r="K83" s="227"/>
      <c r="L83" s="227"/>
      <c r="M83" s="227"/>
      <c r="N83" s="131" t="s">
        <v>89</v>
      </c>
      <c r="O83" s="131" t="s">
        <v>89</v>
      </c>
      <c r="P83" s="131" t="s">
        <v>89</v>
      </c>
      <c r="Q83" s="131" t="s">
        <v>89</v>
      </c>
      <c r="R83" s="131" t="s">
        <v>89</v>
      </c>
      <c r="S83" s="131" t="s">
        <v>89</v>
      </c>
      <c r="T83" s="131" t="s">
        <v>89</v>
      </c>
      <c r="U83" s="131" t="s">
        <v>89</v>
      </c>
      <c r="V83" s="131" t="s">
        <v>89</v>
      </c>
      <c r="W83" s="131" t="s">
        <v>89</v>
      </c>
      <c r="X83" s="159"/>
      <c r="Y83" s="159"/>
      <c r="Z83" s="159"/>
    </row>
    <row r="84" spans="1:26" hidden="1" x14ac:dyDescent="0.35">
      <c r="A84" s="152" t="s">
        <v>25</v>
      </c>
      <c r="B84" s="152" t="s">
        <v>96</v>
      </c>
      <c r="C84" s="4"/>
      <c r="D84" s="4"/>
      <c r="E84" s="4"/>
      <c r="F84" s="68">
        <v>1.5</v>
      </c>
      <c r="G84" s="158" t="s">
        <v>140</v>
      </c>
      <c r="H84" s="227" t="s">
        <v>163</v>
      </c>
      <c r="I84" s="227"/>
      <c r="J84" s="227"/>
      <c r="K84" s="227"/>
      <c r="L84" s="227"/>
      <c r="M84" s="227"/>
      <c r="N84" s="131" t="s">
        <v>89</v>
      </c>
      <c r="O84" s="131" t="s">
        <v>89</v>
      </c>
      <c r="P84" s="131" t="s">
        <v>89</v>
      </c>
      <c r="Q84" s="131" t="s">
        <v>89</v>
      </c>
      <c r="R84" s="131" t="s">
        <v>89</v>
      </c>
      <c r="S84" s="131" t="s">
        <v>89</v>
      </c>
      <c r="T84" s="131" t="s">
        <v>89</v>
      </c>
      <c r="U84" s="131" t="s">
        <v>89</v>
      </c>
      <c r="V84" s="131" t="s">
        <v>89</v>
      </c>
      <c r="W84" s="131" t="s">
        <v>89</v>
      </c>
      <c r="X84" s="159"/>
      <c r="Y84" s="159"/>
      <c r="Z84" s="159"/>
    </row>
    <row r="85" spans="1:26" hidden="1" x14ac:dyDescent="0.35">
      <c r="A85" s="152" t="s">
        <v>47</v>
      </c>
      <c r="B85" s="152" t="s">
        <v>141</v>
      </c>
      <c r="C85" s="4"/>
      <c r="D85" s="4"/>
      <c r="E85" s="4"/>
      <c r="F85" s="68">
        <v>1.2</v>
      </c>
      <c r="G85" s="158" t="s">
        <v>140</v>
      </c>
      <c r="H85" s="227" t="s">
        <v>171</v>
      </c>
      <c r="I85" s="227"/>
      <c r="J85" s="227"/>
      <c r="K85" s="227"/>
      <c r="L85" s="227"/>
      <c r="M85" s="227"/>
      <c r="N85" s="131" t="s">
        <v>89</v>
      </c>
      <c r="O85" s="131" t="s">
        <v>89</v>
      </c>
      <c r="P85" s="131" t="s">
        <v>89</v>
      </c>
      <c r="Q85" s="131" t="s">
        <v>89</v>
      </c>
      <c r="R85" s="131" t="s">
        <v>89</v>
      </c>
      <c r="S85" s="131" t="s">
        <v>89</v>
      </c>
      <c r="T85" s="131" t="s">
        <v>89</v>
      </c>
      <c r="U85" s="131" t="s">
        <v>89</v>
      </c>
      <c r="V85" s="131" t="s">
        <v>89</v>
      </c>
      <c r="W85" s="131" t="s">
        <v>89</v>
      </c>
      <c r="X85" s="159"/>
      <c r="Y85" s="159"/>
      <c r="Z85" s="159"/>
    </row>
    <row r="86" spans="1:26" hidden="1" x14ac:dyDescent="0.35">
      <c r="A86" s="152" t="s">
        <v>47</v>
      </c>
      <c r="B86" s="152" t="s">
        <v>142</v>
      </c>
      <c r="C86" s="4"/>
      <c r="D86" s="4"/>
      <c r="E86" s="4"/>
      <c r="F86" s="68">
        <v>1</v>
      </c>
      <c r="G86" s="158" t="s">
        <v>129</v>
      </c>
      <c r="H86" s="227" t="s">
        <v>143</v>
      </c>
      <c r="I86" s="227"/>
      <c r="J86" s="227"/>
      <c r="K86" s="227"/>
      <c r="L86" s="227"/>
      <c r="M86" s="227"/>
      <c r="N86" s="143" t="s">
        <v>99</v>
      </c>
      <c r="O86" s="143" t="s">
        <v>99</v>
      </c>
      <c r="P86" s="143" t="s">
        <v>99</v>
      </c>
      <c r="Q86" s="143" t="s">
        <v>99</v>
      </c>
      <c r="R86" s="143" t="s">
        <v>99</v>
      </c>
      <c r="S86" s="143" t="s">
        <v>99</v>
      </c>
      <c r="T86" s="143" t="s">
        <v>99</v>
      </c>
      <c r="U86" s="143" t="s">
        <v>99</v>
      </c>
      <c r="V86" s="143" t="s">
        <v>99</v>
      </c>
      <c r="W86" s="143" t="s">
        <v>99</v>
      </c>
      <c r="X86" s="159"/>
      <c r="Y86" s="159"/>
      <c r="Z86" s="159"/>
    </row>
    <row r="87" spans="1:26" ht="29" hidden="1" x14ac:dyDescent="0.35">
      <c r="A87" s="152" t="s">
        <v>25</v>
      </c>
      <c r="B87" s="176" t="s">
        <v>93</v>
      </c>
      <c r="C87" s="4"/>
      <c r="D87" s="4"/>
      <c r="E87" s="4"/>
      <c r="F87" s="68">
        <v>1.5</v>
      </c>
      <c r="G87" s="158" t="s">
        <v>133</v>
      </c>
      <c r="H87" s="227" t="s">
        <v>125</v>
      </c>
      <c r="I87" s="227"/>
      <c r="J87" s="227"/>
      <c r="K87" s="227"/>
      <c r="L87" s="227"/>
      <c r="M87" s="227"/>
      <c r="N87" s="131" t="s">
        <v>89</v>
      </c>
      <c r="O87" s="131" t="s">
        <v>89</v>
      </c>
      <c r="P87" s="131" t="s">
        <v>89</v>
      </c>
      <c r="Q87" s="131" t="s">
        <v>89</v>
      </c>
      <c r="R87" s="131" t="s">
        <v>89</v>
      </c>
      <c r="S87" s="131" t="s">
        <v>89</v>
      </c>
      <c r="T87" s="131" t="s">
        <v>89</v>
      </c>
      <c r="U87" s="131" t="s">
        <v>89</v>
      </c>
      <c r="V87" s="131" t="s">
        <v>89</v>
      </c>
      <c r="W87" s="131" t="s">
        <v>89</v>
      </c>
      <c r="X87" s="159"/>
      <c r="Y87" s="159"/>
      <c r="Z87" s="159"/>
    </row>
    <row r="88" spans="1:26" ht="29" hidden="1" x14ac:dyDescent="0.35">
      <c r="A88" s="152" t="s">
        <v>47</v>
      </c>
      <c r="B88" s="152" t="s">
        <v>145</v>
      </c>
      <c r="C88" s="4"/>
      <c r="D88" s="4"/>
      <c r="E88" s="4"/>
      <c r="F88" s="68">
        <v>1</v>
      </c>
      <c r="G88" s="158" t="s">
        <v>136</v>
      </c>
      <c r="H88" s="227" t="s">
        <v>146</v>
      </c>
      <c r="I88" s="227"/>
      <c r="J88" s="227"/>
      <c r="K88" s="227"/>
      <c r="L88" s="227"/>
      <c r="M88" s="227"/>
      <c r="N88" s="131" t="s">
        <v>89</v>
      </c>
      <c r="O88" s="131" t="s">
        <v>89</v>
      </c>
      <c r="P88" s="131" t="s">
        <v>89</v>
      </c>
      <c r="Q88" s="131" t="s">
        <v>89</v>
      </c>
      <c r="R88" s="131" t="s">
        <v>89</v>
      </c>
      <c r="S88" s="131" t="s">
        <v>89</v>
      </c>
      <c r="T88" s="131" t="s">
        <v>89</v>
      </c>
      <c r="U88" s="131" t="s">
        <v>89</v>
      </c>
      <c r="V88" s="131" t="s">
        <v>89</v>
      </c>
      <c r="W88" s="131" t="s">
        <v>89</v>
      </c>
      <c r="X88" s="159"/>
      <c r="Y88" s="159"/>
      <c r="Z88" s="159"/>
    </row>
    <row r="89" spans="1:26" hidden="1" x14ac:dyDescent="0.35">
      <c r="A89" s="152" t="s">
        <v>144</v>
      </c>
      <c r="B89" s="152" t="s">
        <v>147</v>
      </c>
      <c r="C89" s="4"/>
      <c r="D89" s="4"/>
      <c r="E89" s="4"/>
      <c r="F89" s="68">
        <v>2.5</v>
      </c>
      <c r="G89" s="158"/>
      <c r="H89" s="227" t="s">
        <v>183</v>
      </c>
      <c r="I89" s="227"/>
      <c r="J89" s="227"/>
      <c r="K89" s="227"/>
      <c r="L89" s="227"/>
      <c r="M89" s="227"/>
      <c r="N89" s="131" t="s">
        <v>89</v>
      </c>
      <c r="O89" s="131" t="s">
        <v>89</v>
      </c>
      <c r="P89" s="131" t="s">
        <v>89</v>
      </c>
      <c r="Q89" s="131" t="s">
        <v>89</v>
      </c>
      <c r="R89" s="131" t="s">
        <v>89</v>
      </c>
      <c r="S89" s="131" t="s">
        <v>89</v>
      </c>
      <c r="T89" s="131" t="s">
        <v>89</v>
      </c>
      <c r="U89" s="131" t="s">
        <v>89</v>
      </c>
      <c r="V89" s="131" t="s">
        <v>89</v>
      </c>
      <c r="W89" s="131" t="s">
        <v>89</v>
      </c>
      <c r="X89" s="159"/>
      <c r="Y89" s="159"/>
      <c r="Z89" s="159"/>
    </row>
    <row r="90" spans="1:26" hidden="1" x14ac:dyDescent="0.35">
      <c r="A90" s="152" t="s">
        <v>47</v>
      </c>
      <c r="B90" s="160" t="s">
        <v>149</v>
      </c>
      <c r="C90" s="4"/>
      <c r="D90" s="4"/>
      <c r="E90" s="4"/>
      <c r="F90" s="68">
        <v>55</v>
      </c>
      <c r="G90" s="158"/>
      <c r="H90" s="227" t="s">
        <v>185</v>
      </c>
      <c r="I90" s="227"/>
      <c r="J90" s="227"/>
      <c r="K90" s="227"/>
      <c r="L90" s="227"/>
      <c r="M90" s="227"/>
      <c r="N90" s="131" t="s">
        <v>89</v>
      </c>
      <c r="O90" s="131" t="s">
        <v>89</v>
      </c>
      <c r="P90" s="131" t="s">
        <v>89</v>
      </c>
      <c r="Q90" s="131" t="s">
        <v>89</v>
      </c>
      <c r="R90" s="131" t="s">
        <v>89</v>
      </c>
      <c r="S90" s="131" t="s">
        <v>89</v>
      </c>
      <c r="T90" s="131" t="s">
        <v>89</v>
      </c>
      <c r="U90" s="131" t="s">
        <v>89</v>
      </c>
      <c r="V90" s="131" t="s">
        <v>89</v>
      </c>
      <c r="W90" s="131" t="s">
        <v>89</v>
      </c>
      <c r="X90" s="159"/>
      <c r="Y90" s="159"/>
      <c r="Z90" s="159"/>
    </row>
    <row r="91" spans="1:26" hidden="1" x14ac:dyDescent="0.35">
      <c r="A91" s="152" t="s">
        <v>47</v>
      </c>
      <c r="B91" s="152" t="s">
        <v>150</v>
      </c>
      <c r="C91" s="4"/>
      <c r="D91" s="4"/>
      <c r="E91" s="4"/>
      <c r="F91" s="161" t="s">
        <v>151</v>
      </c>
      <c r="G91" s="158"/>
      <c r="H91" s="227" t="s">
        <v>158</v>
      </c>
      <c r="I91" s="227"/>
      <c r="J91" s="227"/>
      <c r="K91" s="227"/>
      <c r="L91" s="227"/>
      <c r="M91" s="227"/>
      <c r="N91" s="131" t="s">
        <v>89</v>
      </c>
      <c r="O91" s="131" t="s">
        <v>89</v>
      </c>
      <c r="P91" s="131" t="s">
        <v>89</v>
      </c>
      <c r="Q91" s="131" t="s">
        <v>89</v>
      </c>
      <c r="R91" s="131" t="s">
        <v>89</v>
      </c>
      <c r="S91" s="131" t="s">
        <v>89</v>
      </c>
      <c r="T91" s="131" t="s">
        <v>89</v>
      </c>
      <c r="U91" s="131" t="s">
        <v>89</v>
      </c>
      <c r="V91" s="131" t="s">
        <v>89</v>
      </c>
      <c r="W91" s="131" t="s">
        <v>89</v>
      </c>
      <c r="X91" s="159"/>
      <c r="Y91" s="159"/>
      <c r="Z91" s="159"/>
    </row>
    <row r="92" spans="1:26" ht="29" hidden="1" x14ac:dyDescent="0.35">
      <c r="A92" s="152" t="s">
        <v>47</v>
      </c>
      <c r="B92" s="152" t="s">
        <v>152</v>
      </c>
      <c r="C92" s="4"/>
      <c r="D92" s="4"/>
      <c r="E92" s="4"/>
      <c r="F92" s="68">
        <v>1.1000000000000001</v>
      </c>
      <c r="G92" s="158"/>
      <c r="H92" s="227" t="s">
        <v>157</v>
      </c>
      <c r="I92" s="227"/>
      <c r="J92" s="227"/>
      <c r="K92" s="227"/>
      <c r="L92" s="227"/>
      <c r="M92" s="227"/>
      <c r="N92" s="131" t="s">
        <v>89</v>
      </c>
      <c r="O92" s="131" t="s">
        <v>89</v>
      </c>
      <c r="P92" s="131" t="s">
        <v>89</v>
      </c>
      <c r="Q92" s="131" t="s">
        <v>89</v>
      </c>
      <c r="R92" s="131" t="s">
        <v>89</v>
      </c>
      <c r="S92" s="131" t="s">
        <v>89</v>
      </c>
      <c r="T92" s="131" t="s">
        <v>89</v>
      </c>
      <c r="U92" s="131" t="s">
        <v>89</v>
      </c>
      <c r="V92" s="131" t="s">
        <v>89</v>
      </c>
      <c r="W92" s="131" t="s">
        <v>89</v>
      </c>
      <c r="X92" s="159" t="s">
        <v>153</v>
      </c>
      <c r="Y92" s="159"/>
      <c r="Z92" s="159"/>
    </row>
    <row r="93" spans="1:26" hidden="1" x14ac:dyDescent="0.35">
      <c r="A93" s="152" t="s">
        <v>47</v>
      </c>
      <c r="B93" s="160" t="s">
        <v>116</v>
      </c>
      <c r="C93" s="4"/>
      <c r="D93" s="4"/>
      <c r="E93" s="4"/>
      <c r="F93" s="68">
        <v>1.5</v>
      </c>
      <c r="G93" s="158"/>
      <c r="H93" s="227" t="s">
        <v>184</v>
      </c>
      <c r="I93" s="227"/>
      <c r="J93" s="227"/>
      <c r="K93" s="227"/>
      <c r="L93" s="227"/>
      <c r="M93" s="227"/>
      <c r="N93" s="131" t="s">
        <v>89</v>
      </c>
      <c r="O93" s="131" t="s">
        <v>89</v>
      </c>
      <c r="P93" s="131" t="s">
        <v>89</v>
      </c>
      <c r="Q93" s="131" t="s">
        <v>89</v>
      </c>
      <c r="R93" s="131" t="s">
        <v>89</v>
      </c>
      <c r="S93" s="131" t="s">
        <v>89</v>
      </c>
      <c r="T93" s="131" t="s">
        <v>89</v>
      </c>
      <c r="U93" s="131" t="s">
        <v>89</v>
      </c>
      <c r="V93" s="131" t="s">
        <v>89</v>
      </c>
      <c r="W93" s="131" t="s">
        <v>89</v>
      </c>
      <c r="X93" s="159"/>
      <c r="Y93" s="159"/>
      <c r="Z93" s="159"/>
    </row>
    <row r="94" spans="1:26" hidden="1" x14ac:dyDescent="0.35">
      <c r="A94" s="152" t="s">
        <v>47</v>
      </c>
      <c r="B94" s="152" t="s">
        <v>154</v>
      </c>
      <c r="C94" s="4"/>
      <c r="D94" s="4"/>
      <c r="E94" s="4"/>
      <c r="F94" s="68">
        <v>1</v>
      </c>
      <c r="G94" s="158"/>
      <c r="H94" s="227" t="s">
        <v>117</v>
      </c>
      <c r="I94" s="227"/>
      <c r="J94" s="227"/>
      <c r="K94" s="227"/>
      <c r="L94" s="227"/>
      <c r="M94" s="227"/>
      <c r="N94" s="131" t="s">
        <v>89</v>
      </c>
      <c r="O94" s="131" t="s">
        <v>89</v>
      </c>
      <c r="P94" s="131" t="s">
        <v>89</v>
      </c>
      <c r="Q94" s="131" t="s">
        <v>89</v>
      </c>
      <c r="R94" s="131" t="s">
        <v>89</v>
      </c>
      <c r="S94" s="131" t="s">
        <v>89</v>
      </c>
      <c r="T94" s="131" t="s">
        <v>89</v>
      </c>
      <c r="U94" s="131" t="s">
        <v>89</v>
      </c>
      <c r="V94" s="131" t="s">
        <v>89</v>
      </c>
      <c r="W94" s="131" t="s">
        <v>89</v>
      </c>
      <c r="X94" s="159"/>
      <c r="Y94" s="159"/>
      <c r="Z94" s="159"/>
    </row>
    <row r="95" spans="1:26" ht="29" hidden="1" x14ac:dyDescent="0.35">
      <c r="A95" s="152" t="s">
        <v>25</v>
      </c>
      <c r="B95" s="152" t="s">
        <v>159</v>
      </c>
      <c r="F95" s="68">
        <v>1</v>
      </c>
      <c r="H95" s="227" t="s">
        <v>128</v>
      </c>
      <c r="I95" s="227"/>
      <c r="J95" s="227"/>
      <c r="K95" s="227"/>
      <c r="L95" s="227"/>
      <c r="M95" s="227"/>
      <c r="N95" s="131" t="s">
        <v>89</v>
      </c>
      <c r="O95" s="131" t="s">
        <v>89</v>
      </c>
      <c r="P95" s="131" t="s">
        <v>89</v>
      </c>
      <c r="Q95" s="131" t="s">
        <v>89</v>
      </c>
      <c r="R95" s="131" t="s">
        <v>89</v>
      </c>
      <c r="S95" s="131" t="s">
        <v>89</v>
      </c>
      <c r="T95" s="131" t="s">
        <v>89</v>
      </c>
      <c r="U95" s="131" t="s">
        <v>89</v>
      </c>
      <c r="V95" s="131" t="s">
        <v>89</v>
      </c>
      <c r="W95" s="131" t="s">
        <v>89</v>
      </c>
    </row>
    <row r="96" spans="1:26" hidden="1" x14ac:dyDescent="0.35">
      <c r="A96" s="152" t="s">
        <v>128</v>
      </c>
      <c r="B96" s="176" t="s">
        <v>160</v>
      </c>
      <c r="F96" s="68">
        <v>1</v>
      </c>
      <c r="H96" s="227" t="s">
        <v>128</v>
      </c>
      <c r="I96" s="227"/>
      <c r="J96" s="227"/>
      <c r="K96" s="227"/>
      <c r="L96" s="227"/>
      <c r="M96" s="227"/>
      <c r="N96" s="131" t="s">
        <v>89</v>
      </c>
      <c r="O96" s="131" t="s">
        <v>89</v>
      </c>
      <c r="P96" s="131" t="s">
        <v>89</v>
      </c>
      <c r="Q96" s="131" t="s">
        <v>89</v>
      </c>
      <c r="R96" s="131" t="s">
        <v>89</v>
      </c>
      <c r="S96" s="131" t="s">
        <v>89</v>
      </c>
      <c r="T96" s="131" t="s">
        <v>89</v>
      </c>
      <c r="U96" s="131" t="s">
        <v>89</v>
      </c>
      <c r="V96" s="131" t="s">
        <v>89</v>
      </c>
      <c r="W96" s="131" t="s">
        <v>89</v>
      </c>
    </row>
    <row r="97" spans="1:23" hidden="1" x14ac:dyDescent="0.35">
      <c r="A97" s="152" t="s">
        <v>25</v>
      </c>
      <c r="B97" s="160" t="s">
        <v>130</v>
      </c>
      <c r="F97" s="68">
        <v>1</v>
      </c>
      <c r="H97" s="227" t="s">
        <v>161</v>
      </c>
      <c r="I97" s="227"/>
      <c r="J97" s="227"/>
      <c r="K97" s="227"/>
      <c r="L97" s="227"/>
      <c r="M97" s="227"/>
      <c r="N97" s="131" t="s">
        <v>89</v>
      </c>
      <c r="O97" s="131" t="s">
        <v>89</v>
      </c>
      <c r="P97" s="131" t="s">
        <v>89</v>
      </c>
      <c r="Q97" s="131" t="s">
        <v>89</v>
      </c>
      <c r="R97" s="131" t="s">
        <v>89</v>
      </c>
      <c r="S97" s="131" t="s">
        <v>89</v>
      </c>
      <c r="T97" s="131" t="s">
        <v>89</v>
      </c>
      <c r="U97" s="131" t="s">
        <v>89</v>
      </c>
      <c r="V97" s="131" t="s">
        <v>89</v>
      </c>
      <c r="W97" s="131" t="s">
        <v>89</v>
      </c>
    </row>
    <row r="98" spans="1:23" hidden="1" x14ac:dyDescent="0.35">
      <c r="A98" s="152" t="s">
        <v>47</v>
      </c>
      <c r="B98" s="176" t="s">
        <v>162</v>
      </c>
      <c r="F98" s="68">
        <v>1</v>
      </c>
      <c r="H98" s="227" t="s">
        <v>155</v>
      </c>
      <c r="I98" s="227"/>
      <c r="J98" s="227"/>
      <c r="K98" s="227"/>
      <c r="L98" s="227"/>
      <c r="M98" s="227"/>
      <c r="N98" s="131" t="s">
        <v>89</v>
      </c>
      <c r="O98" s="131" t="s">
        <v>89</v>
      </c>
      <c r="P98" s="131" t="s">
        <v>89</v>
      </c>
      <c r="Q98" s="131" t="s">
        <v>89</v>
      </c>
      <c r="R98" s="131" t="s">
        <v>89</v>
      </c>
      <c r="S98" s="131" t="s">
        <v>89</v>
      </c>
      <c r="T98" s="131" t="s">
        <v>89</v>
      </c>
      <c r="U98" s="131" t="s">
        <v>89</v>
      </c>
      <c r="V98" s="131" t="s">
        <v>89</v>
      </c>
      <c r="W98" s="131" t="s">
        <v>89</v>
      </c>
    </row>
    <row r="99" spans="1:23" hidden="1" x14ac:dyDescent="0.35">
      <c r="A99" s="152" t="s">
        <v>47</v>
      </c>
      <c r="B99" s="180" t="s">
        <v>164</v>
      </c>
      <c r="F99" s="68">
        <v>1</v>
      </c>
      <c r="H99" s="227" t="s">
        <v>155</v>
      </c>
      <c r="I99" s="227"/>
      <c r="J99" s="227"/>
      <c r="K99" s="227"/>
      <c r="L99" s="227"/>
      <c r="M99" s="227"/>
      <c r="N99" s="131" t="s">
        <v>89</v>
      </c>
      <c r="O99" s="131" t="s">
        <v>89</v>
      </c>
      <c r="P99" s="131" t="s">
        <v>89</v>
      </c>
      <c r="Q99" s="131" t="s">
        <v>89</v>
      </c>
      <c r="R99" s="131" t="s">
        <v>89</v>
      </c>
      <c r="S99" s="131" t="s">
        <v>89</v>
      </c>
      <c r="T99" s="131" t="s">
        <v>89</v>
      </c>
      <c r="U99" s="131" t="s">
        <v>89</v>
      </c>
      <c r="V99" s="131" t="s">
        <v>89</v>
      </c>
      <c r="W99" s="131" t="s">
        <v>89</v>
      </c>
    </row>
    <row r="100" spans="1:23" hidden="1" x14ac:dyDescent="0.35">
      <c r="A100" s="152" t="s">
        <v>47</v>
      </c>
      <c r="B100" s="177" t="s">
        <v>165</v>
      </c>
      <c r="F100" s="68">
        <v>1.4</v>
      </c>
      <c r="H100" s="227" t="s">
        <v>155</v>
      </c>
      <c r="I100" s="227"/>
      <c r="J100" s="227"/>
      <c r="K100" s="227"/>
      <c r="L100" s="227"/>
      <c r="M100" s="227"/>
      <c r="N100" s="131" t="s">
        <v>89</v>
      </c>
      <c r="O100" s="131" t="s">
        <v>89</v>
      </c>
      <c r="P100" s="131" t="s">
        <v>89</v>
      </c>
      <c r="Q100" s="131" t="s">
        <v>89</v>
      </c>
      <c r="R100" s="131" t="s">
        <v>89</v>
      </c>
      <c r="S100" s="131" t="s">
        <v>89</v>
      </c>
      <c r="T100" s="131" t="s">
        <v>89</v>
      </c>
      <c r="U100" s="131" t="s">
        <v>89</v>
      </c>
      <c r="V100" s="131" t="s">
        <v>89</v>
      </c>
      <c r="W100" s="131" t="s">
        <v>89</v>
      </c>
    </row>
    <row r="101" spans="1:23" hidden="1" x14ac:dyDescent="0.35">
      <c r="A101" s="152" t="s">
        <v>25</v>
      </c>
      <c r="B101" s="176" t="s">
        <v>166</v>
      </c>
      <c r="F101" s="68">
        <v>1</v>
      </c>
      <c r="H101" s="227" t="s">
        <v>109</v>
      </c>
      <c r="I101" s="227"/>
      <c r="J101" s="227"/>
      <c r="K101" s="227"/>
      <c r="L101" s="227"/>
      <c r="M101" s="227"/>
      <c r="N101" s="131" t="s">
        <v>89</v>
      </c>
      <c r="O101" s="131" t="s">
        <v>89</v>
      </c>
      <c r="P101" s="131" t="s">
        <v>89</v>
      </c>
      <c r="Q101" s="131" t="s">
        <v>89</v>
      </c>
      <c r="R101" s="131" t="s">
        <v>89</v>
      </c>
      <c r="S101" s="131" t="s">
        <v>89</v>
      </c>
      <c r="T101" s="131" t="s">
        <v>89</v>
      </c>
      <c r="U101" s="131" t="s">
        <v>89</v>
      </c>
      <c r="V101" s="131" t="s">
        <v>89</v>
      </c>
      <c r="W101" s="131" t="s">
        <v>89</v>
      </c>
    </row>
    <row r="102" spans="1:23" hidden="1" x14ac:dyDescent="0.35">
      <c r="A102" s="152" t="s">
        <v>47</v>
      </c>
      <c r="B102" s="176" t="s">
        <v>167</v>
      </c>
      <c r="F102" s="68">
        <v>1</v>
      </c>
      <c r="H102" s="227" t="s">
        <v>192</v>
      </c>
      <c r="I102" s="227"/>
      <c r="J102" s="227"/>
      <c r="K102" s="227"/>
      <c r="L102" s="227"/>
      <c r="M102" s="227"/>
    </row>
    <row r="103" spans="1:23" hidden="1" x14ac:dyDescent="0.35">
      <c r="A103" s="152" t="s">
        <v>47</v>
      </c>
      <c r="B103" s="176" t="s">
        <v>168</v>
      </c>
      <c r="F103" s="68">
        <v>1</v>
      </c>
      <c r="H103" s="227" t="s">
        <v>117</v>
      </c>
      <c r="I103" s="227"/>
      <c r="J103" s="227"/>
      <c r="K103" s="227"/>
      <c r="L103" s="227"/>
      <c r="M103" s="227"/>
    </row>
    <row r="104" spans="1:23" hidden="1" x14ac:dyDescent="0.35">
      <c r="A104" s="152" t="s">
        <v>25</v>
      </c>
      <c r="B104" s="176" t="s">
        <v>169</v>
      </c>
      <c r="F104" s="68">
        <v>1.5</v>
      </c>
      <c r="H104" s="227" t="s">
        <v>179</v>
      </c>
      <c r="I104" s="227"/>
      <c r="J104" s="227"/>
      <c r="K104" s="227"/>
      <c r="L104" s="227"/>
      <c r="M104" s="227"/>
    </row>
    <row r="105" spans="1:23" hidden="1" x14ac:dyDescent="0.35">
      <c r="A105" s="152" t="s">
        <v>47</v>
      </c>
      <c r="B105" s="176" t="s">
        <v>172</v>
      </c>
      <c r="F105" s="68">
        <v>5.8</v>
      </c>
      <c r="H105" s="227" t="s">
        <v>190</v>
      </c>
      <c r="I105" s="227"/>
      <c r="J105" s="227"/>
      <c r="K105" s="227"/>
      <c r="L105" s="227"/>
      <c r="M105" s="227"/>
      <c r="U105" s="130" t="s">
        <v>88</v>
      </c>
      <c r="V105" s="131" t="s">
        <v>89</v>
      </c>
      <c r="W105" s="131" t="s">
        <v>89</v>
      </c>
    </row>
    <row r="106" spans="1:23" hidden="1" x14ac:dyDescent="0.35">
      <c r="A106" s="152" t="s">
        <v>128</v>
      </c>
      <c r="B106" s="176" t="s">
        <v>173</v>
      </c>
      <c r="F106" s="68">
        <v>0.8</v>
      </c>
      <c r="H106" s="227" t="s">
        <v>178</v>
      </c>
      <c r="I106" s="227"/>
      <c r="J106" s="227"/>
      <c r="K106" s="227"/>
      <c r="L106" s="227"/>
      <c r="M106" s="227"/>
      <c r="R106" s="130" t="s">
        <v>88</v>
      </c>
      <c r="S106" s="131" t="s">
        <v>89</v>
      </c>
      <c r="T106" s="131" t="s">
        <v>89</v>
      </c>
      <c r="U106" s="131" t="s">
        <v>89</v>
      </c>
      <c r="V106" s="131" t="s">
        <v>89</v>
      </c>
      <c r="W106" s="131" t="s">
        <v>89</v>
      </c>
    </row>
    <row r="107" spans="1:23" hidden="1" x14ac:dyDescent="0.35">
      <c r="A107" s="152" t="s">
        <v>128</v>
      </c>
      <c r="B107" s="176" t="s">
        <v>174</v>
      </c>
      <c r="F107" s="174">
        <v>100</v>
      </c>
      <c r="H107" s="227" t="s">
        <v>146</v>
      </c>
      <c r="I107" s="227"/>
      <c r="J107" s="227"/>
      <c r="K107" s="227"/>
      <c r="L107" s="227"/>
      <c r="M107" s="227"/>
    </row>
    <row r="108" spans="1:23" hidden="1" x14ac:dyDescent="0.35">
      <c r="A108" s="152" t="s">
        <v>47</v>
      </c>
      <c r="B108" s="176" t="s">
        <v>147</v>
      </c>
      <c r="F108" s="68">
        <v>50</v>
      </c>
      <c r="H108" s="227" t="s">
        <v>209</v>
      </c>
      <c r="I108" s="227"/>
      <c r="J108" s="227"/>
      <c r="K108" s="227"/>
      <c r="L108" s="227"/>
      <c r="M108" s="227"/>
    </row>
    <row r="109" spans="1:23" ht="15" hidden="1" customHeight="1" x14ac:dyDescent="0.35">
      <c r="A109" s="152" t="s">
        <v>25</v>
      </c>
      <c r="B109" s="183" t="s">
        <v>195</v>
      </c>
      <c r="F109" s="68">
        <v>4</v>
      </c>
      <c r="H109" s="227" t="s">
        <v>244</v>
      </c>
      <c r="I109" s="227"/>
      <c r="J109" s="227"/>
      <c r="K109" s="227"/>
      <c r="L109" s="227"/>
      <c r="M109" s="227"/>
    </row>
    <row r="110" spans="1:23" ht="34" hidden="1" customHeight="1" x14ac:dyDescent="0.35">
      <c r="A110" s="152" t="s">
        <v>25</v>
      </c>
      <c r="B110" s="195" t="s">
        <v>124</v>
      </c>
      <c r="F110" s="68">
        <v>14</v>
      </c>
      <c r="H110" s="227" t="s">
        <v>243</v>
      </c>
      <c r="I110" s="227"/>
      <c r="J110" s="227"/>
      <c r="K110" s="227"/>
      <c r="L110" s="227"/>
      <c r="M110" s="227"/>
    </row>
    <row r="111" spans="1:23" hidden="1" x14ac:dyDescent="0.35">
      <c r="A111" s="152" t="s">
        <v>47</v>
      </c>
      <c r="B111" s="183" t="s">
        <v>193</v>
      </c>
      <c r="F111" s="68">
        <v>30</v>
      </c>
      <c r="H111" s="227" t="s">
        <v>196</v>
      </c>
      <c r="I111" s="227"/>
      <c r="J111" s="227"/>
      <c r="K111" s="227"/>
      <c r="L111" s="227"/>
      <c r="M111" s="227"/>
    </row>
    <row r="112" spans="1:23" hidden="1" x14ac:dyDescent="0.35">
      <c r="A112" s="152" t="s">
        <v>128</v>
      </c>
      <c r="B112" s="183" t="s">
        <v>194</v>
      </c>
      <c r="F112" s="68">
        <v>15</v>
      </c>
      <c r="H112" s="227" t="s">
        <v>197</v>
      </c>
      <c r="I112" s="227"/>
      <c r="J112" s="227"/>
      <c r="K112" s="227"/>
      <c r="L112" s="227"/>
      <c r="M112" s="227"/>
    </row>
    <row r="113" spans="1:14" hidden="1" x14ac:dyDescent="0.35">
      <c r="A113" s="152" t="s">
        <v>128</v>
      </c>
      <c r="B113" s="183" t="s">
        <v>198</v>
      </c>
      <c r="F113" s="68">
        <v>30</v>
      </c>
      <c r="H113" s="227" t="s">
        <v>199</v>
      </c>
      <c r="I113" s="227"/>
      <c r="J113" s="227"/>
      <c r="K113" s="227"/>
      <c r="L113" s="227"/>
      <c r="M113" s="227"/>
    </row>
    <row r="114" spans="1:14" hidden="1" x14ac:dyDescent="0.35">
      <c r="A114" s="152" t="s">
        <v>203</v>
      </c>
      <c r="B114" t="s">
        <v>204</v>
      </c>
      <c r="F114" s="68">
        <v>2.2000000000000002</v>
      </c>
    </row>
    <row r="115" spans="1:14" hidden="1" x14ac:dyDescent="0.35">
      <c r="A115" s="152" t="s">
        <v>203</v>
      </c>
      <c r="B115" s="184" t="s">
        <v>205</v>
      </c>
    </row>
    <row r="116" spans="1:14" hidden="1" x14ac:dyDescent="0.35">
      <c r="A116" s="152" t="s">
        <v>203</v>
      </c>
      <c r="B116" t="s">
        <v>206</v>
      </c>
      <c r="F116" s="68">
        <v>6</v>
      </c>
    </row>
    <row r="117" spans="1:14" ht="37" hidden="1" customHeight="1" x14ac:dyDescent="0.35">
      <c r="A117" s="152" t="s">
        <v>25</v>
      </c>
      <c r="B117" s="183" t="s">
        <v>211</v>
      </c>
      <c r="F117" s="68">
        <v>40</v>
      </c>
      <c r="H117" s="227" t="s">
        <v>254</v>
      </c>
      <c r="I117" s="227"/>
      <c r="J117" s="227"/>
      <c r="K117" s="227"/>
      <c r="L117" s="227"/>
      <c r="M117" s="227"/>
    </row>
    <row r="118" spans="1:14" ht="35" hidden="1" customHeight="1" x14ac:dyDescent="0.35">
      <c r="A118" s="152" t="s">
        <v>25</v>
      </c>
      <c r="B118" s="182" t="s">
        <v>218</v>
      </c>
      <c r="F118" s="68">
        <v>44</v>
      </c>
      <c r="H118" s="227" t="s">
        <v>260</v>
      </c>
      <c r="I118" s="227"/>
      <c r="J118" s="227"/>
      <c r="K118" s="227"/>
      <c r="L118" s="227"/>
      <c r="M118" s="227"/>
    </row>
    <row r="119" spans="1:14" ht="35" hidden="1" customHeight="1" x14ac:dyDescent="0.35">
      <c r="A119" s="152" t="s">
        <v>157</v>
      </c>
      <c r="B119" s="183" t="s">
        <v>219</v>
      </c>
      <c r="F119" s="68">
        <v>56</v>
      </c>
      <c r="H119" s="227" t="s">
        <v>245</v>
      </c>
      <c r="I119" s="227"/>
      <c r="J119" s="227"/>
      <c r="K119" s="227"/>
      <c r="L119" s="227"/>
      <c r="M119" s="227"/>
      <c r="N119" t="s">
        <v>97</v>
      </c>
    </row>
    <row r="120" spans="1:14" ht="35" hidden="1" customHeight="1" x14ac:dyDescent="0.35">
      <c r="A120" s="152" t="s">
        <v>47</v>
      </c>
      <c r="B120" s="182" t="s">
        <v>242</v>
      </c>
      <c r="F120" s="68">
        <v>100</v>
      </c>
      <c r="H120" s="227" t="s">
        <v>259</v>
      </c>
      <c r="I120" s="227"/>
      <c r="J120" s="227"/>
      <c r="K120" s="227"/>
      <c r="L120" s="227"/>
      <c r="M120" s="227"/>
      <c r="N120" t="s">
        <v>94</v>
      </c>
    </row>
    <row r="121" spans="1:14" ht="35" hidden="1" customHeight="1" x14ac:dyDescent="0.35">
      <c r="A121" s="152" t="s">
        <v>25</v>
      </c>
      <c r="B121" s="182" t="s">
        <v>246</v>
      </c>
      <c r="F121" s="68">
        <v>20</v>
      </c>
      <c r="H121" s="227" t="s">
        <v>128</v>
      </c>
      <c r="I121" s="227"/>
      <c r="J121" s="227"/>
      <c r="K121" s="227"/>
      <c r="L121" s="227"/>
      <c r="M121" s="227"/>
    </row>
    <row r="122" spans="1:14" hidden="1" x14ac:dyDescent="0.35">
      <c r="A122" s="152" t="s">
        <v>47</v>
      </c>
      <c r="B122" s="183" t="s">
        <v>247</v>
      </c>
      <c r="F122" s="68">
        <v>17</v>
      </c>
      <c r="H122" s="227" t="s">
        <v>155</v>
      </c>
      <c r="I122" s="227"/>
      <c r="J122" s="227"/>
      <c r="K122" s="227"/>
      <c r="L122" s="227"/>
      <c r="M122" s="227"/>
    </row>
    <row r="123" spans="1:14" hidden="1" x14ac:dyDescent="0.35">
      <c r="A123" s="152" t="s">
        <v>148</v>
      </c>
      <c r="B123" s="183" t="s">
        <v>166</v>
      </c>
      <c r="F123" s="68">
        <v>40</v>
      </c>
      <c r="H123" s="227" t="s">
        <v>255</v>
      </c>
      <c r="I123" s="227"/>
      <c r="J123" s="227"/>
      <c r="K123" s="227"/>
      <c r="L123" s="227"/>
      <c r="M123" s="227"/>
    </row>
    <row r="124" spans="1:14" hidden="1" x14ac:dyDescent="0.35">
      <c r="A124" s="152" t="s">
        <v>25</v>
      </c>
      <c r="B124" s="187" t="s">
        <v>248</v>
      </c>
      <c r="F124" s="68">
        <v>30</v>
      </c>
      <c r="H124" s="227" t="s">
        <v>87</v>
      </c>
      <c r="I124" s="227"/>
      <c r="J124" s="227"/>
      <c r="K124" s="227"/>
      <c r="L124" s="227"/>
      <c r="M124" s="227"/>
    </row>
    <row r="125" spans="1:14" hidden="1" x14ac:dyDescent="0.35">
      <c r="A125" s="152" t="s">
        <v>47</v>
      </c>
      <c r="B125" s="187" t="s">
        <v>249</v>
      </c>
      <c r="F125" s="68">
        <v>140</v>
      </c>
      <c r="H125" s="227" t="s">
        <v>256</v>
      </c>
      <c r="I125" s="227"/>
      <c r="J125" s="227"/>
      <c r="K125" s="227"/>
      <c r="L125" s="227"/>
      <c r="M125" s="227"/>
    </row>
    <row r="126" spans="1:14" hidden="1" x14ac:dyDescent="0.35">
      <c r="A126" s="152" t="s">
        <v>25</v>
      </c>
      <c r="B126" s="187" t="s">
        <v>253</v>
      </c>
      <c r="F126" s="68">
        <v>20</v>
      </c>
      <c r="H126" s="227" t="s">
        <v>286</v>
      </c>
      <c r="I126" s="227"/>
      <c r="J126" s="227"/>
      <c r="K126" s="227"/>
      <c r="L126" s="227"/>
      <c r="M126" s="227"/>
    </row>
    <row r="127" spans="1:14" hidden="1" x14ac:dyDescent="0.35">
      <c r="A127" s="152" t="s">
        <v>25</v>
      </c>
      <c r="B127" s="187" t="s">
        <v>257</v>
      </c>
      <c r="F127" s="68">
        <v>18</v>
      </c>
      <c r="H127" s="227" t="s">
        <v>261</v>
      </c>
      <c r="I127" s="227"/>
      <c r="J127" s="227"/>
      <c r="K127" s="227"/>
      <c r="L127" s="227"/>
      <c r="M127" s="227"/>
    </row>
    <row r="128" spans="1:14" hidden="1" x14ac:dyDescent="0.35">
      <c r="A128" s="152" t="s">
        <v>25</v>
      </c>
      <c r="B128" s="206" t="s">
        <v>147</v>
      </c>
      <c r="F128" s="68">
        <v>30</v>
      </c>
      <c r="H128" s="227" t="s">
        <v>286</v>
      </c>
      <c r="I128" s="227"/>
      <c r="J128" s="227"/>
      <c r="K128" s="227"/>
      <c r="L128" s="227"/>
      <c r="M128" s="227"/>
    </row>
    <row r="129" spans="1:13" hidden="1" x14ac:dyDescent="0.35">
      <c r="A129" s="152" t="s">
        <v>25</v>
      </c>
      <c r="B129" s="187" t="s">
        <v>263</v>
      </c>
      <c r="F129" s="68">
        <v>3</v>
      </c>
      <c r="H129" s="227" t="s">
        <v>286</v>
      </c>
      <c r="I129" s="227"/>
      <c r="J129" s="227"/>
      <c r="K129" s="227"/>
      <c r="L129" s="227"/>
      <c r="M129" s="227"/>
    </row>
    <row r="130" spans="1:13" hidden="1" x14ac:dyDescent="0.35">
      <c r="A130" s="152" t="s">
        <v>25</v>
      </c>
      <c r="B130" s="183" t="s">
        <v>264</v>
      </c>
      <c r="F130" s="68">
        <v>15</v>
      </c>
      <c r="H130" s="227" t="s">
        <v>287</v>
      </c>
      <c r="I130" s="227"/>
      <c r="J130" s="227"/>
      <c r="K130" s="227"/>
      <c r="L130" s="227"/>
      <c r="M130" s="227"/>
    </row>
    <row r="131" spans="1:13" hidden="1" x14ac:dyDescent="0.35">
      <c r="A131" s="152" t="s">
        <v>293</v>
      </c>
      <c r="B131" s="195" t="s">
        <v>265</v>
      </c>
      <c r="F131" s="68">
        <v>26</v>
      </c>
      <c r="H131" s="227" t="s">
        <v>310</v>
      </c>
      <c r="I131" s="227"/>
      <c r="J131" s="227"/>
      <c r="K131" s="227"/>
      <c r="L131" s="227"/>
      <c r="M131" s="227"/>
    </row>
    <row r="132" spans="1:13" hidden="1" x14ac:dyDescent="0.35">
      <c r="A132" s="152" t="s">
        <v>128</v>
      </c>
      <c r="B132" s="183" t="s">
        <v>266</v>
      </c>
      <c r="F132" s="68">
        <v>20</v>
      </c>
      <c r="H132" s="227" t="s">
        <v>287</v>
      </c>
      <c r="I132" s="227"/>
      <c r="J132" s="227"/>
      <c r="K132" s="227"/>
      <c r="L132" s="227"/>
      <c r="M132" s="227"/>
    </row>
    <row r="133" spans="1:13" hidden="1" x14ac:dyDescent="0.35">
      <c r="A133" s="152" t="s">
        <v>293</v>
      </c>
      <c r="B133" s="187" t="s">
        <v>267</v>
      </c>
      <c r="F133" s="68">
        <v>15</v>
      </c>
      <c r="H133" s="227" t="s">
        <v>87</v>
      </c>
      <c r="I133" s="227"/>
      <c r="J133" s="227"/>
      <c r="K133" s="227"/>
      <c r="L133" s="227"/>
      <c r="M133" s="227"/>
    </row>
    <row r="134" spans="1:13" hidden="1" x14ac:dyDescent="0.35">
      <c r="A134" s="152" t="s">
        <v>128</v>
      </c>
      <c r="B134" s="198" t="s">
        <v>268</v>
      </c>
      <c r="F134" s="68">
        <v>45</v>
      </c>
      <c r="H134" s="227" t="s">
        <v>281</v>
      </c>
      <c r="I134" s="227"/>
      <c r="J134" s="227"/>
      <c r="K134" s="227"/>
      <c r="L134" s="227"/>
      <c r="M134" s="227"/>
    </row>
    <row r="135" spans="1:13" hidden="1" x14ac:dyDescent="0.35">
      <c r="A135" s="152" t="s">
        <v>47</v>
      </c>
      <c r="B135" s="183" t="s">
        <v>269</v>
      </c>
      <c r="F135" s="68">
        <v>20</v>
      </c>
      <c r="H135" s="227" t="s">
        <v>300</v>
      </c>
      <c r="I135" s="227"/>
      <c r="J135" s="227"/>
      <c r="K135" s="227"/>
      <c r="L135" s="227"/>
      <c r="M135" s="227"/>
    </row>
    <row r="136" spans="1:13" ht="42.5" hidden="1" customHeight="1" x14ac:dyDescent="0.35">
      <c r="A136" s="152" t="s">
        <v>128</v>
      </c>
      <c r="B136" s="182" t="s">
        <v>282</v>
      </c>
      <c r="F136" s="68">
        <v>60</v>
      </c>
      <c r="H136" s="227" t="s">
        <v>283</v>
      </c>
      <c r="I136" s="227"/>
      <c r="J136" s="227"/>
      <c r="K136" s="227"/>
      <c r="L136" s="227"/>
      <c r="M136" s="227"/>
    </row>
    <row r="137" spans="1:13" hidden="1" x14ac:dyDescent="0.35">
      <c r="A137" s="152" t="s">
        <v>87</v>
      </c>
      <c r="B137" s="187" t="s">
        <v>284</v>
      </c>
      <c r="F137" s="68">
        <v>16</v>
      </c>
      <c r="H137" s="227" t="s">
        <v>87</v>
      </c>
      <c r="I137" s="227"/>
      <c r="J137" s="227"/>
      <c r="K137" s="227"/>
      <c r="L137" s="227"/>
      <c r="M137" s="227"/>
    </row>
    <row r="138" spans="1:13" hidden="1" x14ac:dyDescent="0.35">
      <c r="A138" s="152" t="s">
        <v>144</v>
      </c>
      <c r="B138" s="182" t="s">
        <v>258</v>
      </c>
      <c r="F138" s="68"/>
      <c r="H138" s="227" t="s">
        <v>285</v>
      </c>
      <c r="I138" s="227"/>
      <c r="J138" s="227"/>
      <c r="K138" s="227"/>
      <c r="L138" s="227"/>
      <c r="M138" s="227"/>
    </row>
    <row r="139" spans="1:13" hidden="1" x14ac:dyDescent="0.35">
      <c r="A139" s="152" t="s">
        <v>301</v>
      </c>
      <c r="B139" s="187" t="s">
        <v>288</v>
      </c>
      <c r="F139" s="68">
        <v>57</v>
      </c>
      <c r="H139" s="227" t="s">
        <v>87</v>
      </c>
      <c r="I139" s="227"/>
      <c r="J139" s="227"/>
      <c r="K139" s="227"/>
      <c r="L139" s="227"/>
      <c r="M139" s="227"/>
    </row>
    <row r="140" spans="1:13" x14ac:dyDescent="0.35">
      <c r="A140" s="152" t="s">
        <v>25</v>
      </c>
      <c r="B140" s="195" t="s">
        <v>289</v>
      </c>
      <c r="F140" s="68">
        <v>30</v>
      </c>
      <c r="H140" s="227" t="s">
        <v>325</v>
      </c>
      <c r="I140" s="227"/>
      <c r="J140" s="227"/>
      <c r="K140" s="227"/>
      <c r="L140" s="227"/>
      <c r="M140" s="227"/>
    </row>
    <row r="141" spans="1:13" hidden="1" x14ac:dyDescent="0.35">
      <c r="A141" s="152" t="s">
        <v>87</v>
      </c>
      <c r="B141" s="187" t="s">
        <v>290</v>
      </c>
      <c r="F141" s="68">
        <v>10</v>
      </c>
      <c r="H141" s="227" t="s">
        <v>87</v>
      </c>
      <c r="I141" s="227"/>
      <c r="J141" s="227"/>
      <c r="K141" s="227"/>
      <c r="L141" s="227"/>
      <c r="M141" s="227"/>
    </row>
    <row r="142" spans="1:13" x14ac:dyDescent="0.35">
      <c r="A142" s="152" t="s">
        <v>25</v>
      </c>
      <c r="B142" s="182" t="s">
        <v>246</v>
      </c>
      <c r="F142" s="68">
        <v>20</v>
      </c>
      <c r="H142" s="227" t="s">
        <v>286</v>
      </c>
      <c r="I142" s="227"/>
      <c r="J142" s="227"/>
      <c r="K142" s="227"/>
      <c r="L142" s="227"/>
      <c r="M142" s="227"/>
    </row>
    <row r="143" spans="1:13" hidden="1" x14ac:dyDescent="0.35">
      <c r="A143" s="152" t="s">
        <v>87</v>
      </c>
      <c r="B143" s="187" t="s">
        <v>292</v>
      </c>
      <c r="F143" s="68">
        <v>18</v>
      </c>
      <c r="H143" s="227" t="s">
        <v>87</v>
      </c>
      <c r="I143" s="227"/>
      <c r="J143" s="227"/>
      <c r="K143" s="227"/>
      <c r="L143" s="227"/>
      <c r="M143" s="227"/>
    </row>
    <row r="144" spans="1:13" hidden="1" x14ac:dyDescent="0.35">
      <c r="A144" s="152" t="s">
        <v>47</v>
      </c>
      <c r="B144" s="183" t="s">
        <v>294</v>
      </c>
      <c r="F144" s="68">
        <v>15</v>
      </c>
      <c r="H144" s="227" t="s">
        <v>155</v>
      </c>
      <c r="I144" s="227"/>
      <c r="J144" s="227"/>
      <c r="K144" s="227"/>
      <c r="L144" s="227"/>
      <c r="M144" s="227"/>
    </row>
    <row r="145" spans="1:13" hidden="1" x14ac:dyDescent="0.35">
      <c r="A145" s="152" t="s">
        <v>128</v>
      </c>
      <c r="B145" s="183" t="s">
        <v>295</v>
      </c>
      <c r="F145">
        <v>25</v>
      </c>
      <c r="H145" s="227" t="s">
        <v>299</v>
      </c>
      <c r="I145" s="227"/>
      <c r="J145" s="227"/>
      <c r="K145" s="227"/>
      <c r="L145" s="227"/>
      <c r="M145" s="227"/>
    </row>
    <row r="146" spans="1:13" hidden="1" x14ac:dyDescent="0.35">
      <c r="A146" s="152" t="s">
        <v>25</v>
      </c>
      <c r="B146" s="187" t="s">
        <v>297</v>
      </c>
      <c r="F146" s="68">
        <v>52</v>
      </c>
      <c r="H146" s="227" t="s">
        <v>286</v>
      </c>
      <c r="I146" s="227"/>
      <c r="J146" s="227"/>
      <c r="K146" s="227"/>
      <c r="L146" s="227"/>
      <c r="M146" s="227"/>
    </row>
    <row r="147" spans="1:13" x14ac:dyDescent="0.35">
      <c r="A147" s="152" t="s">
        <v>47</v>
      </c>
      <c r="B147" s="183" t="s">
        <v>298</v>
      </c>
      <c r="F147" s="68">
        <v>21</v>
      </c>
      <c r="H147" s="227" t="s">
        <v>307</v>
      </c>
      <c r="I147" s="227"/>
      <c r="J147" s="227"/>
      <c r="K147" s="227"/>
      <c r="L147" s="227"/>
      <c r="M147" s="227"/>
    </row>
    <row r="148" spans="1:13" hidden="1" x14ac:dyDescent="0.35">
      <c r="A148" s="152" t="s">
        <v>128</v>
      </c>
      <c r="B148" s="183" t="s">
        <v>267</v>
      </c>
      <c r="F148" s="68">
        <v>40</v>
      </c>
      <c r="H148" s="227" t="s">
        <v>309</v>
      </c>
      <c r="I148" s="227"/>
      <c r="J148" s="227"/>
      <c r="K148" s="227"/>
      <c r="L148" s="227"/>
      <c r="M148" s="227"/>
    </row>
    <row r="149" spans="1:13" hidden="1" x14ac:dyDescent="0.35">
      <c r="A149" s="152" t="s">
        <v>144</v>
      </c>
      <c r="B149" s="182" t="s">
        <v>303</v>
      </c>
      <c r="F149" s="68">
        <v>35</v>
      </c>
      <c r="H149" s="227" t="s">
        <v>302</v>
      </c>
      <c r="I149" s="227"/>
      <c r="J149" s="227"/>
      <c r="K149" s="227"/>
      <c r="L149" s="227"/>
      <c r="M149" s="227"/>
    </row>
    <row r="150" spans="1:13" ht="43" hidden="1" customHeight="1" x14ac:dyDescent="0.35">
      <c r="A150" s="152" t="s">
        <v>47</v>
      </c>
      <c r="B150" s="183" t="s">
        <v>304</v>
      </c>
      <c r="F150" s="68">
        <v>72</v>
      </c>
      <c r="H150" s="227" t="s">
        <v>308</v>
      </c>
      <c r="I150" s="227"/>
      <c r="J150" s="227"/>
      <c r="K150" s="227"/>
      <c r="L150" s="227"/>
      <c r="M150" s="227"/>
    </row>
    <row r="151" spans="1:13" ht="28" customHeight="1" x14ac:dyDescent="0.35">
      <c r="A151" s="152" t="s">
        <v>128</v>
      </c>
      <c r="B151" s="195" t="s">
        <v>319</v>
      </c>
      <c r="F151" s="68">
        <v>50</v>
      </c>
      <c r="H151" s="227" t="s">
        <v>335</v>
      </c>
      <c r="I151" s="227"/>
      <c r="J151" s="227"/>
      <c r="K151" s="227"/>
      <c r="L151" s="227"/>
      <c r="M151" s="227"/>
    </row>
    <row r="152" spans="1:13" x14ac:dyDescent="0.35">
      <c r="A152" s="152" t="s">
        <v>47</v>
      </c>
      <c r="B152" s="182" t="s">
        <v>321</v>
      </c>
      <c r="F152" s="68">
        <v>33</v>
      </c>
      <c r="H152" s="227" t="s">
        <v>329</v>
      </c>
      <c r="I152" s="227"/>
      <c r="J152" s="227"/>
      <c r="K152" s="227"/>
      <c r="L152" s="227"/>
      <c r="M152" s="227"/>
    </row>
    <row r="153" spans="1:13" x14ac:dyDescent="0.35">
      <c r="A153" s="152" t="s">
        <v>128</v>
      </c>
      <c r="B153" s="182" t="s">
        <v>322</v>
      </c>
      <c r="F153" s="68">
        <v>17</v>
      </c>
      <c r="H153" s="227" t="s">
        <v>323</v>
      </c>
      <c r="I153" s="227"/>
      <c r="J153" s="227"/>
      <c r="K153" s="227"/>
      <c r="L153" s="227"/>
      <c r="M153" s="227"/>
    </row>
    <row r="154" spans="1:13" x14ac:dyDescent="0.35">
      <c r="A154" s="152" t="s">
        <v>128</v>
      </c>
      <c r="B154" s="182" t="s">
        <v>297</v>
      </c>
      <c r="F154" s="68">
        <v>20</v>
      </c>
      <c r="H154" s="227" t="s">
        <v>320</v>
      </c>
      <c r="I154" s="227"/>
      <c r="J154" s="227"/>
      <c r="K154" s="227"/>
      <c r="L154" s="227"/>
      <c r="M154" s="227"/>
    </row>
    <row r="155" spans="1:13" x14ac:dyDescent="0.35">
      <c r="A155" s="152" t="s">
        <v>148</v>
      </c>
      <c r="B155" s="182" t="s">
        <v>248</v>
      </c>
      <c r="F155" s="68">
        <v>30</v>
      </c>
      <c r="H155" s="227" t="s">
        <v>331</v>
      </c>
      <c r="I155" s="227"/>
      <c r="J155" s="227"/>
      <c r="K155" s="227"/>
      <c r="L155" s="227"/>
      <c r="M155" s="227"/>
    </row>
    <row r="156" spans="1:13" x14ac:dyDescent="0.35">
      <c r="A156" s="152" t="s">
        <v>144</v>
      </c>
      <c r="B156" s="182" t="s">
        <v>327</v>
      </c>
      <c r="F156" s="68" t="s">
        <v>330</v>
      </c>
      <c r="H156" s="227" t="s">
        <v>328</v>
      </c>
      <c r="I156" s="227"/>
      <c r="J156" s="227"/>
      <c r="K156" s="227"/>
      <c r="L156" s="227"/>
      <c r="M156" s="227"/>
    </row>
    <row r="157" spans="1:13" x14ac:dyDescent="0.35">
      <c r="A157" s="152" t="s">
        <v>128</v>
      </c>
      <c r="B157" s="182" t="s">
        <v>263</v>
      </c>
      <c r="F157" s="68">
        <v>17</v>
      </c>
      <c r="H157" s="227" t="s">
        <v>332</v>
      </c>
      <c r="I157" s="227"/>
      <c r="J157" s="227"/>
      <c r="K157" s="227"/>
      <c r="L157" s="227"/>
      <c r="M157" s="227"/>
    </row>
    <row r="158" spans="1:13" x14ac:dyDescent="0.35">
      <c r="A158" s="152" t="s">
        <v>148</v>
      </c>
      <c r="B158" s="182" t="s">
        <v>333</v>
      </c>
      <c r="F158" s="68">
        <v>16</v>
      </c>
      <c r="H158" s="227" t="s">
        <v>334</v>
      </c>
      <c r="I158" s="227"/>
      <c r="J158" s="227"/>
      <c r="K158" s="227"/>
      <c r="L158" s="227"/>
      <c r="M158" s="227"/>
    </row>
  </sheetData>
  <mergeCells count="127">
    <mergeCell ref="AT3:AV3"/>
    <mergeCell ref="H156:M156"/>
    <mergeCell ref="H153:M153"/>
    <mergeCell ref="H151:M151"/>
    <mergeCell ref="H152:M152"/>
    <mergeCell ref="H147:M147"/>
    <mergeCell ref="H148:M148"/>
    <mergeCell ref="H149:M149"/>
    <mergeCell ref="H150:M150"/>
    <mergeCell ref="H141:M141"/>
    <mergeCell ref="H142:M142"/>
    <mergeCell ref="H143:M143"/>
    <mergeCell ref="H144:M144"/>
    <mergeCell ref="H145:M145"/>
    <mergeCell ref="H146:M146"/>
    <mergeCell ref="H135:M135"/>
    <mergeCell ref="H136:M136"/>
    <mergeCell ref="H137:M137"/>
    <mergeCell ref="H138:M138"/>
    <mergeCell ref="H139:M139"/>
    <mergeCell ref="H140:M140"/>
    <mergeCell ref="H129:M129"/>
    <mergeCell ref="H130:M130"/>
    <mergeCell ref="H131:M131"/>
    <mergeCell ref="H132:M132"/>
    <mergeCell ref="H133:M133"/>
    <mergeCell ref="H134:M134"/>
    <mergeCell ref="H123:M123"/>
    <mergeCell ref="H124:M124"/>
    <mergeCell ref="H125:M125"/>
    <mergeCell ref="H126:M126"/>
    <mergeCell ref="H127:M127"/>
    <mergeCell ref="H128:M128"/>
    <mergeCell ref="H117:M117"/>
    <mergeCell ref="H118:M118"/>
    <mergeCell ref="H119:M119"/>
    <mergeCell ref="H120:M120"/>
    <mergeCell ref="H121:M121"/>
    <mergeCell ref="H122:M122"/>
    <mergeCell ref="H108:M108"/>
    <mergeCell ref="H109:M109"/>
    <mergeCell ref="H110:M110"/>
    <mergeCell ref="H111:M111"/>
    <mergeCell ref="H112:M112"/>
    <mergeCell ref="H113:M113"/>
    <mergeCell ref="H102:M102"/>
    <mergeCell ref="H103:M103"/>
    <mergeCell ref="H104:M104"/>
    <mergeCell ref="H105:M105"/>
    <mergeCell ref="H106:M106"/>
    <mergeCell ref="H107:M107"/>
    <mergeCell ref="H96:M96"/>
    <mergeCell ref="H97:M97"/>
    <mergeCell ref="H98:M98"/>
    <mergeCell ref="H99:M99"/>
    <mergeCell ref="H100:M100"/>
    <mergeCell ref="H101:M101"/>
    <mergeCell ref="H90:M90"/>
    <mergeCell ref="H91:M91"/>
    <mergeCell ref="H92:M92"/>
    <mergeCell ref="H93:M93"/>
    <mergeCell ref="H94:M94"/>
    <mergeCell ref="H95:M95"/>
    <mergeCell ref="H84:M84"/>
    <mergeCell ref="H85:M85"/>
    <mergeCell ref="H86:M86"/>
    <mergeCell ref="H87:M87"/>
    <mergeCell ref="H88:M88"/>
    <mergeCell ref="H89:M89"/>
    <mergeCell ref="H80:M80"/>
    <mergeCell ref="H81:M81"/>
    <mergeCell ref="H82:M82"/>
    <mergeCell ref="H83:M83"/>
    <mergeCell ref="H71:M71"/>
    <mergeCell ref="H72:M72"/>
    <mergeCell ref="H74:M74"/>
    <mergeCell ref="H75:M75"/>
    <mergeCell ref="H76:M76"/>
    <mergeCell ref="H77:M77"/>
    <mergeCell ref="H58:M58"/>
    <mergeCell ref="H154:M154"/>
    <mergeCell ref="H155:M155"/>
    <mergeCell ref="AQ3:AS3"/>
    <mergeCell ref="AN3:AP3"/>
    <mergeCell ref="A18:A19"/>
    <mergeCell ref="A35:A38"/>
    <mergeCell ref="U38:U45"/>
    <mergeCell ref="A40:A41"/>
    <mergeCell ref="A44:A48"/>
    <mergeCell ref="H65:M65"/>
    <mergeCell ref="H66:M66"/>
    <mergeCell ref="H67:M67"/>
    <mergeCell ref="H68:M68"/>
    <mergeCell ref="H69:M69"/>
    <mergeCell ref="H70:M70"/>
    <mergeCell ref="H59:M59"/>
    <mergeCell ref="H60:M60"/>
    <mergeCell ref="H61:M61"/>
    <mergeCell ref="H62:M62"/>
    <mergeCell ref="H63:M63"/>
    <mergeCell ref="H64:M64"/>
    <mergeCell ref="H78:M78"/>
    <mergeCell ref="H79:M79"/>
    <mergeCell ref="AW3:AY3"/>
    <mergeCell ref="AZ3:BB3"/>
    <mergeCell ref="H157:M157"/>
    <mergeCell ref="H158:M158"/>
    <mergeCell ref="A1:B1"/>
    <mergeCell ref="R2:U2"/>
    <mergeCell ref="A3:B3"/>
    <mergeCell ref="W3:X3"/>
    <mergeCell ref="Y3:AA3"/>
    <mergeCell ref="AB3:AD3"/>
    <mergeCell ref="AK3:AM3"/>
    <mergeCell ref="A13:A14"/>
    <mergeCell ref="A15:A16"/>
    <mergeCell ref="AE3:AG3"/>
    <mergeCell ref="AH3:AJ3"/>
    <mergeCell ref="A5:A6"/>
    <mergeCell ref="A7:A8"/>
    <mergeCell ref="A9:A10"/>
    <mergeCell ref="A11:A12"/>
    <mergeCell ref="A50:A52"/>
    <mergeCell ref="H54:M54"/>
    <mergeCell ref="H55:M55"/>
    <mergeCell ref="H56:M56"/>
    <mergeCell ref="H57:M57"/>
  </mergeCells>
  <conditionalFormatting sqref="B115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43C7-A622-461A-843F-4496821335BB}">
  <dimension ref="A1:AK150"/>
  <sheetViews>
    <sheetView topLeftCell="F2" workbookViewId="0">
      <selection activeCell="R5" sqref="R5:R16"/>
    </sheetView>
  </sheetViews>
  <sheetFormatPr baseColWidth="10" defaultRowHeight="14.5" x14ac:dyDescent="0.35"/>
  <cols>
    <col min="1" max="1" width="27" customWidth="1"/>
    <col min="2" max="2" width="24.26953125" customWidth="1"/>
    <col min="3" max="11" width="10.7265625" customWidth="1"/>
    <col min="12" max="12" width="11" customWidth="1"/>
    <col min="13" max="13" width="9.90625" customWidth="1"/>
    <col min="14" max="14" width="10.453125" customWidth="1"/>
    <col min="15" max="15" width="10.1796875" customWidth="1"/>
    <col min="16" max="23" width="10.453125" customWidth="1"/>
    <col min="24" max="24" width="3.54296875" customWidth="1"/>
    <col min="25" max="25" width="7.36328125" customWidth="1"/>
    <col min="26" max="26" width="14.1796875" customWidth="1"/>
    <col min="27" max="27" width="6" customWidth="1"/>
    <col min="28" max="28" width="7.1796875" customWidth="1"/>
    <col min="30" max="31" width="8.81640625" customWidth="1"/>
  </cols>
  <sheetData>
    <row r="1" spans="1:37" ht="23.5" x14ac:dyDescent="0.55000000000000004">
      <c r="A1" s="209" t="s">
        <v>0</v>
      </c>
      <c r="B1" s="209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1"/>
      <c r="U1" s="4"/>
      <c r="V1" s="4"/>
      <c r="W1" s="4"/>
      <c r="X1" s="4"/>
    </row>
    <row r="2" spans="1:37" x14ac:dyDescent="0.3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231" t="s">
        <v>1</v>
      </c>
      <c r="Q2" s="232"/>
      <c r="R2" s="232"/>
      <c r="S2" s="232"/>
      <c r="T2" s="192"/>
      <c r="U2" s="192"/>
      <c r="V2" s="192"/>
      <c r="W2" s="192"/>
      <c r="X2" s="4"/>
    </row>
    <row r="3" spans="1:37" ht="18.5" x14ac:dyDescent="0.35">
      <c r="A3" s="213" t="s">
        <v>2</v>
      </c>
      <c r="B3" s="214"/>
      <c r="C3" s="6" t="s">
        <v>318</v>
      </c>
      <c r="D3" s="7" t="s">
        <v>4</v>
      </c>
      <c r="E3" s="8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0" t="s">
        <v>12</v>
      </c>
      <c r="M3" s="10" t="s">
        <v>13</v>
      </c>
      <c r="N3" s="10" t="s">
        <v>14</v>
      </c>
      <c r="O3" s="11" t="s">
        <v>15</v>
      </c>
      <c r="P3" s="191"/>
      <c r="Q3" s="191">
        <f>+P3+7</f>
        <v>7</v>
      </c>
      <c r="R3" s="191"/>
      <c r="S3" s="191"/>
      <c r="T3" s="191"/>
      <c r="U3" s="215"/>
      <c r="V3" s="216"/>
      <c r="W3" s="215">
        <v>46000</v>
      </c>
      <c r="X3" s="234"/>
      <c r="Y3" s="234"/>
      <c r="Z3" s="215">
        <v>46007</v>
      </c>
      <c r="AA3" s="234"/>
      <c r="AB3" s="234"/>
      <c r="AC3" s="215">
        <v>46014</v>
      </c>
      <c r="AD3" s="234"/>
      <c r="AE3" s="234"/>
      <c r="AF3" s="215">
        <v>46029</v>
      </c>
      <c r="AG3" s="234"/>
      <c r="AH3" s="234"/>
      <c r="AI3" s="215">
        <v>46036</v>
      </c>
      <c r="AJ3" s="234"/>
      <c r="AK3" s="234"/>
    </row>
    <row r="4" spans="1:37" ht="18.5" x14ac:dyDescent="0.35">
      <c r="A4" s="12"/>
      <c r="B4" s="13"/>
      <c r="C4" s="14"/>
      <c r="D4" s="15"/>
      <c r="E4" s="16"/>
      <c r="F4" s="10"/>
      <c r="G4" s="10"/>
      <c r="H4" s="10"/>
      <c r="I4" s="10"/>
      <c r="J4" s="10"/>
      <c r="K4" s="10"/>
      <c r="L4" s="10"/>
      <c r="M4" s="10"/>
      <c r="N4" s="10"/>
      <c r="O4" s="15"/>
      <c r="P4" s="15"/>
      <c r="Q4" s="15"/>
      <c r="R4" s="15"/>
      <c r="S4" s="15"/>
      <c r="T4" s="15"/>
      <c r="U4" s="199" t="s">
        <v>86</v>
      </c>
      <c r="V4" s="200"/>
      <c r="W4" s="200">
        <v>428.69</v>
      </c>
      <c r="X4" s="201">
        <v>43</v>
      </c>
      <c r="Y4" s="202">
        <f>+W4/X4</f>
        <v>9.9695348837209306</v>
      </c>
      <c r="Z4" s="200">
        <v>443.71499999999997</v>
      </c>
      <c r="AA4" s="201">
        <v>47</v>
      </c>
      <c r="AB4" s="202">
        <f>+Z4/AA4</f>
        <v>9.4407446808510631</v>
      </c>
      <c r="AC4" s="200">
        <v>429.84899999999999</v>
      </c>
      <c r="AD4" s="201">
        <v>47</v>
      </c>
      <c r="AE4" s="202">
        <f>+AC4/AD4</f>
        <v>9.1457234042553193</v>
      </c>
      <c r="AF4" s="200">
        <v>411.49799999999999</v>
      </c>
      <c r="AG4" s="201">
        <v>47</v>
      </c>
      <c r="AH4" s="202">
        <f>+AF4/AG4</f>
        <v>8.7552765957446805</v>
      </c>
      <c r="AI4" s="200">
        <v>375.94799999999998</v>
      </c>
      <c r="AJ4" s="201">
        <v>42</v>
      </c>
      <c r="AK4" s="202">
        <f>+AI4/AJ4</f>
        <v>8.9511428571428571</v>
      </c>
    </row>
    <row r="5" spans="1:37" ht="15.5" x14ac:dyDescent="0.35">
      <c r="A5" s="207" t="s">
        <v>19</v>
      </c>
      <c r="B5" s="17" t="s">
        <v>20</v>
      </c>
      <c r="C5" s="18">
        <v>723.55200000000002</v>
      </c>
      <c r="D5" s="145"/>
      <c r="E5" s="145"/>
      <c r="F5" s="145"/>
      <c r="G5" s="18"/>
      <c r="H5" s="18"/>
      <c r="I5" s="18"/>
      <c r="J5" s="145"/>
      <c r="K5" s="18"/>
      <c r="L5" s="18"/>
      <c r="M5" s="18"/>
      <c r="N5" s="18"/>
      <c r="O5" s="18"/>
      <c r="P5" s="18"/>
      <c r="Q5" s="18">
        <v>671.56899999999996</v>
      </c>
      <c r="R5" s="18">
        <v>655.31200000000001</v>
      </c>
      <c r="S5" s="18"/>
      <c r="T5" s="18"/>
      <c r="U5" s="199" t="s">
        <v>97</v>
      </c>
      <c r="V5" s="200"/>
      <c r="W5" s="200">
        <v>353.18400000000003</v>
      </c>
      <c r="X5" s="201">
        <v>42</v>
      </c>
      <c r="Y5" s="202">
        <f t="shared" ref="Y5:Y7" si="0">+W5/X5</f>
        <v>8.4091428571428573</v>
      </c>
      <c r="Z5" s="200">
        <v>374.00099999999998</v>
      </c>
      <c r="AA5" s="201">
        <v>36</v>
      </c>
      <c r="AB5" s="202">
        <f t="shared" ref="AB5:AB7" si="1">+Z5/AA5</f>
        <v>10.388916666666667</v>
      </c>
      <c r="AC5" s="200">
        <f>393.527-81+55</f>
        <v>367.52699999999999</v>
      </c>
      <c r="AD5" s="201">
        <v>38</v>
      </c>
      <c r="AE5" s="202">
        <f t="shared" ref="AE5:AE7" si="2">+AC5/AD5</f>
        <v>9.6717631578947358</v>
      </c>
      <c r="AF5" s="200">
        <v>274.197</v>
      </c>
      <c r="AG5" s="201">
        <v>37</v>
      </c>
      <c r="AH5" s="202">
        <f t="shared" ref="AH5:AH7" si="3">+AF5/AG5</f>
        <v>7.4107297297297299</v>
      </c>
      <c r="AI5" s="200">
        <v>295.53399999999999</v>
      </c>
      <c r="AJ5" s="201">
        <v>40</v>
      </c>
      <c r="AK5" s="202">
        <f t="shared" ref="AK5:AK7" si="4">+AI5/AJ5</f>
        <v>7.38835</v>
      </c>
    </row>
    <row r="6" spans="1:37" ht="15.5" x14ac:dyDescent="0.35">
      <c r="A6" s="208"/>
      <c r="B6" s="21" t="s">
        <v>21</v>
      </c>
      <c r="C6" s="22">
        <v>88</v>
      </c>
      <c r="D6" s="146"/>
      <c r="E6" s="146"/>
      <c r="F6" s="146"/>
      <c r="G6" s="22"/>
      <c r="H6" s="22"/>
      <c r="I6" s="22"/>
      <c r="J6" s="146"/>
      <c r="K6" s="22"/>
      <c r="L6" s="22"/>
      <c r="M6" s="22"/>
      <c r="N6" s="22"/>
      <c r="O6" s="22"/>
      <c r="P6" s="22"/>
      <c r="Q6" s="22">
        <v>81</v>
      </c>
      <c r="R6" s="22">
        <v>72</v>
      </c>
      <c r="S6" s="22"/>
      <c r="T6" s="22"/>
      <c r="U6" s="199" t="s">
        <v>94</v>
      </c>
      <c r="V6" s="200"/>
      <c r="W6" s="200">
        <v>586.803</v>
      </c>
      <c r="X6" s="203">
        <v>62</v>
      </c>
      <c r="Y6" s="202">
        <f t="shared" si="0"/>
        <v>9.4645645161290322</v>
      </c>
      <c r="Z6" s="200">
        <v>631.56500000000005</v>
      </c>
      <c r="AA6" s="203">
        <v>66</v>
      </c>
      <c r="AB6" s="202">
        <f t="shared" si="1"/>
        <v>9.5691666666666677</v>
      </c>
      <c r="AC6" s="200">
        <v>620.82399999999996</v>
      </c>
      <c r="AD6" s="203">
        <v>66</v>
      </c>
      <c r="AE6" s="202">
        <f t="shared" si="2"/>
        <v>9.4064242424242419</v>
      </c>
      <c r="AF6" s="200">
        <v>632.36900000000003</v>
      </c>
      <c r="AG6" s="203">
        <v>66</v>
      </c>
      <c r="AH6" s="202">
        <f t="shared" si="3"/>
        <v>9.5813484848484851</v>
      </c>
      <c r="AI6" s="200">
        <v>648.43799999999999</v>
      </c>
      <c r="AJ6" s="203">
        <v>63</v>
      </c>
      <c r="AK6" s="202">
        <f t="shared" si="4"/>
        <v>10.292666666666667</v>
      </c>
    </row>
    <row r="7" spans="1:37" ht="15.5" x14ac:dyDescent="0.35">
      <c r="A7" s="207" t="s">
        <v>22</v>
      </c>
      <c r="B7" s="17" t="s">
        <v>20</v>
      </c>
      <c r="C7" s="18">
        <v>429.46899999999999</v>
      </c>
      <c r="D7" s="145"/>
      <c r="E7" s="145"/>
      <c r="F7" s="145"/>
      <c r="G7" s="18"/>
      <c r="H7" s="18"/>
      <c r="I7" s="18"/>
      <c r="J7" s="145"/>
      <c r="K7" s="18"/>
      <c r="L7" s="18"/>
      <c r="M7" s="18"/>
      <c r="N7" s="18"/>
      <c r="O7" s="18"/>
      <c r="P7" s="18"/>
      <c r="Q7" s="18">
        <v>423.738</v>
      </c>
      <c r="R7" s="18">
        <v>395.74</v>
      </c>
      <c r="S7" s="18"/>
      <c r="T7" s="18"/>
      <c r="U7" s="199" t="s">
        <v>105</v>
      </c>
      <c r="V7" s="200"/>
      <c r="W7" s="200">
        <v>493.01900000000001</v>
      </c>
      <c r="X7" s="201">
        <v>75</v>
      </c>
      <c r="Y7" s="202">
        <f t="shared" si="0"/>
        <v>6.5735866666666665</v>
      </c>
      <c r="Z7" s="200">
        <v>396.24700000000001</v>
      </c>
      <c r="AA7" s="201">
        <v>68</v>
      </c>
      <c r="AB7" s="202">
        <f t="shared" si="1"/>
        <v>5.8271617647058829</v>
      </c>
      <c r="AC7" s="200">
        <v>372.68099999999998</v>
      </c>
      <c r="AD7" s="201">
        <v>71</v>
      </c>
      <c r="AE7" s="202">
        <f t="shared" si="2"/>
        <v>5.2490281690140845</v>
      </c>
      <c r="AF7" s="200">
        <v>391.97699999999998</v>
      </c>
      <c r="AG7" s="201">
        <v>77</v>
      </c>
      <c r="AH7" s="202">
        <f t="shared" si="3"/>
        <v>5.0906103896103891</v>
      </c>
      <c r="AI7" s="200">
        <v>383.41500000000002</v>
      </c>
      <c r="AJ7" s="201">
        <v>68</v>
      </c>
      <c r="AK7" s="202">
        <f t="shared" si="4"/>
        <v>5.6384558823529414</v>
      </c>
    </row>
    <row r="8" spans="1:37" ht="15.5" x14ac:dyDescent="0.35">
      <c r="A8" s="208"/>
      <c r="B8" s="21" t="s">
        <v>21</v>
      </c>
      <c r="C8" s="22">
        <v>53</v>
      </c>
      <c r="D8" s="146"/>
      <c r="E8" s="146"/>
      <c r="F8" s="146"/>
      <c r="G8" s="22"/>
      <c r="H8" s="22"/>
      <c r="I8" s="22"/>
      <c r="J8" s="146"/>
      <c r="K8" s="22"/>
      <c r="L8" s="22"/>
      <c r="M8" s="22"/>
      <c r="N8" s="22"/>
      <c r="O8" s="22"/>
      <c r="P8" s="22"/>
      <c r="Q8" s="22">
        <v>60</v>
      </c>
      <c r="R8" s="22">
        <v>57</v>
      </c>
      <c r="S8" s="22"/>
      <c r="T8" s="22"/>
      <c r="U8" s="1"/>
      <c r="V8" s="194"/>
      <c r="W8" s="194"/>
      <c r="X8" s="204"/>
      <c r="Y8" s="205"/>
      <c r="Z8" s="194"/>
      <c r="AA8" s="204"/>
      <c r="AB8" s="205"/>
      <c r="AC8" s="22"/>
      <c r="AD8" s="146"/>
      <c r="AE8" s="22"/>
      <c r="AF8" s="146"/>
    </row>
    <row r="9" spans="1:37" ht="15.5" x14ac:dyDescent="0.35">
      <c r="A9" s="207" t="s">
        <v>23</v>
      </c>
      <c r="B9" s="17" t="s">
        <v>20</v>
      </c>
      <c r="C9" s="18">
        <v>166.89699999999999</v>
      </c>
      <c r="D9" s="145"/>
      <c r="E9" s="145"/>
      <c r="F9" s="145"/>
      <c r="G9" s="18"/>
      <c r="H9" s="18"/>
      <c r="I9" s="18"/>
      <c r="J9" s="145"/>
      <c r="K9" s="18"/>
      <c r="L9" s="18"/>
      <c r="M9" s="18"/>
      <c r="N9" s="18"/>
      <c r="O9" s="18"/>
      <c r="P9" s="18"/>
      <c r="Q9" s="18">
        <v>201.40799999999999</v>
      </c>
      <c r="R9" s="18">
        <v>247.81899999999999</v>
      </c>
      <c r="S9" s="18"/>
      <c r="T9" s="18"/>
      <c r="U9" s="1"/>
      <c r="V9" s="194"/>
      <c r="W9" s="194"/>
      <c r="X9" s="204"/>
      <c r="Y9" s="205"/>
      <c r="Z9" s="194"/>
      <c r="AA9" s="204"/>
      <c r="AB9" s="205"/>
      <c r="AC9" s="18"/>
      <c r="AD9" s="145"/>
      <c r="AE9" s="18"/>
      <c r="AF9" s="145"/>
    </row>
    <row r="10" spans="1:37" ht="15.5" x14ac:dyDescent="0.35">
      <c r="A10" s="208"/>
      <c r="B10" s="21" t="s">
        <v>21</v>
      </c>
      <c r="C10" s="22">
        <v>21</v>
      </c>
      <c r="D10" s="146"/>
      <c r="E10" s="146"/>
      <c r="F10" s="146"/>
      <c r="G10" s="22"/>
      <c r="H10" s="22"/>
      <c r="I10" s="22"/>
      <c r="J10" s="146"/>
      <c r="K10" s="22"/>
      <c r="L10" s="22"/>
      <c r="M10" s="22"/>
      <c r="N10" s="22"/>
      <c r="O10" s="22"/>
      <c r="P10" s="22"/>
      <c r="Q10" s="22">
        <v>29</v>
      </c>
      <c r="R10" s="22">
        <v>30</v>
      </c>
      <c r="S10" s="22"/>
      <c r="T10" s="22"/>
      <c r="U10" s="1"/>
      <c r="V10" s="194"/>
      <c r="W10" s="194"/>
      <c r="X10" s="186"/>
      <c r="Y10" s="205"/>
      <c r="Z10" s="194"/>
      <c r="AA10" s="186"/>
      <c r="AB10" s="205"/>
      <c r="AC10" s="22"/>
      <c r="AD10" s="146"/>
      <c r="AE10" s="22"/>
      <c r="AF10" s="146"/>
    </row>
    <row r="11" spans="1:37" ht="15.5" x14ac:dyDescent="0.35">
      <c r="A11" s="207" t="s">
        <v>24</v>
      </c>
      <c r="B11" s="17" t="s">
        <v>20</v>
      </c>
      <c r="C11" s="18">
        <v>304.47500000000002</v>
      </c>
      <c r="D11" s="145"/>
      <c r="E11" s="145"/>
      <c r="F11" s="145"/>
      <c r="G11" s="18"/>
      <c r="H11" s="18"/>
      <c r="I11" s="18"/>
      <c r="J11" s="145"/>
      <c r="K11" s="18"/>
      <c r="L11" s="18"/>
      <c r="M11" s="18"/>
      <c r="N11" s="18"/>
      <c r="O11" s="18"/>
      <c r="P11" s="18"/>
      <c r="Q11" s="18">
        <v>275.81700000000001</v>
      </c>
      <c r="R11" s="18">
        <v>276.08199999999999</v>
      </c>
      <c r="S11" s="18"/>
      <c r="T11" s="18"/>
      <c r="U11" s="1"/>
      <c r="V11" s="194"/>
      <c r="W11" s="194"/>
      <c r="X11" s="204"/>
      <c r="Y11" s="205"/>
      <c r="Z11" s="194"/>
      <c r="AA11" s="204"/>
      <c r="AB11" s="205"/>
      <c r="AC11" s="18"/>
      <c r="AD11" s="145"/>
      <c r="AE11" s="18"/>
      <c r="AF11" s="145"/>
    </row>
    <row r="12" spans="1:37" ht="15.5" x14ac:dyDescent="0.35">
      <c r="A12" s="208"/>
      <c r="B12" s="21" t="s">
        <v>21</v>
      </c>
      <c r="C12" s="22">
        <v>29</v>
      </c>
      <c r="D12" s="146"/>
      <c r="E12" s="146"/>
      <c r="F12" s="146"/>
      <c r="G12" s="22"/>
      <c r="H12" s="22"/>
      <c r="I12" s="22"/>
      <c r="J12" s="146"/>
      <c r="K12" s="22"/>
      <c r="L12" s="22"/>
      <c r="M12" s="22"/>
      <c r="N12" s="22"/>
      <c r="O12" s="22"/>
      <c r="P12" s="22"/>
      <c r="Q12" s="22">
        <v>26</v>
      </c>
      <c r="R12" s="22">
        <v>26</v>
      </c>
      <c r="S12" s="22"/>
      <c r="T12" s="22"/>
      <c r="U12" s="1"/>
      <c r="V12" s="194"/>
      <c r="W12" s="194"/>
      <c r="X12" s="204"/>
      <c r="Y12" s="205"/>
      <c r="Z12" s="194"/>
      <c r="AA12" s="204"/>
      <c r="AB12" s="205"/>
      <c r="AC12" s="22"/>
      <c r="AD12" s="146"/>
      <c r="AE12" s="22"/>
      <c r="AF12" s="146"/>
    </row>
    <row r="13" spans="1:37" ht="15.5" x14ac:dyDescent="0.35">
      <c r="A13" s="207" t="s">
        <v>25</v>
      </c>
      <c r="B13" s="17" t="s">
        <v>20</v>
      </c>
      <c r="C13" s="18">
        <v>192.48599999999999</v>
      </c>
      <c r="D13" s="145"/>
      <c r="E13" s="145"/>
      <c r="F13" s="145"/>
      <c r="G13" s="18"/>
      <c r="H13" s="18"/>
      <c r="I13" s="18"/>
      <c r="J13" s="145"/>
      <c r="K13" s="18"/>
      <c r="L13" s="18"/>
      <c r="M13" s="18"/>
      <c r="N13" s="18"/>
      <c r="O13" s="18"/>
      <c r="P13" s="18"/>
      <c r="Q13" s="18">
        <v>137.51</v>
      </c>
      <c r="R13" s="18">
        <v>128.38200000000001</v>
      </c>
      <c r="S13" s="18"/>
      <c r="T13" s="18"/>
      <c r="U13" s="1"/>
      <c r="V13" s="194"/>
      <c r="W13" s="194"/>
      <c r="X13" s="186"/>
      <c r="Y13" s="205"/>
      <c r="Z13" s="194"/>
      <c r="AA13" s="186"/>
      <c r="AB13" s="205"/>
      <c r="AC13" s="18"/>
      <c r="AD13" s="145"/>
      <c r="AE13" s="18"/>
      <c r="AF13" s="145"/>
    </row>
    <row r="14" spans="1:37" ht="15.5" x14ac:dyDescent="0.35">
      <c r="A14" s="208"/>
      <c r="B14" s="21" t="s">
        <v>21</v>
      </c>
      <c r="C14" s="22">
        <v>31</v>
      </c>
      <c r="D14" s="146"/>
      <c r="E14" s="146"/>
      <c r="F14" s="146"/>
      <c r="G14" s="22"/>
      <c r="H14" s="22"/>
      <c r="I14" s="22"/>
      <c r="J14" s="146"/>
      <c r="K14" s="22"/>
      <c r="L14" s="22"/>
      <c r="M14" s="22"/>
      <c r="N14" s="22"/>
      <c r="O14" s="22"/>
      <c r="P14" s="22"/>
      <c r="Q14" s="22">
        <v>31</v>
      </c>
      <c r="R14" s="22">
        <v>28</v>
      </c>
      <c r="S14" s="22"/>
      <c r="T14" s="22"/>
      <c r="U14" s="1"/>
      <c r="V14" s="194"/>
      <c r="W14" s="194"/>
      <c r="X14" s="204"/>
      <c r="Y14" s="205"/>
      <c r="Z14" s="194"/>
      <c r="AA14" s="204"/>
      <c r="AB14" s="205"/>
      <c r="AC14" s="22"/>
      <c r="AD14" s="146"/>
      <c r="AE14" s="22"/>
      <c r="AF14" s="146"/>
    </row>
    <row r="15" spans="1:37" ht="15.5" x14ac:dyDescent="0.35">
      <c r="A15" s="207" t="s">
        <v>26</v>
      </c>
      <c r="B15" s="17" t="s">
        <v>20</v>
      </c>
      <c r="C15" s="147">
        <f t="shared" ref="C15" si="5">+C5+C7+C9+C11+C13</f>
        <v>1816.8789999999999</v>
      </c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>
        <f t="shared" ref="Q15:R16" si="6">+Q5+Q7+Q9+Q11+Q13</f>
        <v>1710.0419999999999</v>
      </c>
      <c r="R15" s="147">
        <f t="shared" si="6"/>
        <v>1703.335</v>
      </c>
      <c r="S15" s="147"/>
      <c r="T15" s="147"/>
      <c r="U15" s="1"/>
      <c r="V15" s="194"/>
      <c r="W15" s="194"/>
      <c r="X15" s="204"/>
      <c r="Y15" s="205"/>
      <c r="Z15" s="194"/>
      <c r="AA15" s="204"/>
      <c r="AB15" s="205"/>
      <c r="AC15" s="27"/>
      <c r="AD15" s="147"/>
      <c r="AE15" s="27"/>
      <c r="AF15" s="147"/>
    </row>
    <row r="16" spans="1:37" ht="15.5" x14ac:dyDescent="0.35">
      <c r="A16" s="208"/>
      <c r="B16" s="21" t="s">
        <v>21</v>
      </c>
      <c r="C16" s="148">
        <f t="shared" ref="C16" si="7">+C6+C8+C10+C12+C14</f>
        <v>222</v>
      </c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>
        <f t="shared" si="6"/>
        <v>227</v>
      </c>
      <c r="R16" s="148">
        <f t="shared" si="6"/>
        <v>213</v>
      </c>
      <c r="S16" s="148"/>
      <c r="T16" s="148"/>
      <c r="U16" s="28"/>
      <c r="V16" s="148"/>
      <c r="W16" s="28"/>
      <c r="X16" s="148"/>
      <c r="Y16" s="28"/>
      <c r="Z16" s="148"/>
      <c r="AA16" s="28"/>
      <c r="AB16" s="148"/>
      <c r="AC16" s="28"/>
      <c r="AD16" s="148"/>
      <c r="AE16" s="28"/>
      <c r="AF16" s="148"/>
    </row>
    <row r="17" spans="1:26" ht="15.5" hidden="1" x14ac:dyDescent="0.35">
      <c r="A17" s="29" t="s">
        <v>27</v>
      </c>
      <c r="B17" s="30"/>
      <c r="C17" s="149"/>
      <c r="D17" s="149" t="e">
        <f t="shared" ref="D17" si="8">+D15/D16</f>
        <v>#DIV/0!</v>
      </c>
      <c r="E17" s="31" t="e">
        <f t="shared" ref="E17:J17" si="9">+E15/E16</f>
        <v>#DIV/0!</v>
      </c>
      <c r="F17" s="31" t="e">
        <f t="shared" si="9"/>
        <v>#DIV/0!</v>
      </c>
      <c r="G17" s="31" t="e">
        <f t="shared" si="9"/>
        <v>#DIV/0!</v>
      </c>
      <c r="H17" s="31" t="e">
        <f t="shared" si="9"/>
        <v>#DIV/0!</v>
      </c>
      <c r="I17" s="31" t="e">
        <f t="shared" si="9"/>
        <v>#DIV/0!</v>
      </c>
      <c r="J17" s="31" t="e">
        <f t="shared" si="9"/>
        <v>#DIV/0!</v>
      </c>
      <c r="K17" s="31">
        <v>7.3395326097560973</v>
      </c>
      <c r="L17" s="31">
        <v>7.7443498039215681</v>
      </c>
      <c r="M17" s="31">
        <v>7.8119581276346608</v>
      </c>
      <c r="N17" s="149">
        <v>7.9677477941176473</v>
      </c>
      <c r="O17" s="149">
        <v>7.9290096843749991</v>
      </c>
      <c r="P17" s="149" t="e">
        <f t="shared" ref="P17" si="10">+P15/P16</f>
        <v>#DIV/0!</v>
      </c>
      <c r="Q17" s="31"/>
      <c r="R17" s="149"/>
      <c r="S17" s="31" t="e">
        <f t="shared" ref="S17:T17" si="11">+S15/S16</f>
        <v>#DIV/0!</v>
      </c>
      <c r="T17" s="149" t="e">
        <f t="shared" si="11"/>
        <v>#DIV/0!</v>
      </c>
      <c r="U17" s="31" t="e">
        <f>+#REF!/U16</f>
        <v>#REF!</v>
      </c>
      <c r="V17" s="149" t="e">
        <f>+#REF!/V16</f>
        <v>#REF!</v>
      </c>
      <c r="W17" s="31" t="e">
        <f>+#REF!/W16</f>
        <v>#REF!</v>
      </c>
      <c r="X17" s="149" t="e">
        <f>+#REF!/X16</f>
        <v>#REF!</v>
      </c>
      <c r="Y17" s="31" t="e">
        <f>+#REF!/Y16</f>
        <v>#REF!</v>
      </c>
      <c r="Z17" s="149" t="e">
        <f>+#REF!/Z16</f>
        <v>#REF!</v>
      </c>
    </row>
    <row r="18" spans="1:26" hidden="1" x14ac:dyDescent="0.35">
      <c r="A18" s="207" t="s">
        <v>28</v>
      </c>
      <c r="B18" s="17" t="s">
        <v>20</v>
      </c>
      <c r="C18" s="32"/>
      <c r="D18" s="32"/>
      <c r="E18" s="32">
        <v>5.91</v>
      </c>
      <c r="F18" s="32">
        <v>5.9</v>
      </c>
      <c r="G18" s="32">
        <v>6.48</v>
      </c>
      <c r="H18" s="32">
        <v>4.04</v>
      </c>
      <c r="I18" s="32">
        <v>4.53</v>
      </c>
      <c r="J18" s="19"/>
      <c r="K18" s="19"/>
      <c r="L18" s="18"/>
      <c r="M18" s="18"/>
      <c r="N18" s="32"/>
      <c r="O18" s="32"/>
      <c r="P18" s="32"/>
      <c r="Q18" s="32"/>
      <c r="R18" s="32"/>
      <c r="S18" s="32"/>
      <c r="T18" s="32"/>
      <c r="U18" s="32"/>
      <c r="V18" s="33"/>
      <c r="W18" s="4"/>
      <c r="X18" s="4"/>
    </row>
    <row r="19" spans="1:26" hidden="1" x14ac:dyDescent="0.35">
      <c r="A19" s="208"/>
      <c r="B19" s="21" t="s">
        <v>21</v>
      </c>
      <c r="C19" s="22"/>
      <c r="D19" s="22"/>
      <c r="E19" s="22">
        <v>57</v>
      </c>
      <c r="F19" s="22">
        <v>59</v>
      </c>
      <c r="G19" s="22">
        <v>69</v>
      </c>
      <c r="H19" s="22">
        <v>46</v>
      </c>
      <c r="I19" s="22">
        <v>51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33"/>
      <c r="W19" s="4"/>
      <c r="X19" s="4"/>
    </row>
    <row r="20" spans="1:26" ht="15.5" hidden="1" x14ac:dyDescent="0.35">
      <c r="A20" s="34" t="s">
        <v>29</v>
      </c>
      <c r="B20" s="1"/>
      <c r="C20" s="31"/>
      <c r="D20" s="31"/>
      <c r="E20" s="31">
        <f t="shared" ref="E20:I20" si="12">+E18/E19</f>
        <v>0.1036842105263158</v>
      </c>
      <c r="F20" s="31">
        <f t="shared" si="12"/>
        <v>0.1</v>
      </c>
      <c r="G20" s="31">
        <f t="shared" si="12"/>
        <v>9.3913043478260877E-2</v>
      </c>
      <c r="H20" s="31">
        <f t="shared" si="12"/>
        <v>8.7826086956521734E-2</v>
      </c>
      <c r="I20" s="31">
        <f t="shared" si="12"/>
        <v>8.8823529411764704E-2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162"/>
      <c r="U20" s="162"/>
      <c r="V20" s="163"/>
      <c r="W20" s="4"/>
      <c r="X20" s="4"/>
    </row>
    <row r="21" spans="1:26" ht="15.5" x14ac:dyDescent="0.35">
      <c r="A21" s="1"/>
      <c r="B21" s="1"/>
      <c r="C21" s="194"/>
      <c r="D21" s="194"/>
      <c r="E21" s="151">
        <v>18.407699999999998</v>
      </c>
      <c r="F21" s="150">
        <v>18.09</v>
      </c>
      <c r="G21" s="150">
        <v>18.07</v>
      </c>
      <c r="H21" s="150">
        <v>17.653199999999998</v>
      </c>
      <c r="I21" s="150">
        <v>17.1187</v>
      </c>
      <c r="J21" s="150">
        <v>16.73</v>
      </c>
      <c r="K21" s="150">
        <v>17.02</v>
      </c>
      <c r="L21" s="150">
        <v>17.02</v>
      </c>
      <c r="M21" s="150">
        <v>17.02</v>
      </c>
      <c r="N21" s="192"/>
      <c r="O21" s="150"/>
      <c r="P21" s="194"/>
      <c r="Q21" s="194"/>
      <c r="R21" s="194"/>
      <c r="S21" s="35"/>
      <c r="T21" s="36"/>
      <c r="U21" s="4"/>
      <c r="V21" s="4"/>
      <c r="W21" s="4"/>
      <c r="X21" s="4"/>
    </row>
    <row r="22" spans="1:26" ht="15.5" hidden="1" x14ac:dyDescent="0.35">
      <c r="A22" s="1"/>
      <c r="B22" s="1" t="s">
        <v>86</v>
      </c>
      <c r="C22" s="194"/>
      <c r="D22" s="194"/>
      <c r="E22" s="151"/>
      <c r="F22" s="150"/>
      <c r="G22" s="150"/>
      <c r="H22" s="150"/>
      <c r="I22" s="150"/>
      <c r="J22" s="150"/>
      <c r="K22" s="150"/>
      <c r="L22" s="150"/>
      <c r="M22" s="150"/>
      <c r="N22" s="192"/>
      <c r="U22" s="4"/>
      <c r="V22" s="4"/>
      <c r="W22" s="4"/>
      <c r="X22" s="4"/>
    </row>
    <row r="23" spans="1:26" ht="15.5" hidden="1" x14ac:dyDescent="0.35">
      <c r="A23" s="1"/>
      <c r="B23" s="1" t="s">
        <v>97</v>
      </c>
      <c r="C23" s="194"/>
      <c r="D23" s="194"/>
      <c r="E23" s="151"/>
      <c r="F23" s="150"/>
      <c r="G23" s="150"/>
      <c r="H23" s="150"/>
      <c r="I23" s="150"/>
      <c r="J23" s="150"/>
      <c r="K23" s="150"/>
      <c r="L23" s="150"/>
      <c r="M23" s="150"/>
      <c r="N23" s="192"/>
      <c r="U23" s="4"/>
      <c r="V23" s="4"/>
      <c r="W23" s="4"/>
      <c r="X23" s="4"/>
    </row>
    <row r="24" spans="1:26" ht="15.5" hidden="1" x14ac:dyDescent="0.35">
      <c r="A24" s="1"/>
      <c r="B24" s="1" t="s">
        <v>94</v>
      </c>
      <c r="C24" s="194"/>
      <c r="D24" s="194"/>
      <c r="E24" s="151"/>
      <c r="F24" s="150"/>
      <c r="G24" s="150"/>
      <c r="H24" s="150"/>
      <c r="I24" s="150"/>
      <c r="J24" s="150"/>
      <c r="K24" s="150"/>
      <c r="L24" s="150"/>
      <c r="M24" s="150"/>
      <c r="N24" s="192"/>
      <c r="U24" s="4"/>
      <c r="V24" s="4"/>
      <c r="W24" s="4"/>
      <c r="X24" s="4"/>
    </row>
    <row r="25" spans="1:26" ht="15.5" hidden="1" x14ac:dyDescent="0.35">
      <c r="A25" s="1"/>
      <c r="B25" s="1" t="s">
        <v>105</v>
      </c>
      <c r="C25" s="194"/>
      <c r="D25" s="194"/>
      <c r="E25" s="151"/>
      <c r="F25" s="150"/>
      <c r="G25" s="150"/>
      <c r="H25" s="150"/>
      <c r="I25" s="150"/>
      <c r="J25" s="150"/>
      <c r="K25" s="150"/>
      <c r="L25" s="150"/>
      <c r="M25" s="150"/>
      <c r="N25" s="192"/>
      <c r="U25" s="4"/>
      <c r="V25" s="4"/>
      <c r="W25" s="4"/>
      <c r="X25" s="4"/>
    </row>
    <row r="26" spans="1:26" ht="15.5" hidden="1" x14ac:dyDescent="0.35">
      <c r="A26" s="1"/>
      <c r="B26" s="1"/>
      <c r="C26" s="194"/>
      <c r="D26" s="194"/>
      <c r="E26" s="151"/>
      <c r="F26" s="150"/>
      <c r="G26" s="150"/>
      <c r="H26" s="150"/>
      <c r="I26" s="150"/>
      <c r="J26" s="150"/>
      <c r="K26" s="150"/>
      <c r="L26" s="150"/>
      <c r="M26" s="150"/>
      <c r="N26" s="192"/>
      <c r="U26" s="4"/>
      <c r="V26" s="4"/>
      <c r="W26" s="4"/>
      <c r="X26" s="4"/>
    </row>
    <row r="27" spans="1:26" ht="15.5" hidden="1" x14ac:dyDescent="0.35">
      <c r="A27" s="1"/>
      <c r="B27" s="1"/>
      <c r="C27" s="194"/>
      <c r="D27" s="194"/>
      <c r="E27" s="151"/>
      <c r="F27" s="150"/>
      <c r="G27" s="150"/>
      <c r="H27" s="150"/>
      <c r="I27" s="150"/>
      <c r="J27" s="150"/>
      <c r="K27" s="150"/>
      <c r="L27" s="150"/>
      <c r="M27" s="150"/>
      <c r="N27" s="192"/>
      <c r="U27" s="4"/>
      <c r="V27" s="4"/>
      <c r="W27" s="4"/>
      <c r="X27" s="4"/>
    </row>
    <row r="28" spans="1:26" ht="15.5" hidden="1" x14ac:dyDescent="0.35">
      <c r="A28" s="1"/>
      <c r="B28" s="1"/>
      <c r="C28" s="194"/>
      <c r="D28" s="194"/>
      <c r="E28" s="151"/>
      <c r="F28" s="150"/>
      <c r="G28" s="150"/>
      <c r="H28" s="150"/>
      <c r="I28" s="150"/>
      <c r="J28" s="150"/>
      <c r="K28" s="150"/>
      <c r="L28" s="150"/>
      <c r="M28" s="150"/>
      <c r="N28" s="192"/>
      <c r="U28" s="4"/>
      <c r="V28" s="4"/>
      <c r="W28" s="4"/>
      <c r="X28" s="4"/>
    </row>
    <row r="29" spans="1:26" ht="15.5" hidden="1" x14ac:dyDescent="0.35">
      <c r="A29" s="1"/>
      <c r="B29" s="1"/>
      <c r="C29" s="194"/>
      <c r="D29" s="194"/>
      <c r="E29" s="151"/>
      <c r="F29" s="150"/>
      <c r="G29" s="150"/>
      <c r="H29" s="150"/>
      <c r="I29" s="150"/>
      <c r="J29" s="150"/>
      <c r="K29" s="150"/>
      <c r="L29" s="150"/>
      <c r="M29" s="150"/>
      <c r="N29" s="192"/>
      <c r="U29" s="4"/>
      <c r="V29" s="4"/>
      <c r="W29" s="4"/>
      <c r="X29" s="4"/>
    </row>
    <row r="30" spans="1:26" ht="15.5" hidden="1" x14ac:dyDescent="0.35">
      <c r="A30" s="1"/>
      <c r="B30" s="1"/>
      <c r="C30" s="194"/>
      <c r="D30" s="194"/>
      <c r="E30" s="151"/>
      <c r="F30" s="150"/>
      <c r="G30" s="150"/>
      <c r="H30" s="150"/>
      <c r="I30" s="150"/>
      <c r="J30" s="150"/>
      <c r="K30" s="150"/>
      <c r="L30" s="150"/>
      <c r="M30" s="150"/>
      <c r="N30" s="192"/>
      <c r="U30" s="4"/>
      <c r="V30" s="4"/>
      <c r="W30" s="4"/>
      <c r="X30" s="4"/>
    </row>
    <row r="31" spans="1:26" ht="15.5" hidden="1" x14ac:dyDescent="0.35">
      <c r="A31" s="1"/>
      <c r="B31" s="1"/>
      <c r="C31" s="194"/>
      <c r="D31" s="194"/>
      <c r="E31" s="151"/>
      <c r="F31" s="150"/>
      <c r="G31" s="150"/>
      <c r="H31" s="150"/>
      <c r="I31" s="150"/>
      <c r="J31" s="150"/>
      <c r="K31" s="150"/>
      <c r="L31" s="150"/>
      <c r="M31" s="150"/>
      <c r="N31" s="192"/>
      <c r="U31" s="4"/>
      <c r="V31" s="4"/>
      <c r="W31" s="4"/>
      <c r="X31" s="4"/>
    </row>
    <row r="32" spans="1:26" ht="15.5" hidden="1" x14ac:dyDescent="0.35">
      <c r="A32" s="1"/>
      <c r="B32" s="1"/>
      <c r="C32" s="194"/>
      <c r="D32" s="194"/>
      <c r="E32" s="151"/>
      <c r="F32" s="150"/>
      <c r="G32" s="150"/>
      <c r="H32" s="150"/>
      <c r="I32" s="150"/>
      <c r="J32" s="150"/>
      <c r="K32" s="150"/>
      <c r="L32" s="150"/>
      <c r="M32" s="150"/>
      <c r="N32" s="192"/>
      <c r="U32" s="4"/>
      <c r="V32" s="4"/>
      <c r="W32" s="4"/>
      <c r="X32" s="4"/>
    </row>
    <row r="33" spans="1:30" ht="15.5" hidden="1" x14ac:dyDescent="0.35">
      <c r="A33" s="1"/>
      <c r="B33" s="1"/>
      <c r="C33" s="194"/>
      <c r="D33" s="194"/>
      <c r="E33" s="151"/>
      <c r="F33" s="150"/>
      <c r="G33" s="150"/>
      <c r="H33" s="150"/>
      <c r="I33" s="150"/>
      <c r="J33" s="150"/>
      <c r="K33" s="150"/>
      <c r="L33" s="150"/>
      <c r="M33" s="150"/>
      <c r="N33" s="192"/>
      <c r="U33" s="4"/>
      <c r="V33" s="4"/>
      <c r="W33" s="4"/>
      <c r="X33" s="4"/>
    </row>
    <row r="34" spans="1:30" ht="15.5" x14ac:dyDescent="0.35">
      <c r="A34" s="1"/>
      <c r="B34" s="1"/>
      <c r="C34" s="194"/>
      <c r="D34" s="194"/>
      <c r="E34" s="151"/>
      <c r="F34" s="150"/>
      <c r="G34" s="150"/>
      <c r="H34" s="150"/>
      <c r="I34" s="150"/>
      <c r="J34" s="150"/>
      <c r="K34" s="150"/>
      <c r="L34" s="150"/>
      <c r="M34" s="150"/>
      <c r="N34" s="192"/>
      <c r="O34" s="150"/>
      <c r="P34" s="194"/>
      <c r="Q34" s="194"/>
      <c r="R34" s="194"/>
      <c r="S34" s="35"/>
      <c r="T34" s="36"/>
      <c r="U34" s="4"/>
      <c r="V34" s="4"/>
      <c r="W34" s="4"/>
      <c r="X34" s="4"/>
    </row>
    <row r="35" spans="1:30" ht="15.5" x14ac:dyDescent="0.35">
      <c r="A35" s="218" t="s">
        <v>30</v>
      </c>
      <c r="B35" s="37" t="s">
        <v>31</v>
      </c>
      <c r="C35" s="38" t="s">
        <v>220</v>
      </c>
      <c r="D35" s="38" t="s">
        <v>4</v>
      </c>
      <c r="E35" s="39" t="s">
        <v>5</v>
      </c>
      <c r="F35" s="39" t="s">
        <v>6</v>
      </c>
      <c r="G35" s="39" t="s">
        <v>33</v>
      </c>
      <c r="H35" s="39" t="s">
        <v>8</v>
      </c>
      <c r="I35" s="39" t="s">
        <v>9</v>
      </c>
      <c r="J35" s="39" t="s">
        <v>10</v>
      </c>
      <c r="K35" s="39" t="s">
        <v>34</v>
      </c>
      <c r="L35" s="39" t="s">
        <v>35</v>
      </c>
      <c r="M35" s="39" t="s">
        <v>13</v>
      </c>
      <c r="N35" s="39" t="s">
        <v>14</v>
      </c>
      <c r="O35" s="39" t="s">
        <v>15</v>
      </c>
      <c r="P35" s="40"/>
      <c r="Q35" s="41" t="s">
        <v>202</v>
      </c>
      <c r="R35" s="42"/>
      <c r="S35" s="65" t="s">
        <v>176</v>
      </c>
      <c r="V35" s="178"/>
    </row>
    <row r="36" spans="1:30" x14ac:dyDescent="0.35">
      <c r="A36" s="219"/>
      <c r="B36" s="46" t="s">
        <v>41</v>
      </c>
      <c r="C36" s="48">
        <v>1056.3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8">
        <f>+SUM(D36:O36)</f>
        <v>0</v>
      </c>
      <c r="Q36" s="49">
        <f>+SUM(D36:O36)</f>
        <v>0</v>
      </c>
      <c r="R36" s="50"/>
      <c r="S36" s="65" t="s">
        <v>175</v>
      </c>
      <c r="V36" s="178"/>
    </row>
    <row r="37" spans="1:30" x14ac:dyDescent="0.35">
      <c r="A37" s="219"/>
      <c r="B37" s="57" t="s">
        <v>270</v>
      </c>
      <c r="C37" s="48">
        <v>1328.4</v>
      </c>
      <c r="D37" s="54">
        <f>+Q37*0.2/3</f>
        <v>91.546666666666681</v>
      </c>
      <c r="E37" s="54">
        <f>+D37</f>
        <v>91.546666666666681</v>
      </c>
      <c r="F37" s="54">
        <f>+E37</f>
        <v>91.546666666666681</v>
      </c>
      <c r="G37" s="54">
        <f>+Q37*0.25/3</f>
        <v>114.43333333333334</v>
      </c>
      <c r="H37" s="54">
        <f>+G37</f>
        <v>114.43333333333334</v>
      </c>
      <c r="I37" s="54">
        <f>+H37</f>
        <v>114.43333333333334</v>
      </c>
      <c r="J37" s="54">
        <f>+Q37*0.3/3</f>
        <v>137.32</v>
      </c>
      <c r="K37" s="54">
        <f>+J37</f>
        <v>137.32</v>
      </c>
      <c r="L37" s="54">
        <f>+K37</f>
        <v>137.32</v>
      </c>
      <c r="M37" s="54">
        <f>+Q37*0.35/3</f>
        <v>160.20666666666668</v>
      </c>
      <c r="N37" s="54">
        <f>+M37</f>
        <v>160.20666666666668</v>
      </c>
      <c r="O37" s="54">
        <f>+N37</f>
        <v>160.20666666666668</v>
      </c>
      <c r="P37" s="48">
        <f>+SUM(D37:O37)</f>
        <v>1510.52</v>
      </c>
      <c r="Q37" s="49">
        <v>1373.2</v>
      </c>
      <c r="R37" s="50"/>
      <c r="S37" s="65"/>
      <c r="T37" t="s">
        <v>311</v>
      </c>
      <c r="U37" t="s">
        <v>25</v>
      </c>
      <c r="V37" s="178">
        <v>13</v>
      </c>
    </row>
    <row r="38" spans="1:30" x14ac:dyDescent="0.35">
      <c r="A38" s="219"/>
      <c r="B38" s="57"/>
      <c r="C38" s="62">
        <f>+C36/C37</f>
        <v>0.79516711833784992</v>
      </c>
      <c r="D38" s="54"/>
      <c r="E38" s="61">
        <v>0</v>
      </c>
      <c r="F38" s="54"/>
      <c r="G38" s="196"/>
      <c r="H38" s="54"/>
      <c r="I38" s="54"/>
      <c r="J38" s="54"/>
      <c r="K38" s="54"/>
      <c r="L38" s="54"/>
      <c r="M38" s="54"/>
      <c r="N38" s="54"/>
      <c r="O38" s="54"/>
      <c r="P38" s="62">
        <f>+(P37/Q37)-1</f>
        <v>9.9999999999999867E-2</v>
      </c>
      <c r="Q38" s="63">
        <f>+Q36/Q37</f>
        <v>0</v>
      </c>
      <c r="R38" s="64"/>
      <c r="S38" s="230" t="s">
        <v>181</v>
      </c>
      <c r="V38" s="178"/>
      <c r="AD38" s="186"/>
    </row>
    <row r="39" spans="1:30" x14ac:dyDescent="0.35">
      <c r="A39" s="73"/>
      <c r="B39" s="1"/>
      <c r="C39" s="77" t="e">
        <v>#REF!</v>
      </c>
      <c r="D39" s="197">
        <f>+D37/$P$37</f>
        <v>6.0606060606060615E-2</v>
      </c>
      <c r="E39" s="197">
        <f t="shared" ref="E39:P39" si="13">+E37/$P$37</f>
        <v>6.0606060606060615E-2</v>
      </c>
      <c r="F39" s="197">
        <f t="shared" si="13"/>
        <v>6.0606060606060615E-2</v>
      </c>
      <c r="G39" s="197">
        <f t="shared" si="13"/>
        <v>7.575757575757576E-2</v>
      </c>
      <c r="H39" s="197">
        <f t="shared" si="13"/>
        <v>7.575757575757576E-2</v>
      </c>
      <c r="I39" s="197">
        <f t="shared" si="13"/>
        <v>7.575757575757576E-2</v>
      </c>
      <c r="J39" s="197">
        <f t="shared" si="13"/>
        <v>9.0909090909090912E-2</v>
      </c>
      <c r="K39" s="197">
        <f t="shared" si="13"/>
        <v>9.0909090909090912E-2</v>
      </c>
      <c r="L39" s="197">
        <f t="shared" si="13"/>
        <v>9.0909090909090912E-2</v>
      </c>
      <c r="M39" s="197">
        <f t="shared" si="13"/>
        <v>0.10606060606060606</v>
      </c>
      <c r="N39" s="197">
        <f t="shared" si="13"/>
        <v>0.10606060606060606</v>
      </c>
      <c r="O39" s="197">
        <f t="shared" si="13"/>
        <v>0.10606060606060606</v>
      </c>
      <c r="P39" s="197">
        <f t="shared" si="13"/>
        <v>1</v>
      </c>
      <c r="Q39" s="63"/>
      <c r="R39" s="64"/>
      <c r="S39" s="230"/>
      <c r="V39" s="178"/>
      <c r="AD39" s="186"/>
    </row>
    <row r="40" spans="1:30" x14ac:dyDescent="0.35">
      <c r="A40" s="221" t="s">
        <v>49</v>
      </c>
      <c r="B40" s="78" t="s">
        <v>50</v>
      </c>
      <c r="C40" s="80">
        <v>121.544</v>
      </c>
      <c r="D40" s="79">
        <v>4.2389999999999999</v>
      </c>
      <c r="E40" s="79">
        <v>14.945</v>
      </c>
      <c r="F40" s="79">
        <v>9.8490000000000002</v>
      </c>
      <c r="G40" s="79">
        <v>6.2080000000000002</v>
      </c>
      <c r="H40" s="79">
        <v>8.6120000000000001</v>
      </c>
      <c r="I40" s="79">
        <v>4.593</v>
      </c>
      <c r="J40" s="79">
        <v>14.516</v>
      </c>
      <c r="K40" s="79">
        <v>4.335</v>
      </c>
      <c r="L40" s="79">
        <v>11.621</v>
      </c>
      <c r="M40" s="79">
        <v>13.916</v>
      </c>
      <c r="N40" s="79">
        <v>15.26</v>
      </c>
      <c r="O40" s="79">
        <v>9.9179999999999993</v>
      </c>
      <c r="P40" s="80">
        <f t="shared" ref="P40" si="14">+SUM(D40:O40)</f>
        <v>118.012</v>
      </c>
      <c r="Q40" s="81">
        <f>+SUM(D40:O40)</f>
        <v>118.012</v>
      </c>
      <c r="R40" s="82"/>
      <c r="S40" s="230"/>
      <c r="U40" s="178"/>
      <c r="V40" s="178"/>
      <c r="AD40" s="186"/>
    </row>
    <row r="41" spans="1:30" x14ac:dyDescent="0.35">
      <c r="A41" s="222"/>
      <c r="B41" s="83" t="s">
        <v>51</v>
      </c>
      <c r="C41" s="80">
        <v>135</v>
      </c>
      <c r="D41" s="79">
        <f>+D37/$P37*$P41</f>
        <v>9.696969696969699</v>
      </c>
      <c r="E41" s="79">
        <f>+E37/$P37*$P41</f>
        <v>9.696969696969699</v>
      </c>
      <c r="F41" s="79">
        <f t="shared" ref="F41:O41" si="15">+F37/$P37*$P41</f>
        <v>9.696969696969699</v>
      </c>
      <c r="G41" s="79">
        <f t="shared" si="15"/>
        <v>12.121212121212121</v>
      </c>
      <c r="H41" s="79">
        <f t="shared" si="15"/>
        <v>12.121212121212121</v>
      </c>
      <c r="I41" s="79">
        <f t="shared" si="15"/>
        <v>12.121212121212121</v>
      </c>
      <c r="J41" s="79">
        <f t="shared" si="15"/>
        <v>14.545454545454547</v>
      </c>
      <c r="K41" s="79">
        <f t="shared" si="15"/>
        <v>14.545454545454547</v>
      </c>
      <c r="L41" s="79">
        <f t="shared" si="15"/>
        <v>14.545454545454547</v>
      </c>
      <c r="M41" s="79">
        <f t="shared" si="15"/>
        <v>16.969696969696969</v>
      </c>
      <c r="N41" s="79">
        <f t="shared" si="15"/>
        <v>16.969696969696969</v>
      </c>
      <c r="O41" s="79">
        <f t="shared" si="15"/>
        <v>16.969696969696969</v>
      </c>
      <c r="P41" s="80">
        <v>160</v>
      </c>
      <c r="Q41" s="81">
        <f>+SUM(D41:O41)</f>
        <v>160.00000000000003</v>
      </c>
      <c r="R41" s="82"/>
      <c r="S41" s="230"/>
      <c r="U41" s="178"/>
      <c r="V41" s="178"/>
      <c r="AD41" s="186"/>
    </row>
    <row r="42" spans="1:30" x14ac:dyDescent="0.35">
      <c r="A42" s="86"/>
      <c r="B42" s="1"/>
      <c r="C42" s="87"/>
      <c r="D42" s="193">
        <f>+SUM(D37:I37)</f>
        <v>617.94000000000005</v>
      </c>
      <c r="E42" s="193">
        <f>+D42/P37</f>
        <v>0.40909090909090912</v>
      </c>
      <c r="F42" s="193">
        <f>+SUM(J37:L37)</f>
        <v>411.96</v>
      </c>
      <c r="G42" s="193">
        <f>+F42/P37</f>
        <v>0.27272727272727271</v>
      </c>
      <c r="H42" s="88">
        <f t="shared" ref="H42:P42" si="16">+H36-H37</f>
        <v>-114.43333333333334</v>
      </c>
      <c r="I42" s="88">
        <f t="shared" si="16"/>
        <v>-114.43333333333334</v>
      </c>
      <c r="J42" s="88">
        <f t="shared" si="16"/>
        <v>-137.32</v>
      </c>
      <c r="K42" s="88">
        <f t="shared" si="16"/>
        <v>-137.32</v>
      </c>
      <c r="L42" s="88">
        <f t="shared" si="16"/>
        <v>-137.32</v>
      </c>
      <c r="M42" s="88">
        <f t="shared" si="16"/>
        <v>-160.20666666666668</v>
      </c>
      <c r="N42" s="88">
        <f t="shared" si="16"/>
        <v>-160.20666666666668</v>
      </c>
      <c r="O42" s="88">
        <f t="shared" si="16"/>
        <v>-160.20666666666668</v>
      </c>
      <c r="P42" s="88">
        <f t="shared" si="16"/>
        <v>-1510.52</v>
      </c>
      <c r="Q42" s="89">
        <f>+Q40/Q41</f>
        <v>0.73757499999999987</v>
      </c>
      <c r="R42" s="90"/>
      <c r="S42" s="230"/>
      <c r="AD42" s="186"/>
    </row>
    <row r="43" spans="1:30" x14ac:dyDescent="0.35">
      <c r="A43" s="86"/>
      <c r="B43" s="1"/>
      <c r="C43" s="1"/>
      <c r="D43" s="189">
        <f t="shared" ref="D43:O43" si="17">+D42/D37</f>
        <v>6.7499999999999991</v>
      </c>
      <c r="E43" s="189">
        <f t="shared" si="17"/>
        <v>4.4686597992744216E-3</v>
      </c>
      <c r="F43" s="189">
        <f t="shared" si="17"/>
        <v>4.4999999999999991</v>
      </c>
      <c r="G43" s="189">
        <f t="shared" si="17"/>
        <v>2.3832852262796913E-3</v>
      </c>
      <c r="H43" s="189">
        <f t="shared" si="17"/>
        <v>-1</v>
      </c>
      <c r="I43" s="189">
        <f t="shared" si="17"/>
        <v>-1</v>
      </c>
      <c r="J43" s="189">
        <f t="shared" si="17"/>
        <v>-1</v>
      </c>
      <c r="K43" s="189">
        <f t="shared" si="17"/>
        <v>-1</v>
      </c>
      <c r="L43" s="189">
        <f t="shared" si="17"/>
        <v>-1</v>
      </c>
      <c r="M43" s="189">
        <f t="shared" si="17"/>
        <v>-1</v>
      </c>
      <c r="N43" s="189">
        <f t="shared" si="17"/>
        <v>-1</v>
      </c>
      <c r="O43" s="189">
        <f t="shared" si="17"/>
        <v>-1</v>
      </c>
      <c r="P43" s="190"/>
      <c r="Q43" s="96"/>
      <c r="R43" s="97"/>
      <c r="S43" s="230"/>
      <c r="U43" s="178"/>
      <c r="V43" s="178"/>
      <c r="AD43" s="186"/>
    </row>
    <row r="44" spans="1:30" ht="15.5" x14ac:dyDescent="0.35">
      <c r="A44" s="219" t="s">
        <v>55</v>
      </c>
      <c r="B44" s="29" t="s">
        <v>56</v>
      </c>
      <c r="C44" s="170"/>
      <c r="D44" s="99" t="s">
        <v>32</v>
      </c>
      <c r="E44" s="100" t="s">
        <v>5</v>
      </c>
      <c r="F44" s="99" t="s">
        <v>6</v>
      </c>
      <c r="G44" s="99" t="s">
        <v>33</v>
      </c>
      <c r="H44" s="99" t="s">
        <v>8</v>
      </c>
      <c r="I44" s="99" t="s">
        <v>9</v>
      </c>
      <c r="J44" s="99" t="s">
        <v>10</v>
      </c>
      <c r="K44" s="99" t="s">
        <v>34</v>
      </c>
      <c r="L44" s="99" t="s">
        <v>35</v>
      </c>
      <c r="M44" s="99" t="s">
        <v>13</v>
      </c>
      <c r="N44" s="99" t="s">
        <v>14</v>
      </c>
      <c r="O44" s="99" t="s">
        <v>15</v>
      </c>
      <c r="P44" s="101" t="s">
        <v>57</v>
      </c>
      <c r="Q44" s="1"/>
      <c r="R44" s="1"/>
      <c r="S44" s="230"/>
      <c r="U44" s="178"/>
      <c r="V44" s="178"/>
      <c r="AD44" s="186"/>
    </row>
    <row r="45" spans="1:30" x14ac:dyDescent="0.35">
      <c r="A45" s="219"/>
      <c r="B45" s="86" t="s">
        <v>186</v>
      </c>
      <c r="C45" s="102"/>
      <c r="D45" s="102">
        <v>0</v>
      </c>
      <c r="E45" s="102">
        <v>0</v>
      </c>
      <c r="F45" s="102">
        <v>0</v>
      </c>
      <c r="G45" s="102">
        <v>0</v>
      </c>
      <c r="H45" s="102">
        <v>0</v>
      </c>
      <c r="I45" s="102">
        <v>0</v>
      </c>
      <c r="J45" s="102">
        <v>0</v>
      </c>
      <c r="K45" s="102">
        <v>0</v>
      </c>
      <c r="L45" s="102">
        <v>0</v>
      </c>
      <c r="M45" s="102">
        <v>0</v>
      </c>
      <c r="N45" s="102">
        <v>0</v>
      </c>
      <c r="O45" s="102">
        <v>0</v>
      </c>
      <c r="P45" s="103">
        <f>+SUM(D45:O45)</f>
        <v>0</v>
      </c>
      <c r="Q45" s="1"/>
      <c r="R45" s="1"/>
      <c r="S45" s="230"/>
      <c r="U45" s="185"/>
      <c r="AD45" s="186"/>
    </row>
    <row r="46" spans="1:30" x14ac:dyDescent="0.35">
      <c r="A46" s="219"/>
      <c r="B46" s="86" t="s">
        <v>187</v>
      </c>
      <c r="C46" s="102"/>
      <c r="D46" s="105">
        <v>0</v>
      </c>
      <c r="E46" s="105">
        <v>0</v>
      </c>
      <c r="F46" s="105">
        <v>0</v>
      </c>
      <c r="G46" s="105">
        <v>0</v>
      </c>
      <c r="H46" s="105">
        <v>0</v>
      </c>
      <c r="I46" s="105">
        <v>0</v>
      </c>
      <c r="J46" s="105">
        <v>0</v>
      </c>
      <c r="K46" s="105">
        <v>0</v>
      </c>
      <c r="L46" s="105">
        <v>0</v>
      </c>
      <c r="M46" s="105">
        <v>0</v>
      </c>
      <c r="N46" s="105">
        <v>0</v>
      </c>
      <c r="O46" s="105">
        <v>0</v>
      </c>
      <c r="P46" s="106">
        <f>+SUM(D46:O46)</f>
        <v>0</v>
      </c>
      <c r="Q46" s="1"/>
      <c r="R46" s="1"/>
      <c r="S46" s="171" t="s">
        <v>177</v>
      </c>
      <c r="T46" s="173"/>
      <c r="U46" s="179"/>
      <c r="V46" s="179">
        <f>+SUM(V35:V44)</f>
        <v>13</v>
      </c>
      <c r="AD46" s="186"/>
    </row>
    <row r="47" spans="1:30" x14ac:dyDescent="0.35">
      <c r="A47" s="219"/>
      <c r="B47" s="86" t="s">
        <v>189</v>
      </c>
      <c r="C47" s="102"/>
      <c r="D47" s="105">
        <f>+D45</f>
        <v>0</v>
      </c>
      <c r="E47" s="105">
        <v>0</v>
      </c>
      <c r="F47" s="105">
        <f>+E47+F45</f>
        <v>0</v>
      </c>
      <c r="G47" s="105">
        <f>+F47+G45</f>
        <v>0</v>
      </c>
      <c r="H47" s="105">
        <f>+G47+H45</f>
        <v>0</v>
      </c>
      <c r="I47" s="105">
        <f t="shared" ref="I47:M47" si="18">+H47+I45</f>
        <v>0</v>
      </c>
      <c r="J47" s="105">
        <f t="shared" si="18"/>
        <v>0</v>
      </c>
      <c r="K47" s="105">
        <f t="shared" si="18"/>
        <v>0</v>
      </c>
      <c r="L47" s="105">
        <f t="shared" si="18"/>
        <v>0</v>
      </c>
      <c r="M47" s="105">
        <f t="shared" si="18"/>
        <v>0</v>
      </c>
      <c r="O47" s="105"/>
      <c r="P47" s="106"/>
      <c r="Q47" s="1"/>
      <c r="R47" s="1"/>
      <c r="U47" s="185"/>
    </row>
    <row r="48" spans="1:30" x14ac:dyDescent="0.35">
      <c r="A48" s="219"/>
      <c r="B48" s="104" t="s">
        <v>188</v>
      </c>
      <c r="C48" s="105"/>
      <c r="D48" s="105">
        <v>0</v>
      </c>
      <c r="E48" s="105">
        <v>0</v>
      </c>
      <c r="F48" s="105">
        <f>+E48+F46</f>
        <v>0</v>
      </c>
      <c r="G48" s="105">
        <f t="shared" ref="G48:O48" si="19">+F48+G46</f>
        <v>0</v>
      </c>
      <c r="H48" s="105">
        <f t="shared" si="19"/>
        <v>0</v>
      </c>
      <c r="I48" s="105">
        <f t="shared" si="19"/>
        <v>0</v>
      </c>
      <c r="J48" s="105">
        <f t="shared" si="19"/>
        <v>0</v>
      </c>
      <c r="K48" s="105">
        <f t="shared" si="19"/>
        <v>0</v>
      </c>
      <c r="L48" s="105">
        <f t="shared" si="19"/>
        <v>0</v>
      </c>
      <c r="M48" s="105">
        <f t="shared" si="19"/>
        <v>0</v>
      </c>
      <c r="N48" s="105">
        <f t="shared" si="19"/>
        <v>0</v>
      </c>
      <c r="O48" s="105">
        <f t="shared" si="19"/>
        <v>0</v>
      </c>
      <c r="P48" s="106"/>
      <c r="Q48" s="1"/>
      <c r="R48" s="1"/>
      <c r="S48" s="72"/>
    </row>
    <row r="49" spans="1:24" x14ac:dyDescent="0.35">
      <c r="A49" s="86"/>
      <c r="B49" s="1"/>
      <c r="C49" s="1"/>
      <c r="D49" s="107"/>
      <c r="E49" s="108"/>
      <c r="F49" s="107"/>
      <c r="G49" s="10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24" ht="15.5" hidden="1" x14ac:dyDescent="0.35">
      <c r="A50" s="219" t="s">
        <v>60</v>
      </c>
      <c r="B50" s="29" t="s">
        <v>61</v>
      </c>
      <c r="C50" s="99"/>
      <c r="D50" s="99" t="s">
        <v>62</v>
      </c>
      <c r="E50" s="100" t="s">
        <v>63</v>
      </c>
      <c r="F50" s="99" t="s">
        <v>64</v>
      </c>
      <c r="G50" s="99" t="s">
        <v>65</v>
      </c>
      <c r="H50" s="99" t="s">
        <v>66</v>
      </c>
      <c r="I50" s="99" t="s">
        <v>67</v>
      </c>
      <c r="J50" s="99" t="s">
        <v>68</v>
      </c>
      <c r="K50" s="99" t="s">
        <v>69</v>
      </c>
      <c r="L50" s="99" t="s">
        <v>70</v>
      </c>
      <c r="M50" s="99" t="s">
        <v>71</v>
      </c>
      <c r="N50" s="99" t="s">
        <v>72</v>
      </c>
      <c r="O50" s="99" t="s">
        <v>73</v>
      </c>
      <c r="P50" s="101" t="s">
        <v>74</v>
      </c>
      <c r="Q50" s="5"/>
      <c r="R50" s="5"/>
      <c r="S50" s="3"/>
      <c r="T50" s="68"/>
      <c r="U50" s="72"/>
      <c r="V50" s="1"/>
      <c r="W50" s="68"/>
      <c r="X50" s="72"/>
    </row>
    <row r="51" spans="1:24" hidden="1" x14ac:dyDescent="0.35">
      <c r="A51" s="219"/>
      <c r="B51" s="1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1"/>
      <c r="Q51" s="1"/>
      <c r="R51" s="1"/>
      <c r="S51" s="3"/>
      <c r="T51" s="68"/>
      <c r="U51" s="72"/>
      <c r="V51" s="1"/>
      <c r="W51" s="68"/>
      <c r="X51" s="72"/>
    </row>
    <row r="52" spans="1:24" hidden="1" x14ac:dyDescent="0.35">
      <c r="A52" s="223"/>
      <c r="B52" s="112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4"/>
      <c r="Q52" s="1"/>
      <c r="R52" s="1"/>
      <c r="S52" s="3"/>
      <c r="T52" s="1"/>
      <c r="U52" s="1"/>
      <c r="V52" s="4"/>
      <c r="W52" s="68"/>
      <c r="X52" s="72"/>
    </row>
    <row r="53" spans="1:24" hidden="1" x14ac:dyDescent="0.35">
      <c r="A53" s="1"/>
      <c r="B53" s="1"/>
      <c r="C53" s="169"/>
      <c r="D53" s="1"/>
      <c r="E53" s="2"/>
      <c r="F53" s="1"/>
      <c r="G53" s="1"/>
      <c r="H53" s="1"/>
      <c r="I53" s="1"/>
      <c r="J53" s="1"/>
      <c r="K53" s="1"/>
      <c r="L53" s="1"/>
      <c r="M53" s="1"/>
      <c r="N53" s="115"/>
      <c r="O53" s="115"/>
      <c r="P53" s="115"/>
      <c r="Q53" s="1"/>
      <c r="R53" s="1"/>
      <c r="S53" s="3"/>
      <c r="T53" s="1"/>
      <c r="U53" s="4"/>
      <c r="V53" s="4"/>
      <c r="W53" s="68"/>
      <c r="X53" s="72"/>
    </row>
    <row r="54" spans="1:24" ht="15.5" x14ac:dyDescent="0.35">
      <c r="A54" s="116"/>
      <c r="B54" s="117"/>
      <c r="C54" s="118"/>
      <c r="D54" s="117"/>
      <c r="E54" s="119" t="s">
        <v>75</v>
      </c>
      <c r="F54" s="217" t="s">
        <v>76</v>
      </c>
      <c r="G54" s="217"/>
      <c r="H54" s="217"/>
      <c r="I54" s="217"/>
      <c r="J54" s="217"/>
      <c r="K54" s="217"/>
      <c r="L54" s="118" t="s">
        <v>63</v>
      </c>
      <c r="M54" s="118" t="s">
        <v>64</v>
      </c>
      <c r="N54" s="118" t="s">
        <v>65</v>
      </c>
      <c r="O54" s="118" t="s">
        <v>66</v>
      </c>
      <c r="P54" s="118" t="s">
        <v>67</v>
      </c>
      <c r="Q54" s="118" t="s">
        <v>69</v>
      </c>
      <c r="R54" s="118" t="s">
        <v>70</v>
      </c>
      <c r="S54" s="118" t="s">
        <v>71</v>
      </c>
      <c r="T54" s="118" t="s">
        <v>72</v>
      </c>
      <c r="U54" s="118" t="s">
        <v>73</v>
      </c>
      <c r="V54" s="120"/>
      <c r="W54" s="120"/>
      <c r="X54" s="121"/>
    </row>
    <row r="55" spans="1:24" x14ac:dyDescent="0.35">
      <c r="A55" s="122" t="s">
        <v>77</v>
      </c>
      <c r="B55" s="123" t="s">
        <v>78</v>
      </c>
      <c r="C55" s="124"/>
      <c r="D55" s="125" t="s">
        <v>79</v>
      </c>
      <c r="E55" s="126" t="s">
        <v>80</v>
      </c>
      <c r="F55" s="225" t="s">
        <v>81</v>
      </c>
      <c r="G55" s="225"/>
      <c r="H55" s="225"/>
      <c r="I55" s="225"/>
      <c r="J55" s="225"/>
      <c r="K55" s="225"/>
      <c r="L55" s="124">
        <f t="shared" ref="L55:S55" si="20">+M55-7</f>
        <v>45966</v>
      </c>
      <c r="M55" s="124">
        <f t="shared" si="20"/>
        <v>45973</v>
      </c>
      <c r="N55" s="124">
        <f t="shared" si="20"/>
        <v>45980</v>
      </c>
      <c r="O55" s="124">
        <f t="shared" si="20"/>
        <v>45987</v>
      </c>
      <c r="P55" s="124">
        <f t="shared" si="20"/>
        <v>45994</v>
      </c>
      <c r="Q55" s="124">
        <f t="shared" si="20"/>
        <v>46001</v>
      </c>
      <c r="R55" s="124">
        <f t="shared" si="20"/>
        <v>46008</v>
      </c>
      <c r="S55" s="124">
        <f t="shared" si="20"/>
        <v>46015</v>
      </c>
      <c r="T55" s="124">
        <f>+U55-7</f>
        <v>46022</v>
      </c>
      <c r="U55" s="124">
        <v>46029</v>
      </c>
      <c r="V55" s="125" t="s">
        <v>82</v>
      </c>
      <c r="W55" s="125" t="s">
        <v>83</v>
      </c>
      <c r="X55" s="127" t="s">
        <v>84</v>
      </c>
    </row>
    <row r="56" spans="1:24" ht="33.5" customHeight="1" x14ac:dyDescent="0.35">
      <c r="A56" s="128" t="s">
        <v>47</v>
      </c>
      <c r="B56" s="128" t="s">
        <v>312</v>
      </c>
      <c r="C56" s="4"/>
      <c r="D56" s="142">
        <v>5</v>
      </c>
      <c r="E56" s="68" t="s">
        <v>105</v>
      </c>
      <c r="F56" s="224" t="s">
        <v>117</v>
      </c>
      <c r="G56" s="224"/>
      <c r="H56" s="224"/>
      <c r="I56" s="224"/>
      <c r="J56" s="224"/>
      <c r="K56" s="224"/>
      <c r="L56" s="131" t="s">
        <v>89</v>
      </c>
      <c r="M56" s="131" t="s">
        <v>89</v>
      </c>
      <c r="N56" s="131" t="s">
        <v>89</v>
      </c>
      <c r="O56" s="131" t="s">
        <v>89</v>
      </c>
      <c r="P56" s="131" t="s">
        <v>89</v>
      </c>
      <c r="Q56" s="131" t="s">
        <v>89</v>
      </c>
      <c r="R56" s="131" t="s">
        <v>89</v>
      </c>
      <c r="S56" s="131" t="s">
        <v>89</v>
      </c>
      <c r="T56" s="131" t="s">
        <v>89</v>
      </c>
      <c r="U56" s="131" t="s">
        <v>89</v>
      </c>
      <c r="V56" s="4" t="s">
        <v>100</v>
      </c>
      <c r="W56" s="139" t="s">
        <v>214</v>
      </c>
      <c r="X56" s="4" t="str">
        <f t="shared" ref="X56:X66" si="21">+E56</f>
        <v>LMM 5</v>
      </c>
    </row>
    <row r="57" spans="1:24" ht="25.5" customHeight="1" x14ac:dyDescent="0.35">
      <c r="A57" s="128" t="s">
        <v>25</v>
      </c>
      <c r="B57" s="128" t="s">
        <v>306</v>
      </c>
      <c r="C57" s="4"/>
      <c r="D57" s="142">
        <v>3.8039999999999998</v>
      </c>
      <c r="E57" s="68" t="s">
        <v>94</v>
      </c>
      <c r="F57" s="224" t="s">
        <v>313</v>
      </c>
      <c r="G57" s="224"/>
      <c r="H57" s="224"/>
      <c r="I57" s="224"/>
      <c r="J57" s="224"/>
      <c r="K57" s="224"/>
      <c r="L57" s="131" t="s">
        <v>89</v>
      </c>
      <c r="M57" s="131" t="s">
        <v>89</v>
      </c>
      <c r="N57" s="131" t="s">
        <v>89</v>
      </c>
      <c r="O57" s="131" t="s">
        <v>89</v>
      </c>
      <c r="P57" s="131" t="s">
        <v>89</v>
      </c>
      <c r="Q57" s="131" t="s">
        <v>89</v>
      </c>
      <c r="R57" s="131" t="s">
        <v>89</v>
      </c>
      <c r="S57" s="131" t="s">
        <v>89</v>
      </c>
      <c r="T57" s="131" t="s">
        <v>89</v>
      </c>
      <c r="U57" s="131" t="s">
        <v>89</v>
      </c>
      <c r="V57" s="4" t="s">
        <v>90</v>
      </c>
      <c r="W57" s="139" t="s">
        <v>214</v>
      </c>
      <c r="X57" s="133" t="str">
        <f t="shared" si="21"/>
        <v>LMM 4</v>
      </c>
    </row>
    <row r="58" spans="1:24" ht="26" customHeight="1" x14ac:dyDescent="0.35">
      <c r="A58" s="128" t="s">
        <v>25</v>
      </c>
      <c r="B58" s="128" t="s">
        <v>314</v>
      </c>
      <c r="C58" s="4"/>
      <c r="D58" s="142">
        <v>1.77</v>
      </c>
      <c r="E58" s="68" t="s">
        <v>105</v>
      </c>
      <c r="F58" s="224" t="s">
        <v>25</v>
      </c>
      <c r="G58" s="224"/>
      <c r="H58" s="224"/>
      <c r="I58" s="224"/>
      <c r="J58" s="224"/>
      <c r="K58" s="224"/>
      <c r="L58" s="131" t="s">
        <v>89</v>
      </c>
      <c r="M58" s="131" t="s">
        <v>89</v>
      </c>
      <c r="N58" s="131" t="s">
        <v>89</v>
      </c>
      <c r="O58" s="131" t="s">
        <v>89</v>
      </c>
      <c r="P58" s="131" t="s">
        <v>89</v>
      </c>
      <c r="Q58" s="131" t="s">
        <v>89</v>
      </c>
      <c r="R58" s="131" t="s">
        <v>89</v>
      </c>
      <c r="S58" s="131" t="s">
        <v>89</v>
      </c>
      <c r="T58" s="131" t="s">
        <v>89</v>
      </c>
      <c r="U58" s="131" t="s">
        <v>89</v>
      </c>
      <c r="V58" s="4" t="s">
        <v>90</v>
      </c>
      <c r="W58" s="139" t="s">
        <v>214</v>
      </c>
      <c r="X58" s="133" t="str">
        <f t="shared" si="21"/>
        <v>LMM 5</v>
      </c>
    </row>
    <row r="59" spans="1:24" ht="27" customHeight="1" x14ac:dyDescent="0.35">
      <c r="A59" s="128" t="s">
        <v>47</v>
      </c>
      <c r="B59" s="128" t="s">
        <v>312</v>
      </c>
      <c r="C59" s="4"/>
      <c r="D59" s="142">
        <v>10</v>
      </c>
      <c r="E59" s="68" t="s">
        <v>105</v>
      </c>
      <c r="F59" s="224" t="s">
        <v>117</v>
      </c>
      <c r="G59" s="224"/>
      <c r="H59" s="224"/>
      <c r="I59" s="224"/>
      <c r="J59" s="224"/>
      <c r="K59" s="224"/>
      <c r="L59" s="131" t="s">
        <v>89</v>
      </c>
      <c r="M59" s="131" t="s">
        <v>89</v>
      </c>
      <c r="N59" s="131" t="s">
        <v>89</v>
      </c>
      <c r="O59" s="131" t="s">
        <v>89</v>
      </c>
      <c r="P59" s="131" t="s">
        <v>89</v>
      </c>
      <c r="Q59" s="131" t="s">
        <v>89</v>
      </c>
      <c r="R59" s="131" t="s">
        <v>89</v>
      </c>
      <c r="S59" s="131" t="s">
        <v>89</v>
      </c>
      <c r="T59" s="131" t="s">
        <v>89</v>
      </c>
      <c r="U59" s="131" t="s">
        <v>89</v>
      </c>
      <c r="V59" s="4" t="s">
        <v>100</v>
      </c>
      <c r="W59" s="139" t="s">
        <v>214</v>
      </c>
      <c r="X59" s="133" t="str">
        <f t="shared" si="21"/>
        <v>LMM 5</v>
      </c>
    </row>
    <row r="60" spans="1:24" ht="34.5" customHeight="1" x14ac:dyDescent="0.35">
      <c r="A60" s="128" t="s">
        <v>128</v>
      </c>
      <c r="B60" s="128" t="s">
        <v>315</v>
      </c>
      <c r="C60" s="4"/>
      <c r="D60" s="142">
        <v>3</v>
      </c>
      <c r="E60" s="68" t="s">
        <v>97</v>
      </c>
      <c r="F60" s="224" t="s">
        <v>117</v>
      </c>
      <c r="G60" s="224"/>
      <c r="H60" s="224"/>
      <c r="I60" s="224"/>
      <c r="J60" s="224"/>
      <c r="K60" s="224"/>
      <c r="M60" s="4"/>
      <c r="N60" s="4"/>
      <c r="O60" s="130" t="s">
        <v>88</v>
      </c>
      <c r="P60" s="131" t="s">
        <v>89</v>
      </c>
      <c r="Q60" s="131" t="s">
        <v>89</v>
      </c>
      <c r="R60" s="131" t="s">
        <v>89</v>
      </c>
      <c r="S60" s="131" t="s">
        <v>89</v>
      </c>
      <c r="T60" s="131" t="s">
        <v>89</v>
      </c>
      <c r="U60" s="131" t="s">
        <v>89</v>
      </c>
      <c r="V60" s="4" t="s">
        <v>90</v>
      </c>
      <c r="W60" s="139" t="s">
        <v>214</v>
      </c>
      <c r="X60" s="133" t="str">
        <f t="shared" si="21"/>
        <v>LMM 3</v>
      </c>
    </row>
    <row r="61" spans="1:24" ht="30.5" customHeight="1" x14ac:dyDescent="0.35">
      <c r="A61" s="128" t="s">
        <v>128</v>
      </c>
      <c r="B61" s="128" t="s">
        <v>305</v>
      </c>
      <c r="C61" s="4"/>
      <c r="D61" s="142">
        <v>4.2</v>
      </c>
      <c r="E61" s="68" t="s">
        <v>86</v>
      </c>
      <c r="F61" s="224" t="s">
        <v>128</v>
      </c>
      <c r="G61" s="224"/>
      <c r="H61" s="224"/>
      <c r="I61" s="224"/>
      <c r="J61" s="224"/>
      <c r="K61" s="224"/>
      <c r="L61" s="131" t="s">
        <v>89</v>
      </c>
      <c r="M61" s="131" t="s">
        <v>89</v>
      </c>
      <c r="N61" s="131" t="s">
        <v>89</v>
      </c>
      <c r="O61" s="131" t="s">
        <v>89</v>
      </c>
      <c r="P61" s="131" t="s">
        <v>89</v>
      </c>
      <c r="Q61" s="131" t="s">
        <v>89</v>
      </c>
      <c r="R61" s="131" t="s">
        <v>89</v>
      </c>
      <c r="S61" s="131" t="s">
        <v>89</v>
      </c>
      <c r="T61" s="131" t="s">
        <v>89</v>
      </c>
      <c r="U61" s="131" t="s">
        <v>89</v>
      </c>
      <c r="V61" s="4" t="s">
        <v>90</v>
      </c>
      <c r="W61" s="139" t="s">
        <v>214</v>
      </c>
      <c r="X61" s="133" t="str">
        <f t="shared" si="21"/>
        <v>LMM 1</v>
      </c>
    </row>
    <row r="62" spans="1:24" ht="38" customHeight="1" x14ac:dyDescent="0.35">
      <c r="A62" s="128" t="s">
        <v>47</v>
      </c>
      <c r="B62" s="128" t="s">
        <v>291</v>
      </c>
      <c r="C62" s="4"/>
      <c r="D62" s="142">
        <v>4</v>
      </c>
      <c r="E62" s="68" t="s">
        <v>94</v>
      </c>
      <c r="F62" s="224" t="s">
        <v>316</v>
      </c>
      <c r="G62" s="224"/>
      <c r="H62" s="224"/>
      <c r="I62" s="224"/>
      <c r="J62" s="224"/>
      <c r="K62" s="224"/>
      <c r="L62" s="131" t="s">
        <v>89</v>
      </c>
      <c r="M62" s="131" t="s">
        <v>89</v>
      </c>
      <c r="N62" s="131" t="s">
        <v>89</v>
      </c>
      <c r="O62" s="131" t="s">
        <v>89</v>
      </c>
      <c r="P62" s="131" t="s">
        <v>89</v>
      </c>
      <c r="Q62" s="131" t="s">
        <v>89</v>
      </c>
      <c r="R62" s="131" t="s">
        <v>89</v>
      </c>
      <c r="S62" s="131" t="s">
        <v>89</v>
      </c>
      <c r="T62" s="131" t="s">
        <v>89</v>
      </c>
      <c r="U62" s="131" t="s">
        <v>89</v>
      </c>
      <c r="V62" s="4" t="s">
        <v>100</v>
      </c>
      <c r="W62" s="139" t="s">
        <v>214</v>
      </c>
      <c r="X62" s="4" t="str">
        <f t="shared" si="21"/>
        <v>LMM 4</v>
      </c>
    </row>
    <row r="63" spans="1:24" ht="53.5" customHeight="1" x14ac:dyDescent="0.35">
      <c r="A63" s="128" t="s">
        <v>128</v>
      </c>
      <c r="B63" s="128" t="s">
        <v>317</v>
      </c>
      <c r="C63" s="4"/>
      <c r="D63" s="142">
        <v>4</v>
      </c>
      <c r="E63" s="68" t="s">
        <v>86</v>
      </c>
      <c r="F63" s="224" t="s">
        <v>128</v>
      </c>
      <c r="G63" s="224"/>
      <c r="H63" s="224"/>
      <c r="I63" s="224"/>
      <c r="J63" s="224"/>
      <c r="K63" s="224"/>
      <c r="L63" s="131" t="s">
        <v>89</v>
      </c>
      <c r="M63" s="131" t="s">
        <v>89</v>
      </c>
      <c r="N63" s="131" t="s">
        <v>89</v>
      </c>
      <c r="O63" s="131" t="s">
        <v>89</v>
      </c>
      <c r="P63" s="131" t="s">
        <v>89</v>
      </c>
      <c r="Q63" s="131" t="s">
        <v>89</v>
      </c>
      <c r="R63" s="131" t="s">
        <v>89</v>
      </c>
      <c r="S63" s="131" t="s">
        <v>89</v>
      </c>
      <c r="T63" s="131" t="s">
        <v>89</v>
      </c>
      <c r="U63" s="131" t="s">
        <v>89</v>
      </c>
      <c r="V63" s="4" t="s">
        <v>100</v>
      </c>
      <c r="W63" s="139" t="s">
        <v>214</v>
      </c>
      <c r="X63" s="133" t="str">
        <f t="shared" si="21"/>
        <v>LMM 1</v>
      </c>
    </row>
    <row r="64" spans="1:24" ht="15" customHeight="1" x14ac:dyDescent="0.35">
      <c r="A64" s="128" t="s">
        <v>25</v>
      </c>
      <c r="B64" s="128" t="s">
        <v>296</v>
      </c>
      <c r="C64" s="4"/>
      <c r="D64" s="142">
        <v>1.7</v>
      </c>
      <c r="E64" s="68" t="s">
        <v>97</v>
      </c>
      <c r="F64" s="224" t="s">
        <v>113</v>
      </c>
      <c r="G64" s="224"/>
      <c r="H64" s="224"/>
      <c r="I64" s="224"/>
      <c r="J64" s="224"/>
      <c r="K64" s="224"/>
      <c r="L64" s="131" t="s">
        <v>89</v>
      </c>
      <c r="M64" s="131" t="s">
        <v>89</v>
      </c>
      <c r="N64" s="131" t="s">
        <v>89</v>
      </c>
      <c r="O64" s="131" t="s">
        <v>89</v>
      </c>
      <c r="P64" s="131" t="s">
        <v>89</v>
      </c>
      <c r="Q64" s="131" t="s">
        <v>89</v>
      </c>
      <c r="R64" s="131" t="s">
        <v>89</v>
      </c>
      <c r="S64" s="131" t="s">
        <v>89</v>
      </c>
      <c r="T64" s="131" t="s">
        <v>89</v>
      </c>
      <c r="U64" s="131" t="s">
        <v>89</v>
      </c>
      <c r="V64" s="4" t="s">
        <v>90</v>
      </c>
      <c r="W64" s="139" t="s">
        <v>214</v>
      </c>
      <c r="X64" s="133" t="str">
        <f t="shared" si="21"/>
        <v>LMM 3</v>
      </c>
    </row>
    <row r="65" spans="1:24" ht="48" hidden="1" customHeight="1" x14ac:dyDescent="0.35">
      <c r="A65" s="128" t="s">
        <v>47</v>
      </c>
      <c r="B65" s="128" t="s">
        <v>271</v>
      </c>
      <c r="C65" s="4"/>
      <c r="D65" s="142">
        <v>3.6</v>
      </c>
      <c r="E65" s="68" t="s">
        <v>105</v>
      </c>
      <c r="F65" s="224" t="s">
        <v>272</v>
      </c>
      <c r="G65" s="224"/>
      <c r="H65" s="224"/>
      <c r="I65" s="224"/>
      <c r="J65" s="224"/>
      <c r="K65" s="224"/>
      <c r="L65" s="4"/>
      <c r="M65" s="4"/>
      <c r="N65" s="4"/>
      <c r="O65" s="4"/>
      <c r="P65" s="130" t="s">
        <v>88</v>
      </c>
      <c r="Q65" s="131" t="s">
        <v>89</v>
      </c>
      <c r="R65" s="131" t="s">
        <v>89</v>
      </c>
      <c r="S65" s="131" t="s">
        <v>89</v>
      </c>
      <c r="T65" s="131" t="s">
        <v>89</v>
      </c>
      <c r="U65" s="131" t="s">
        <v>89</v>
      </c>
      <c r="V65" s="4" t="s">
        <v>90</v>
      </c>
      <c r="W65" s="139" t="s">
        <v>214</v>
      </c>
      <c r="X65" s="133" t="str">
        <f t="shared" si="21"/>
        <v>LMM 5</v>
      </c>
    </row>
    <row r="66" spans="1:24" ht="59.5" hidden="1" customHeight="1" x14ac:dyDescent="0.35">
      <c r="A66" s="152" t="s">
        <v>47</v>
      </c>
      <c r="B66" s="128" t="s">
        <v>273</v>
      </c>
      <c r="C66" s="4"/>
      <c r="D66" s="142">
        <v>3.14</v>
      </c>
      <c r="E66" s="68" t="s">
        <v>105</v>
      </c>
      <c r="F66" s="224" t="s">
        <v>272</v>
      </c>
      <c r="G66" s="224"/>
      <c r="H66" s="224"/>
      <c r="I66" s="224"/>
      <c r="J66" s="224"/>
      <c r="K66" s="224"/>
      <c r="L66" s="131" t="s">
        <v>89</v>
      </c>
      <c r="M66" s="131" t="s">
        <v>89</v>
      </c>
      <c r="N66" s="131" t="s">
        <v>89</v>
      </c>
      <c r="O66" s="131" t="s">
        <v>89</v>
      </c>
      <c r="P66" s="131" t="s">
        <v>89</v>
      </c>
      <c r="Q66" s="131" t="s">
        <v>89</v>
      </c>
      <c r="R66" s="131" t="s">
        <v>89</v>
      </c>
      <c r="S66" s="131" t="s">
        <v>89</v>
      </c>
      <c r="T66" s="131" t="s">
        <v>89</v>
      </c>
      <c r="U66" s="131" t="s">
        <v>89</v>
      </c>
      <c r="V66" s="1"/>
      <c r="W66" s="1"/>
      <c r="X66" s="1" t="str">
        <f t="shared" si="21"/>
        <v>LMM 5</v>
      </c>
    </row>
    <row r="67" spans="1:24" ht="15" hidden="1" customHeight="1" x14ac:dyDescent="0.35">
      <c r="A67" s="152" t="s">
        <v>47</v>
      </c>
      <c r="B67" s="128" t="s">
        <v>274</v>
      </c>
      <c r="C67" s="4"/>
      <c r="D67" s="142">
        <v>7</v>
      </c>
      <c r="E67" s="68" t="s">
        <v>94</v>
      </c>
      <c r="F67" s="224" t="s">
        <v>275</v>
      </c>
      <c r="G67" s="224"/>
      <c r="H67" s="224"/>
      <c r="I67" s="224"/>
      <c r="J67" s="224"/>
      <c r="K67" s="224"/>
      <c r="L67" s="131" t="s">
        <v>89</v>
      </c>
      <c r="M67" s="131" t="s">
        <v>89</v>
      </c>
      <c r="N67" s="131" t="s">
        <v>89</v>
      </c>
      <c r="O67" s="131" t="s">
        <v>89</v>
      </c>
      <c r="P67" s="131" t="s">
        <v>89</v>
      </c>
      <c r="Q67" s="131" t="s">
        <v>89</v>
      </c>
      <c r="R67" s="131" t="s">
        <v>89</v>
      </c>
      <c r="S67" s="131" t="s">
        <v>89</v>
      </c>
      <c r="T67" s="131" t="s">
        <v>89</v>
      </c>
      <c r="U67" s="131" t="s">
        <v>89</v>
      </c>
      <c r="V67" s="1"/>
      <c r="W67" s="1"/>
      <c r="X67" s="1"/>
    </row>
    <row r="68" spans="1:24" ht="15" hidden="1" customHeight="1" x14ac:dyDescent="0.35">
      <c r="A68" s="152" t="s">
        <v>47</v>
      </c>
      <c r="B68" s="128" t="s">
        <v>276</v>
      </c>
      <c r="C68" s="4"/>
      <c r="D68" s="142">
        <v>5.4989999999999997</v>
      </c>
      <c r="E68" s="68" t="s">
        <v>94</v>
      </c>
      <c r="F68" s="224" t="s">
        <v>275</v>
      </c>
      <c r="G68" s="224"/>
      <c r="H68" s="224"/>
      <c r="I68" s="224"/>
      <c r="J68" s="224"/>
      <c r="K68" s="224"/>
      <c r="L68" s="131" t="s">
        <v>89</v>
      </c>
      <c r="M68" s="131" t="s">
        <v>89</v>
      </c>
      <c r="N68" s="131" t="s">
        <v>89</v>
      </c>
      <c r="O68" s="131" t="s">
        <v>89</v>
      </c>
      <c r="P68" s="131" t="s">
        <v>89</v>
      </c>
      <c r="Q68" s="131" t="s">
        <v>89</v>
      </c>
      <c r="R68" s="131" t="s">
        <v>89</v>
      </c>
      <c r="S68" s="131" t="s">
        <v>89</v>
      </c>
      <c r="T68" s="131" t="s">
        <v>89</v>
      </c>
      <c r="U68" s="131" t="s">
        <v>89</v>
      </c>
      <c r="V68" s="1"/>
      <c r="W68" s="1"/>
      <c r="X68" s="1"/>
    </row>
    <row r="69" spans="1:24" ht="15" hidden="1" customHeight="1" x14ac:dyDescent="0.35">
      <c r="A69" s="152" t="s">
        <v>25</v>
      </c>
      <c r="B69" s="128" t="s">
        <v>277</v>
      </c>
      <c r="C69" s="4"/>
      <c r="D69" s="142">
        <v>4.3140000000000001</v>
      </c>
      <c r="E69" s="68" t="s">
        <v>94</v>
      </c>
      <c r="F69" s="224" t="s">
        <v>278</v>
      </c>
      <c r="G69" s="224"/>
      <c r="H69" s="224"/>
      <c r="I69" s="224"/>
      <c r="J69" s="224"/>
      <c r="K69" s="224"/>
      <c r="L69" s="131" t="s">
        <v>89</v>
      </c>
      <c r="M69" s="131" t="s">
        <v>89</v>
      </c>
      <c r="N69" s="131" t="s">
        <v>89</v>
      </c>
      <c r="O69" s="131" t="s">
        <v>89</v>
      </c>
      <c r="P69" s="131" t="s">
        <v>89</v>
      </c>
      <c r="Q69" s="131" t="s">
        <v>89</v>
      </c>
      <c r="R69" s="131" t="s">
        <v>89</v>
      </c>
      <c r="S69" s="131" t="s">
        <v>89</v>
      </c>
      <c r="T69" s="131" t="s">
        <v>89</v>
      </c>
      <c r="U69" s="131" t="s">
        <v>89</v>
      </c>
      <c r="V69" s="1"/>
      <c r="W69" s="1"/>
      <c r="X69" s="1"/>
    </row>
    <row r="70" spans="1:24" ht="15" hidden="1" customHeight="1" x14ac:dyDescent="0.35">
      <c r="A70" s="152" t="s">
        <v>47</v>
      </c>
      <c r="B70" s="128" t="s">
        <v>279</v>
      </c>
      <c r="C70" s="4"/>
      <c r="D70" s="142">
        <v>3.9119999999999999</v>
      </c>
      <c r="E70" s="68" t="s">
        <v>86</v>
      </c>
      <c r="F70" s="224" t="s">
        <v>275</v>
      </c>
      <c r="G70" s="224"/>
      <c r="H70" s="224"/>
      <c r="I70" s="224"/>
      <c r="J70" s="224"/>
      <c r="K70" s="224"/>
      <c r="L70" s="131" t="s">
        <v>89</v>
      </c>
      <c r="M70" s="131" t="s">
        <v>89</v>
      </c>
      <c r="N70" s="131" t="s">
        <v>89</v>
      </c>
      <c r="O70" s="131" t="s">
        <v>89</v>
      </c>
      <c r="P70" s="131" t="s">
        <v>89</v>
      </c>
      <c r="Q70" s="131" t="s">
        <v>89</v>
      </c>
      <c r="R70" s="131" t="s">
        <v>89</v>
      </c>
      <c r="S70" s="131" t="s">
        <v>89</v>
      </c>
      <c r="T70" s="131" t="s">
        <v>89</v>
      </c>
      <c r="U70" s="131" t="s">
        <v>89</v>
      </c>
      <c r="V70" s="1"/>
      <c r="W70" s="1"/>
      <c r="X70" s="1"/>
    </row>
    <row r="71" spans="1:24" ht="15" hidden="1" customHeight="1" x14ac:dyDescent="0.35">
      <c r="A71" s="152" t="s">
        <v>47</v>
      </c>
      <c r="B71" s="128" t="s">
        <v>280</v>
      </c>
      <c r="C71" s="4"/>
      <c r="D71" s="142">
        <v>3.609</v>
      </c>
      <c r="E71" s="68" t="s">
        <v>94</v>
      </c>
      <c r="F71" s="224" t="s">
        <v>275</v>
      </c>
      <c r="G71" s="224"/>
      <c r="H71" s="224"/>
      <c r="I71" s="224"/>
      <c r="J71" s="224"/>
      <c r="K71" s="224"/>
      <c r="L71" s="131" t="s">
        <v>89</v>
      </c>
      <c r="M71" s="131" t="s">
        <v>89</v>
      </c>
      <c r="N71" s="131" t="s">
        <v>89</v>
      </c>
      <c r="O71" s="131" t="s">
        <v>89</v>
      </c>
      <c r="P71" s="131" t="s">
        <v>89</v>
      </c>
      <c r="Q71" s="131" t="s">
        <v>89</v>
      </c>
      <c r="R71" s="131" t="s">
        <v>89</v>
      </c>
      <c r="S71" s="131" t="s">
        <v>89</v>
      </c>
      <c r="T71" s="131" t="s">
        <v>89</v>
      </c>
      <c r="U71" s="131" t="s">
        <v>89</v>
      </c>
      <c r="V71" s="1"/>
      <c r="W71" s="1"/>
      <c r="X71" s="1"/>
    </row>
    <row r="72" spans="1:24" hidden="1" x14ac:dyDescent="0.35">
      <c r="A72" s="152" t="s">
        <v>47</v>
      </c>
      <c r="B72" s="128" t="s">
        <v>262</v>
      </c>
      <c r="C72" s="4"/>
      <c r="D72" s="142">
        <v>2.552</v>
      </c>
      <c r="E72" s="68" t="s">
        <v>86</v>
      </c>
      <c r="F72" s="224" t="s">
        <v>98</v>
      </c>
      <c r="G72" s="224"/>
      <c r="H72" s="224"/>
      <c r="I72" s="224"/>
      <c r="J72" s="224"/>
      <c r="K72" s="224"/>
      <c r="L72" s="131" t="s">
        <v>89</v>
      </c>
      <c r="M72" s="131" t="s">
        <v>89</v>
      </c>
      <c r="N72" s="131" t="s">
        <v>89</v>
      </c>
      <c r="O72" s="131" t="s">
        <v>89</v>
      </c>
      <c r="P72" s="131" t="s">
        <v>89</v>
      </c>
      <c r="Q72" s="131" t="s">
        <v>89</v>
      </c>
      <c r="R72" s="131" t="s">
        <v>89</v>
      </c>
      <c r="S72" s="131" t="s">
        <v>89</v>
      </c>
      <c r="T72" s="131" t="s">
        <v>89</v>
      </c>
      <c r="U72" s="131" t="s">
        <v>89</v>
      </c>
      <c r="V72" s="1"/>
      <c r="W72" s="1"/>
      <c r="X72" s="1"/>
    </row>
    <row r="73" spans="1:24" x14ac:dyDescent="0.35">
      <c r="A73" s="152"/>
      <c r="B73" s="156"/>
      <c r="C73" s="4"/>
      <c r="D73" s="153"/>
      <c r="E73" s="154"/>
      <c r="F73" s="157"/>
      <c r="G73" s="157"/>
      <c r="H73" s="157"/>
      <c r="I73" s="157"/>
      <c r="J73" s="157"/>
      <c r="K73" s="157"/>
      <c r="L73" s="1"/>
      <c r="M73" s="1"/>
      <c r="N73" s="4"/>
      <c r="O73" s="4"/>
      <c r="P73" s="155"/>
      <c r="Q73" s="4"/>
      <c r="R73" s="4"/>
      <c r="S73" s="3"/>
      <c r="T73" s="1"/>
      <c r="U73" s="1"/>
      <c r="V73" s="1"/>
      <c r="W73" s="1"/>
      <c r="X73" s="1"/>
    </row>
    <row r="74" spans="1:24" ht="15.5" x14ac:dyDescent="0.35">
      <c r="A74" s="116"/>
      <c r="B74" s="117"/>
      <c r="C74" s="118"/>
      <c r="D74" s="117"/>
      <c r="E74" s="119" t="s">
        <v>75</v>
      </c>
      <c r="F74" s="217" t="s">
        <v>76</v>
      </c>
      <c r="G74" s="217"/>
      <c r="H74" s="217"/>
      <c r="I74" s="217"/>
      <c r="J74" s="217"/>
      <c r="K74" s="217"/>
      <c r="L74" s="118" t="s">
        <v>64</v>
      </c>
      <c r="M74" s="118" t="s">
        <v>65</v>
      </c>
      <c r="N74" s="118" t="s">
        <v>66</v>
      </c>
      <c r="O74" s="118" t="s">
        <v>67</v>
      </c>
      <c r="P74" s="118" t="s">
        <v>68</v>
      </c>
      <c r="Q74" s="118" t="s">
        <v>69</v>
      </c>
      <c r="R74" s="118" t="s">
        <v>70</v>
      </c>
      <c r="S74" s="118" t="s">
        <v>71</v>
      </c>
      <c r="T74" s="118" t="s">
        <v>72</v>
      </c>
      <c r="U74" s="118" t="s">
        <v>73</v>
      </c>
      <c r="V74" s="120"/>
      <c r="W74" s="120"/>
      <c r="X74" s="121"/>
    </row>
    <row r="75" spans="1:24" x14ac:dyDescent="0.35">
      <c r="A75" s="122" t="s">
        <v>77</v>
      </c>
      <c r="B75" s="123" t="s">
        <v>78</v>
      </c>
      <c r="C75" s="124"/>
      <c r="D75" s="125" t="s">
        <v>120</v>
      </c>
      <c r="E75" s="126" t="s">
        <v>80</v>
      </c>
      <c r="F75" s="225" t="s">
        <v>81</v>
      </c>
      <c r="G75" s="225"/>
      <c r="H75" s="225"/>
      <c r="I75" s="225"/>
      <c r="J75" s="225"/>
      <c r="K75" s="225"/>
      <c r="L75" s="124">
        <f t="shared" ref="L75:S75" si="22">+M75-7</f>
        <v>45160</v>
      </c>
      <c r="M75" s="124">
        <f t="shared" si="22"/>
        <v>45167</v>
      </c>
      <c r="N75" s="124">
        <f t="shared" si="22"/>
        <v>45174</v>
      </c>
      <c r="O75" s="124">
        <f t="shared" si="22"/>
        <v>45181</v>
      </c>
      <c r="P75" s="124">
        <f t="shared" si="22"/>
        <v>45188</v>
      </c>
      <c r="Q75" s="124">
        <f t="shared" si="22"/>
        <v>45195</v>
      </c>
      <c r="R75" s="124">
        <f t="shared" si="22"/>
        <v>45202</v>
      </c>
      <c r="S75" s="124">
        <f t="shared" si="22"/>
        <v>45209</v>
      </c>
      <c r="T75" s="124">
        <f>+U75-7</f>
        <v>45216</v>
      </c>
      <c r="U75" s="124">
        <v>45223</v>
      </c>
      <c r="V75" s="125" t="s">
        <v>82</v>
      </c>
      <c r="W75" s="125" t="s">
        <v>83</v>
      </c>
      <c r="X75" s="127" t="s">
        <v>84</v>
      </c>
    </row>
    <row r="76" spans="1:24" hidden="1" x14ac:dyDescent="0.35">
      <c r="A76" s="152" t="s">
        <v>25</v>
      </c>
      <c r="B76" s="152" t="s">
        <v>121</v>
      </c>
      <c r="C76" s="4"/>
      <c r="D76" s="68">
        <v>1.5</v>
      </c>
      <c r="E76" s="158">
        <v>2</v>
      </c>
      <c r="F76" s="227" t="s">
        <v>122</v>
      </c>
      <c r="G76" s="227"/>
      <c r="H76" s="227"/>
      <c r="I76" s="227"/>
      <c r="J76" s="227"/>
      <c r="K76" s="227"/>
      <c r="L76" s="143" t="s">
        <v>99</v>
      </c>
      <c r="M76" s="131" t="s">
        <v>89</v>
      </c>
      <c r="N76" s="131" t="s">
        <v>89</v>
      </c>
      <c r="O76" s="131" t="s">
        <v>89</v>
      </c>
      <c r="P76" s="131" t="s">
        <v>89</v>
      </c>
      <c r="Q76" s="131" t="s">
        <v>89</v>
      </c>
      <c r="R76" s="131" t="s">
        <v>89</v>
      </c>
      <c r="S76" s="131" t="s">
        <v>89</v>
      </c>
      <c r="T76" s="131" t="s">
        <v>89</v>
      </c>
      <c r="U76" s="131" t="s">
        <v>89</v>
      </c>
      <c r="V76" s="159"/>
      <c r="W76" s="159"/>
      <c r="X76" s="159"/>
    </row>
    <row r="77" spans="1:24" ht="29" hidden="1" x14ac:dyDescent="0.35">
      <c r="A77" s="152" t="s">
        <v>148</v>
      </c>
      <c r="B77" s="176" t="s">
        <v>123</v>
      </c>
      <c r="C77" s="4"/>
      <c r="D77" s="68">
        <v>1.2</v>
      </c>
      <c r="E77" s="158">
        <v>3</v>
      </c>
      <c r="F77" s="227" t="s">
        <v>182</v>
      </c>
      <c r="G77" s="227"/>
      <c r="H77" s="227"/>
      <c r="I77" s="227"/>
      <c r="J77" s="227"/>
      <c r="K77" s="227"/>
      <c r="L77" s="131" t="s">
        <v>89</v>
      </c>
      <c r="M77" s="131" t="s">
        <v>89</v>
      </c>
      <c r="N77" s="131" t="s">
        <v>89</v>
      </c>
      <c r="O77" s="131" t="s">
        <v>89</v>
      </c>
      <c r="P77" s="131" t="s">
        <v>89</v>
      </c>
      <c r="Q77" s="131" t="s">
        <v>89</v>
      </c>
      <c r="R77" s="131" t="s">
        <v>89</v>
      </c>
      <c r="S77" s="131" t="s">
        <v>89</v>
      </c>
      <c r="T77" s="131" t="s">
        <v>89</v>
      </c>
      <c r="U77" s="131" t="s">
        <v>89</v>
      </c>
      <c r="V77" s="159"/>
      <c r="W77" s="159"/>
      <c r="X77" s="159"/>
    </row>
    <row r="78" spans="1:24" hidden="1" x14ac:dyDescent="0.35">
      <c r="A78" s="152" t="s">
        <v>25</v>
      </c>
      <c r="B78" s="176" t="s">
        <v>126</v>
      </c>
      <c r="C78" s="4"/>
      <c r="D78" s="68">
        <v>1.5</v>
      </c>
      <c r="E78" s="158">
        <v>2</v>
      </c>
      <c r="F78" s="233" t="s">
        <v>125</v>
      </c>
      <c r="G78" s="233"/>
      <c r="H78" s="233"/>
      <c r="I78" s="233"/>
      <c r="J78" s="233"/>
      <c r="K78" s="233"/>
      <c r="L78" s="131" t="s">
        <v>89</v>
      </c>
      <c r="M78" s="143" t="s">
        <v>99</v>
      </c>
      <c r="N78" s="143" t="s">
        <v>99</v>
      </c>
      <c r="O78" s="143" t="s">
        <v>99</v>
      </c>
      <c r="P78" s="143" t="s">
        <v>99</v>
      </c>
      <c r="Q78" s="143" t="s">
        <v>99</v>
      </c>
      <c r="R78" s="143" t="s">
        <v>99</v>
      </c>
      <c r="S78" s="143" t="s">
        <v>99</v>
      </c>
      <c r="T78" s="143" t="s">
        <v>99</v>
      </c>
      <c r="U78" s="143" t="s">
        <v>99</v>
      </c>
      <c r="V78" s="159"/>
      <c r="W78" s="159"/>
      <c r="X78" s="159"/>
    </row>
    <row r="79" spans="1:24" hidden="1" x14ac:dyDescent="0.35">
      <c r="A79" s="152" t="s">
        <v>25</v>
      </c>
      <c r="B79" s="180" t="s">
        <v>127</v>
      </c>
      <c r="C79" s="4"/>
      <c r="D79" s="68">
        <v>1</v>
      </c>
      <c r="E79" s="158">
        <v>4</v>
      </c>
      <c r="F79" s="227" t="s">
        <v>87</v>
      </c>
      <c r="G79" s="227"/>
      <c r="H79" s="227"/>
      <c r="I79" s="227"/>
      <c r="J79" s="227"/>
      <c r="K79" s="227"/>
      <c r="L79" s="131" t="s">
        <v>89</v>
      </c>
      <c r="M79" s="131" t="s">
        <v>89</v>
      </c>
      <c r="N79" s="131" t="s">
        <v>89</v>
      </c>
      <c r="O79" s="131" t="s">
        <v>89</v>
      </c>
      <c r="P79" s="131" t="s">
        <v>89</v>
      </c>
      <c r="Q79" s="131" t="s">
        <v>89</v>
      </c>
      <c r="R79" s="131" t="s">
        <v>89</v>
      </c>
      <c r="S79" s="131" t="s">
        <v>89</v>
      </c>
      <c r="T79" s="131" t="s">
        <v>89</v>
      </c>
      <c r="U79" s="131" t="s">
        <v>89</v>
      </c>
      <c r="V79" s="159"/>
      <c r="W79" s="159"/>
      <c r="X79" s="159"/>
    </row>
    <row r="80" spans="1:24" hidden="1" x14ac:dyDescent="0.35">
      <c r="A80" s="152" t="s">
        <v>25</v>
      </c>
      <c r="B80" s="160" t="s">
        <v>130</v>
      </c>
      <c r="C80" s="4"/>
      <c r="D80" s="68">
        <v>2</v>
      </c>
      <c r="E80" s="158" t="s">
        <v>129</v>
      </c>
      <c r="F80" s="227" t="s">
        <v>156</v>
      </c>
      <c r="G80" s="227"/>
      <c r="H80" s="227"/>
      <c r="I80" s="227"/>
      <c r="J80" s="227"/>
      <c r="K80" s="227"/>
      <c r="L80" s="131" t="s">
        <v>89</v>
      </c>
      <c r="M80" s="131" t="s">
        <v>89</v>
      </c>
      <c r="N80" s="131" t="s">
        <v>89</v>
      </c>
      <c r="O80" s="131" t="s">
        <v>89</v>
      </c>
      <c r="P80" s="131" t="s">
        <v>89</v>
      </c>
      <c r="Q80" s="131" t="s">
        <v>89</v>
      </c>
      <c r="R80" s="131" t="s">
        <v>89</v>
      </c>
      <c r="S80" s="131" t="s">
        <v>89</v>
      </c>
      <c r="T80" s="131" t="s">
        <v>89</v>
      </c>
      <c r="U80" s="131" t="s">
        <v>89</v>
      </c>
      <c r="V80" s="159"/>
      <c r="W80" s="159"/>
      <c r="X80" s="159"/>
    </row>
    <row r="81" spans="1:24" hidden="1" x14ac:dyDescent="0.35">
      <c r="A81" s="152" t="s">
        <v>131</v>
      </c>
      <c r="B81" s="152" t="s">
        <v>132</v>
      </c>
      <c r="C81" s="4"/>
      <c r="D81" s="68">
        <v>1.5</v>
      </c>
      <c r="E81" s="158" t="s">
        <v>133</v>
      </c>
      <c r="F81" s="227" t="s">
        <v>134</v>
      </c>
      <c r="G81" s="227"/>
      <c r="H81" s="227"/>
      <c r="I81" s="227"/>
      <c r="J81" s="227"/>
      <c r="K81" s="227"/>
      <c r="L81" s="143" t="s">
        <v>99</v>
      </c>
      <c r="M81" s="143" t="s">
        <v>99</v>
      </c>
      <c r="N81" s="143" t="s">
        <v>99</v>
      </c>
      <c r="O81" s="143" t="s">
        <v>99</v>
      </c>
      <c r="P81" s="143" t="s">
        <v>99</v>
      </c>
      <c r="Q81" s="143" t="s">
        <v>99</v>
      </c>
      <c r="R81" s="143" t="s">
        <v>99</v>
      </c>
      <c r="S81" s="143" t="s">
        <v>99</v>
      </c>
      <c r="T81" s="143" t="s">
        <v>99</v>
      </c>
      <c r="U81" s="143" t="s">
        <v>99</v>
      </c>
      <c r="V81" s="159"/>
      <c r="W81" s="159"/>
      <c r="X81" s="159"/>
    </row>
    <row r="82" spans="1:24" hidden="1" x14ac:dyDescent="0.35">
      <c r="A82" s="152" t="s">
        <v>128</v>
      </c>
      <c r="B82" s="152" t="s">
        <v>135</v>
      </c>
      <c r="C82" s="4"/>
      <c r="D82" s="68">
        <v>1</v>
      </c>
      <c r="E82" s="158" t="s">
        <v>136</v>
      </c>
      <c r="F82" s="227" t="s">
        <v>137</v>
      </c>
      <c r="G82" s="227"/>
      <c r="H82" s="227"/>
      <c r="I82" s="227"/>
      <c r="J82" s="227"/>
      <c r="K82" s="227"/>
      <c r="L82" s="143" t="s">
        <v>99</v>
      </c>
      <c r="M82" s="143" t="s">
        <v>99</v>
      </c>
      <c r="N82" s="143" t="s">
        <v>99</v>
      </c>
      <c r="O82" s="143" t="s">
        <v>99</v>
      </c>
      <c r="P82" s="143" t="s">
        <v>99</v>
      </c>
      <c r="Q82" s="143" t="s">
        <v>99</v>
      </c>
      <c r="R82" s="143" t="s">
        <v>99</v>
      </c>
      <c r="S82" s="143" t="s">
        <v>99</v>
      </c>
      <c r="T82" s="143" t="s">
        <v>99</v>
      </c>
      <c r="U82" s="143" t="s">
        <v>99</v>
      </c>
      <c r="V82" s="159"/>
      <c r="W82" s="159"/>
      <c r="X82" s="159"/>
    </row>
    <row r="83" spans="1:24" hidden="1" x14ac:dyDescent="0.35">
      <c r="A83" s="152" t="s">
        <v>47</v>
      </c>
      <c r="B83" s="152" t="s">
        <v>138</v>
      </c>
      <c r="C83" s="4"/>
      <c r="D83" s="68">
        <v>1</v>
      </c>
      <c r="E83" s="158" t="s">
        <v>136</v>
      </c>
      <c r="F83" s="227" t="s">
        <v>139</v>
      </c>
      <c r="G83" s="227"/>
      <c r="H83" s="227"/>
      <c r="I83" s="227"/>
      <c r="J83" s="227"/>
      <c r="K83" s="227"/>
      <c r="L83" s="131" t="s">
        <v>89</v>
      </c>
      <c r="M83" s="131" t="s">
        <v>89</v>
      </c>
      <c r="N83" s="131" t="s">
        <v>89</v>
      </c>
      <c r="O83" s="131" t="s">
        <v>89</v>
      </c>
      <c r="P83" s="131" t="s">
        <v>89</v>
      </c>
      <c r="Q83" s="131" t="s">
        <v>89</v>
      </c>
      <c r="R83" s="131" t="s">
        <v>89</v>
      </c>
      <c r="S83" s="131" t="s">
        <v>89</v>
      </c>
      <c r="T83" s="131" t="s">
        <v>89</v>
      </c>
      <c r="U83" s="131" t="s">
        <v>89</v>
      </c>
      <c r="V83" s="159"/>
      <c r="W83" s="159"/>
      <c r="X83" s="159"/>
    </row>
    <row r="84" spans="1:24" hidden="1" x14ac:dyDescent="0.35">
      <c r="A84" s="152" t="s">
        <v>25</v>
      </c>
      <c r="B84" s="152" t="s">
        <v>96</v>
      </c>
      <c r="C84" s="4"/>
      <c r="D84" s="68">
        <v>1.5</v>
      </c>
      <c r="E84" s="158" t="s">
        <v>140</v>
      </c>
      <c r="F84" s="227" t="s">
        <v>163</v>
      </c>
      <c r="G84" s="227"/>
      <c r="H84" s="227"/>
      <c r="I84" s="227"/>
      <c r="J84" s="227"/>
      <c r="K84" s="227"/>
      <c r="L84" s="131" t="s">
        <v>89</v>
      </c>
      <c r="M84" s="131" t="s">
        <v>89</v>
      </c>
      <c r="N84" s="131" t="s">
        <v>89</v>
      </c>
      <c r="O84" s="131" t="s">
        <v>89</v>
      </c>
      <c r="P84" s="131" t="s">
        <v>89</v>
      </c>
      <c r="Q84" s="131" t="s">
        <v>89</v>
      </c>
      <c r="R84" s="131" t="s">
        <v>89</v>
      </c>
      <c r="S84" s="131" t="s">
        <v>89</v>
      </c>
      <c r="T84" s="131" t="s">
        <v>89</v>
      </c>
      <c r="U84" s="131" t="s">
        <v>89</v>
      </c>
      <c r="V84" s="159"/>
      <c r="W84" s="159"/>
      <c r="X84" s="159"/>
    </row>
    <row r="85" spans="1:24" hidden="1" x14ac:dyDescent="0.35">
      <c r="A85" s="152" t="s">
        <v>47</v>
      </c>
      <c r="B85" s="152" t="s">
        <v>141</v>
      </c>
      <c r="C85" s="4"/>
      <c r="D85" s="68">
        <v>1.2</v>
      </c>
      <c r="E85" s="158" t="s">
        <v>140</v>
      </c>
      <c r="F85" s="227" t="s">
        <v>171</v>
      </c>
      <c r="G85" s="227"/>
      <c r="H85" s="227"/>
      <c r="I85" s="227"/>
      <c r="J85" s="227"/>
      <c r="K85" s="227"/>
      <c r="L85" s="131" t="s">
        <v>89</v>
      </c>
      <c r="M85" s="131" t="s">
        <v>89</v>
      </c>
      <c r="N85" s="131" t="s">
        <v>89</v>
      </c>
      <c r="O85" s="131" t="s">
        <v>89</v>
      </c>
      <c r="P85" s="131" t="s">
        <v>89</v>
      </c>
      <c r="Q85" s="131" t="s">
        <v>89</v>
      </c>
      <c r="R85" s="131" t="s">
        <v>89</v>
      </c>
      <c r="S85" s="131" t="s">
        <v>89</v>
      </c>
      <c r="T85" s="131" t="s">
        <v>89</v>
      </c>
      <c r="U85" s="131" t="s">
        <v>89</v>
      </c>
      <c r="V85" s="159"/>
      <c r="W85" s="159"/>
      <c r="X85" s="159"/>
    </row>
    <row r="86" spans="1:24" hidden="1" x14ac:dyDescent="0.35">
      <c r="A86" s="152" t="s">
        <v>47</v>
      </c>
      <c r="B86" s="152" t="s">
        <v>142</v>
      </c>
      <c r="C86" s="4"/>
      <c r="D86" s="68">
        <v>1</v>
      </c>
      <c r="E86" s="158" t="s">
        <v>129</v>
      </c>
      <c r="F86" s="227" t="s">
        <v>143</v>
      </c>
      <c r="G86" s="227"/>
      <c r="H86" s="227"/>
      <c r="I86" s="227"/>
      <c r="J86" s="227"/>
      <c r="K86" s="227"/>
      <c r="L86" s="143" t="s">
        <v>99</v>
      </c>
      <c r="M86" s="143" t="s">
        <v>99</v>
      </c>
      <c r="N86" s="143" t="s">
        <v>99</v>
      </c>
      <c r="O86" s="143" t="s">
        <v>99</v>
      </c>
      <c r="P86" s="143" t="s">
        <v>99</v>
      </c>
      <c r="Q86" s="143" t="s">
        <v>99</v>
      </c>
      <c r="R86" s="143" t="s">
        <v>99</v>
      </c>
      <c r="S86" s="143" t="s">
        <v>99</v>
      </c>
      <c r="T86" s="143" t="s">
        <v>99</v>
      </c>
      <c r="U86" s="143" t="s">
        <v>99</v>
      </c>
      <c r="V86" s="159"/>
      <c r="W86" s="159"/>
      <c r="X86" s="159"/>
    </row>
    <row r="87" spans="1:24" ht="29" hidden="1" x14ac:dyDescent="0.35">
      <c r="A87" s="152" t="s">
        <v>25</v>
      </c>
      <c r="B87" s="176" t="s">
        <v>93</v>
      </c>
      <c r="C87" s="4"/>
      <c r="D87" s="68">
        <v>1.5</v>
      </c>
      <c r="E87" s="158" t="s">
        <v>133</v>
      </c>
      <c r="F87" s="227" t="s">
        <v>125</v>
      </c>
      <c r="G87" s="227"/>
      <c r="H87" s="227"/>
      <c r="I87" s="227"/>
      <c r="J87" s="227"/>
      <c r="K87" s="227"/>
      <c r="L87" s="131" t="s">
        <v>89</v>
      </c>
      <c r="M87" s="131" t="s">
        <v>89</v>
      </c>
      <c r="N87" s="131" t="s">
        <v>89</v>
      </c>
      <c r="O87" s="131" t="s">
        <v>89</v>
      </c>
      <c r="P87" s="131" t="s">
        <v>89</v>
      </c>
      <c r="Q87" s="131" t="s">
        <v>89</v>
      </c>
      <c r="R87" s="131" t="s">
        <v>89</v>
      </c>
      <c r="S87" s="131" t="s">
        <v>89</v>
      </c>
      <c r="T87" s="131" t="s">
        <v>89</v>
      </c>
      <c r="U87" s="131" t="s">
        <v>89</v>
      </c>
      <c r="V87" s="159"/>
      <c r="W87" s="159"/>
      <c r="X87" s="159"/>
    </row>
    <row r="88" spans="1:24" ht="29" hidden="1" x14ac:dyDescent="0.35">
      <c r="A88" s="152" t="s">
        <v>47</v>
      </c>
      <c r="B88" s="152" t="s">
        <v>145</v>
      </c>
      <c r="C88" s="4"/>
      <c r="D88" s="68">
        <v>1</v>
      </c>
      <c r="E88" s="158" t="s">
        <v>136</v>
      </c>
      <c r="F88" s="227" t="s">
        <v>146</v>
      </c>
      <c r="G88" s="227"/>
      <c r="H88" s="227"/>
      <c r="I88" s="227"/>
      <c r="J88" s="227"/>
      <c r="K88" s="227"/>
      <c r="L88" s="131" t="s">
        <v>89</v>
      </c>
      <c r="M88" s="131" t="s">
        <v>89</v>
      </c>
      <c r="N88" s="131" t="s">
        <v>89</v>
      </c>
      <c r="O88" s="131" t="s">
        <v>89</v>
      </c>
      <c r="P88" s="131" t="s">
        <v>89</v>
      </c>
      <c r="Q88" s="131" t="s">
        <v>89</v>
      </c>
      <c r="R88" s="131" t="s">
        <v>89</v>
      </c>
      <c r="S88" s="131" t="s">
        <v>89</v>
      </c>
      <c r="T88" s="131" t="s">
        <v>89</v>
      </c>
      <c r="U88" s="131" t="s">
        <v>89</v>
      </c>
      <c r="V88" s="159"/>
      <c r="W88" s="159"/>
      <c r="X88" s="159"/>
    </row>
    <row r="89" spans="1:24" hidden="1" x14ac:dyDescent="0.35">
      <c r="A89" s="152" t="s">
        <v>144</v>
      </c>
      <c r="B89" s="152" t="s">
        <v>147</v>
      </c>
      <c r="C89" s="4"/>
      <c r="D89" s="68">
        <v>2.5</v>
      </c>
      <c r="E89" s="158"/>
      <c r="F89" s="227" t="s">
        <v>183</v>
      </c>
      <c r="G89" s="227"/>
      <c r="H89" s="227"/>
      <c r="I89" s="227"/>
      <c r="J89" s="227"/>
      <c r="K89" s="227"/>
      <c r="L89" s="131" t="s">
        <v>89</v>
      </c>
      <c r="M89" s="131" t="s">
        <v>89</v>
      </c>
      <c r="N89" s="131" t="s">
        <v>89</v>
      </c>
      <c r="O89" s="131" t="s">
        <v>89</v>
      </c>
      <c r="P89" s="131" t="s">
        <v>89</v>
      </c>
      <c r="Q89" s="131" t="s">
        <v>89</v>
      </c>
      <c r="R89" s="131" t="s">
        <v>89</v>
      </c>
      <c r="S89" s="131" t="s">
        <v>89</v>
      </c>
      <c r="T89" s="131" t="s">
        <v>89</v>
      </c>
      <c r="U89" s="131" t="s">
        <v>89</v>
      </c>
      <c r="V89" s="159"/>
      <c r="W89" s="159"/>
      <c r="X89" s="159"/>
    </row>
    <row r="90" spans="1:24" hidden="1" x14ac:dyDescent="0.35">
      <c r="A90" s="152" t="s">
        <v>47</v>
      </c>
      <c r="B90" s="160" t="s">
        <v>149</v>
      </c>
      <c r="C90" s="4"/>
      <c r="D90" s="68">
        <v>55</v>
      </c>
      <c r="E90" s="158"/>
      <c r="F90" s="227" t="s">
        <v>185</v>
      </c>
      <c r="G90" s="227"/>
      <c r="H90" s="227"/>
      <c r="I90" s="227"/>
      <c r="J90" s="227"/>
      <c r="K90" s="227"/>
      <c r="L90" s="131" t="s">
        <v>89</v>
      </c>
      <c r="M90" s="131" t="s">
        <v>89</v>
      </c>
      <c r="N90" s="131" t="s">
        <v>89</v>
      </c>
      <c r="O90" s="131" t="s">
        <v>89</v>
      </c>
      <c r="P90" s="131" t="s">
        <v>89</v>
      </c>
      <c r="Q90" s="131" t="s">
        <v>89</v>
      </c>
      <c r="R90" s="131" t="s">
        <v>89</v>
      </c>
      <c r="S90" s="131" t="s">
        <v>89</v>
      </c>
      <c r="T90" s="131" t="s">
        <v>89</v>
      </c>
      <c r="U90" s="131" t="s">
        <v>89</v>
      </c>
      <c r="V90" s="159"/>
      <c r="W90" s="159"/>
      <c r="X90" s="159"/>
    </row>
    <row r="91" spans="1:24" hidden="1" x14ac:dyDescent="0.35">
      <c r="A91" s="152" t="s">
        <v>47</v>
      </c>
      <c r="B91" s="152" t="s">
        <v>150</v>
      </c>
      <c r="C91" s="4"/>
      <c r="D91" s="161" t="s">
        <v>151</v>
      </c>
      <c r="E91" s="158"/>
      <c r="F91" s="227" t="s">
        <v>158</v>
      </c>
      <c r="G91" s="227"/>
      <c r="H91" s="227"/>
      <c r="I91" s="227"/>
      <c r="J91" s="227"/>
      <c r="K91" s="227"/>
      <c r="L91" s="131" t="s">
        <v>89</v>
      </c>
      <c r="M91" s="131" t="s">
        <v>89</v>
      </c>
      <c r="N91" s="131" t="s">
        <v>89</v>
      </c>
      <c r="O91" s="131" t="s">
        <v>89</v>
      </c>
      <c r="P91" s="131" t="s">
        <v>89</v>
      </c>
      <c r="Q91" s="131" t="s">
        <v>89</v>
      </c>
      <c r="R91" s="131" t="s">
        <v>89</v>
      </c>
      <c r="S91" s="131" t="s">
        <v>89</v>
      </c>
      <c r="T91" s="131" t="s">
        <v>89</v>
      </c>
      <c r="U91" s="131" t="s">
        <v>89</v>
      </c>
      <c r="V91" s="159"/>
      <c r="W91" s="159"/>
      <c r="X91" s="159"/>
    </row>
    <row r="92" spans="1:24" ht="29" hidden="1" x14ac:dyDescent="0.35">
      <c r="A92" s="152" t="s">
        <v>47</v>
      </c>
      <c r="B92" s="152" t="s">
        <v>152</v>
      </c>
      <c r="C92" s="4"/>
      <c r="D92" s="68">
        <v>1.1000000000000001</v>
      </c>
      <c r="E92" s="158"/>
      <c r="F92" s="227" t="s">
        <v>157</v>
      </c>
      <c r="G92" s="227"/>
      <c r="H92" s="227"/>
      <c r="I92" s="227"/>
      <c r="J92" s="227"/>
      <c r="K92" s="227"/>
      <c r="L92" s="131" t="s">
        <v>89</v>
      </c>
      <c r="M92" s="131" t="s">
        <v>89</v>
      </c>
      <c r="N92" s="131" t="s">
        <v>89</v>
      </c>
      <c r="O92" s="131" t="s">
        <v>89</v>
      </c>
      <c r="P92" s="131" t="s">
        <v>89</v>
      </c>
      <c r="Q92" s="131" t="s">
        <v>89</v>
      </c>
      <c r="R92" s="131" t="s">
        <v>89</v>
      </c>
      <c r="S92" s="131" t="s">
        <v>89</v>
      </c>
      <c r="T92" s="131" t="s">
        <v>89</v>
      </c>
      <c r="U92" s="131" t="s">
        <v>89</v>
      </c>
      <c r="V92" s="159" t="s">
        <v>153</v>
      </c>
      <c r="W92" s="159"/>
      <c r="X92" s="159"/>
    </row>
    <row r="93" spans="1:24" hidden="1" x14ac:dyDescent="0.35">
      <c r="A93" s="152" t="s">
        <v>47</v>
      </c>
      <c r="B93" s="160" t="s">
        <v>116</v>
      </c>
      <c r="C93" s="4"/>
      <c r="D93" s="68">
        <v>1.5</v>
      </c>
      <c r="E93" s="158"/>
      <c r="F93" s="227" t="s">
        <v>184</v>
      </c>
      <c r="G93" s="227"/>
      <c r="H93" s="227"/>
      <c r="I93" s="227"/>
      <c r="J93" s="227"/>
      <c r="K93" s="227"/>
      <c r="L93" s="131" t="s">
        <v>89</v>
      </c>
      <c r="M93" s="131" t="s">
        <v>89</v>
      </c>
      <c r="N93" s="131" t="s">
        <v>89</v>
      </c>
      <c r="O93" s="131" t="s">
        <v>89</v>
      </c>
      <c r="P93" s="131" t="s">
        <v>89</v>
      </c>
      <c r="Q93" s="131" t="s">
        <v>89</v>
      </c>
      <c r="R93" s="131" t="s">
        <v>89</v>
      </c>
      <c r="S93" s="131" t="s">
        <v>89</v>
      </c>
      <c r="T93" s="131" t="s">
        <v>89</v>
      </c>
      <c r="U93" s="131" t="s">
        <v>89</v>
      </c>
      <c r="V93" s="159"/>
      <c r="W93" s="159"/>
      <c r="X93" s="159"/>
    </row>
    <row r="94" spans="1:24" hidden="1" x14ac:dyDescent="0.35">
      <c r="A94" s="152" t="s">
        <v>47</v>
      </c>
      <c r="B94" s="152" t="s">
        <v>154</v>
      </c>
      <c r="C94" s="4"/>
      <c r="D94" s="68">
        <v>1</v>
      </c>
      <c r="E94" s="158"/>
      <c r="F94" s="227" t="s">
        <v>117</v>
      </c>
      <c r="G94" s="227"/>
      <c r="H94" s="227"/>
      <c r="I94" s="227"/>
      <c r="J94" s="227"/>
      <c r="K94" s="227"/>
      <c r="L94" s="131" t="s">
        <v>89</v>
      </c>
      <c r="M94" s="131" t="s">
        <v>89</v>
      </c>
      <c r="N94" s="131" t="s">
        <v>89</v>
      </c>
      <c r="O94" s="131" t="s">
        <v>89</v>
      </c>
      <c r="P94" s="131" t="s">
        <v>89</v>
      </c>
      <c r="Q94" s="131" t="s">
        <v>89</v>
      </c>
      <c r="R94" s="131" t="s">
        <v>89</v>
      </c>
      <c r="S94" s="131" t="s">
        <v>89</v>
      </c>
      <c r="T94" s="131" t="s">
        <v>89</v>
      </c>
      <c r="U94" s="131" t="s">
        <v>89</v>
      </c>
      <c r="V94" s="159"/>
      <c r="W94" s="159"/>
      <c r="X94" s="159"/>
    </row>
    <row r="95" spans="1:24" ht="29" hidden="1" x14ac:dyDescent="0.35">
      <c r="A95" s="152" t="s">
        <v>25</v>
      </c>
      <c r="B95" s="152" t="s">
        <v>159</v>
      </c>
      <c r="D95" s="68">
        <v>1</v>
      </c>
      <c r="F95" s="227" t="s">
        <v>128</v>
      </c>
      <c r="G95" s="227"/>
      <c r="H95" s="227"/>
      <c r="I95" s="227"/>
      <c r="J95" s="227"/>
      <c r="K95" s="227"/>
      <c r="L95" s="131" t="s">
        <v>89</v>
      </c>
      <c r="M95" s="131" t="s">
        <v>89</v>
      </c>
      <c r="N95" s="131" t="s">
        <v>89</v>
      </c>
      <c r="O95" s="131" t="s">
        <v>89</v>
      </c>
      <c r="P95" s="131" t="s">
        <v>89</v>
      </c>
      <c r="Q95" s="131" t="s">
        <v>89</v>
      </c>
      <c r="R95" s="131" t="s">
        <v>89</v>
      </c>
      <c r="S95" s="131" t="s">
        <v>89</v>
      </c>
      <c r="T95" s="131" t="s">
        <v>89</v>
      </c>
      <c r="U95" s="131" t="s">
        <v>89</v>
      </c>
    </row>
    <row r="96" spans="1:24" hidden="1" x14ac:dyDescent="0.35">
      <c r="A96" s="152" t="s">
        <v>128</v>
      </c>
      <c r="B96" s="176" t="s">
        <v>160</v>
      </c>
      <c r="D96" s="68">
        <v>1</v>
      </c>
      <c r="F96" s="227" t="s">
        <v>128</v>
      </c>
      <c r="G96" s="227"/>
      <c r="H96" s="227"/>
      <c r="I96" s="227"/>
      <c r="J96" s="227"/>
      <c r="K96" s="227"/>
      <c r="L96" s="131" t="s">
        <v>89</v>
      </c>
      <c r="M96" s="131" t="s">
        <v>89</v>
      </c>
      <c r="N96" s="131" t="s">
        <v>89</v>
      </c>
      <c r="O96" s="131" t="s">
        <v>89</v>
      </c>
      <c r="P96" s="131" t="s">
        <v>89</v>
      </c>
      <c r="Q96" s="131" t="s">
        <v>89</v>
      </c>
      <c r="R96" s="131" t="s">
        <v>89</v>
      </c>
      <c r="S96" s="131" t="s">
        <v>89</v>
      </c>
      <c r="T96" s="131" t="s">
        <v>89</v>
      </c>
      <c r="U96" s="131" t="s">
        <v>89</v>
      </c>
    </row>
    <row r="97" spans="1:21" hidden="1" x14ac:dyDescent="0.35">
      <c r="A97" s="152" t="s">
        <v>25</v>
      </c>
      <c r="B97" s="160" t="s">
        <v>130</v>
      </c>
      <c r="D97" s="68">
        <v>1</v>
      </c>
      <c r="F97" s="227" t="s">
        <v>161</v>
      </c>
      <c r="G97" s="227"/>
      <c r="H97" s="227"/>
      <c r="I97" s="227"/>
      <c r="J97" s="227"/>
      <c r="K97" s="227"/>
      <c r="L97" s="131" t="s">
        <v>89</v>
      </c>
      <c r="M97" s="131" t="s">
        <v>89</v>
      </c>
      <c r="N97" s="131" t="s">
        <v>89</v>
      </c>
      <c r="O97" s="131" t="s">
        <v>89</v>
      </c>
      <c r="P97" s="131" t="s">
        <v>89</v>
      </c>
      <c r="Q97" s="131" t="s">
        <v>89</v>
      </c>
      <c r="R97" s="131" t="s">
        <v>89</v>
      </c>
      <c r="S97" s="131" t="s">
        <v>89</v>
      </c>
      <c r="T97" s="131" t="s">
        <v>89</v>
      </c>
      <c r="U97" s="131" t="s">
        <v>89</v>
      </c>
    </row>
    <row r="98" spans="1:21" hidden="1" x14ac:dyDescent="0.35">
      <c r="A98" s="152" t="s">
        <v>47</v>
      </c>
      <c r="B98" s="176" t="s">
        <v>162</v>
      </c>
      <c r="D98" s="68">
        <v>1</v>
      </c>
      <c r="F98" s="227" t="s">
        <v>155</v>
      </c>
      <c r="G98" s="227"/>
      <c r="H98" s="227"/>
      <c r="I98" s="227"/>
      <c r="J98" s="227"/>
      <c r="K98" s="227"/>
      <c r="L98" s="131" t="s">
        <v>89</v>
      </c>
      <c r="M98" s="131" t="s">
        <v>89</v>
      </c>
      <c r="N98" s="131" t="s">
        <v>89</v>
      </c>
      <c r="O98" s="131" t="s">
        <v>89</v>
      </c>
      <c r="P98" s="131" t="s">
        <v>89</v>
      </c>
      <c r="Q98" s="131" t="s">
        <v>89</v>
      </c>
      <c r="R98" s="131" t="s">
        <v>89</v>
      </c>
      <c r="S98" s="131" t="s">
        <v>89</v>
      </c>
      <c r="T98" s="131" t="s">
        <v>89</v>
      </c>
      <c r="U98" s="131" t="s">
        <v>89</v>
      </c>
    </row>
    <row r="99" spans="1:21" hidden="1" x14ac:dyDescent="0.35">
      <c r="A99" s="152" t="s">
        <v>47</v>
      </c>
      <c r="B99" s="180" t="s">
        <v>164</v>
      </c>
      <c r="D99" s="68">
        <v>1</v>
      </c>
      <c r="F99" s="227" t="s">
        <v>155</v>
      </c>
      <c r="G99" s="227"/>
      <c r="H99" s="227"/>
      <c r="I99" s="227"/>
      <c r="J99" s="227"/>
      <c r="K99" s="227"/>
      <c r="L99" s="131" t="s">
        <v>89</v>
      </c>
      <c r="M99" s="131" t="s">
        <v>89</v>
      </c>
      <c r="N99" s="131" t="s">
        <v>89</v>
      </c>
      <c r="O99" s="131" t="s">
        <v>89</v>
      </c>
      <c r="P99" s="131" t="s">
        <v>89</v>
      </c>
      <c r="Q99" s="131" t="s">
        <v>89</v>
      </c>
      <c r="R99" s="131" t="s">
        <v>89</v>
      </c>
      <c r="S99" s="131" t="s">
        <v>89</v>
      </c>
      <c r="T99" s="131" t="s">
        <v>89</v>
      </c>
      <c r="U99" s="131" t="s">
        <v>89</v>
      </c>
    </row>
    <row r="100" spans="1:21" hidden="1" x14ac:dyDescent="0.35">
      <c r="A100" s="152" t="s">
        <v>47</v>
      </c>
      <c r="B100" s="177" t="s">
        <v>165</v>
      </c>
      <c r="D100" s="68">
        <v>1.4</v>
      </c>
      <c r="F100" s="227" t="s">
        <v>155</v>
      </c>
      <c r="G100" s="227"/>
      <c r="H100" s="227"/>
      <c r="I100" s="227"/>
      <c r="J100" s="227"/>
      <c r="K100" s="227"/>
      <c r="L100" s="131" t="s">
        <v>89</v>
      </c>
      <c r="M100" s="131" t="s">
        <v>89</v>
      </c>
      <c r="N100" s="131" t="s">
        <v>89</v>
      </c>
      <c r="O100" s="131" t="s">
        <v>89</v>
      </c>
      <c r="P100" s="131" t="s">
        <v>89</v>
      </c>
      <c r="Q100" s="131" t="s">
        <v>89</v>
      </c>
      <c r="R100" s="131" t="s">
        <v>89</v>
      </c>
      <c r="S100" s="131" t="s">
        <v>89</v>
      </c>
      <c r="T100" s="131" t="s">
        <v>89</v>
      </c>
      <c r="U100" s="131" t="s">
        <v>89</v>
      </c>
    </row>
    <row r="101" spans="1:21" hidden="1" x14ac:dyDescent="0.35">
      <c r="A101" s="152" t="s">
        <v>25</v>
      </c>
      <c r="B101" s="176" t="s">
        <v>166</v>
      </c>
      <c r="D101" s="68">
        <v>1</v>
      </c>
      <c r="F101" s="227" t="s">
        <v>109</v>
      </c>
      <c r="G101" s="227"/>
      <c r="H101" s="227"/>
      <c r="I101" s="227"/>
      <c r="J101" s="227"/>
      <c r="K101" s="227"/>
      <c r="L101" s="131" t="s">
        <v>89</v>
      </c>
      <c r="M101" s="131" t="s">
        <v>89</v>
      </c>
      <c r="N101" s="131" t="s">
        <v>89</v>
      </c>
      <c r="O101" s="131" t="s">
        <v>89</v>
      </c>
      <c r="P101" s="131" t="s">
        <v>89</v>
      </c>
      <c r="Q101" s="131" t="s">
        <v>89</v>
      </c>
      <c r="R101" s="131" t="s">
        <v>89</v>
      </c>
      <c r="S101" s="131" t="s">
        <v>89</v>
      </c>
      <c r="T101" s="131" t="s">
        <v>89</v>
      </c>
      <c r="U101" s="131" t="s">
        <v>89</v>
      </c>
    </row>
    <row r="102" spans="1:21" hidden="1" x14ac:dyDescent="0.35">
      <c r="A102" s="152" t="s">
        <v>47</v>
      </c>
      <c r="B102" s="176" t="s">
        <v>167</v>
      </c>
      <c r="D102" s="68">
        <v>1</v>
      </c>
      <c r="F102" s="227" t="s">
        <v>192</v>
      </c>
      <c r="G102" s="227"/>
      <c r="H102" s="227"/>
      <c r="I102" s="227"/>
      <c r="J102" s="227"/>
      <c r="K102" s="227"/>
    </row>
    <row r="103" spans="1:21" hidden="1" x14ac:dyDescent="0.35">
      <c r="A103" s="152" t="s">
        <v>47</v>
      </c>
      <c r="B103" s="176" t="s">
        <v>168</v>
      </c>
      <c r="D103" s="68">
        <v>1</v>
      </c>
      <c r="F103" s="227" t="s">
        <v>117</v>
      </c>
      <c r="G103" s="227"/>
      <c r="H103" s="227"/>
      <c r="I103" s="227"/>
      <c r="J103" s="227"/>
      <c r="K103" s="227"/>
    </row>
    <row r="104" spans="1:21" hidden="1" x14ac:dyDescent="0.35">
      <c r="A104" s="152" t="s">
        <v>25</v>
      </c>
      <c r="B104" s="176" t="s">
        <v>169</v>
      </c>
      <c r="D104" s="68">
        <v>1.5</v>
      </c>
      <c r="F104" s="227" t="s">
        <v>179</v>
      </c>
      <c r="G104" s="227"/>
      <c r="H104" s="227"/>
      <c r="I104" s="227"/>
      <c r="J104" s="227"/>
      <c r="K104" s="227"/>
    </row>
    <row r="105" spans="1:21" hidden="1" x14ac:dyDescent="0.35">
      <c r="A105" s="152" t="s">
        <v>47</v>
      </c>
      <c r="B105" s="176" t="s">
        <v>172</v>
      </c>
      <c r="D105" s="68">
        <v>5.8</v>
      </c>
      <c r="F105" s="227" t="s">
        <v>190</v>
      </c>
      <c r="G105" s="227"/>
      <c r="H105" s="227"/>
      <c r="I105" s="227"/>
      <c r="J105" s="227"/>
      <c r="K105" s="227"/>
      <c r="S105" s="130" t="s">
        <v>88</v>
      </c>
      <c r="T105" s="131" t="s">
        <v>89</v>
      </c>
      <c r="U105" s="131" t="s">
        <v>89</v>
      </c>
    </row>
    <row r="106" spans="1:21" hidden="1" x14ac:dyDescent="0.35">
      <c r="A106" s="152" t="s">
        <v>128</v>
      </c>
      <c r="B106" s="176" t="s">
        <v>173</v>
      </c>
      <c r="D106" s="68">
        <v>0.8</v>
      </c>
      <c r="F106" s="227" t="s">
        <v>178</v>
      </c>
      <c r="G106" s="227"/>
      <c r="H106" s="227"/>
      <c r="I106" s="227"/>
      <c r="J106" s="227"/>
      <c r="K106" s="227"/>
      <c r="P106" s="130" t="s">
        <v>88</v>
      </c>
      <c r="Q106" s="131" t="s">
        <v>89</v>
      </c>
      <c r="R106" s="131" t="s">
        <v>89</v>
      </c>
      <c r="S106" s="131" t="s">
        <v>89</v>
      </c>
      <c r="T106" s="131" t="s">
        <v>89</v>
      </c>
      <c r="U106" s="131" t="s">
        <v>89</v>
      </c>
    </row>
    <row r="107" spans="1:21" hidden="1" x14ac:dyDescent="0.35">
      <c r="A107" s="152" t="s">
        <v>128</v>
      </c>
      <c r="B107" s="176" t="s">
        <v>174</v>
      </c>
      <c r="D107" s="174">
        <v>100</v>
      </c>
      <c r="F107" s="227" t="s">
        <v>146</v>
      </c>
      <c r="G107" s="227"/>
      <c r="H107" s="227"/>
      <c r="I107" s="227"/>
      <c r="J107" s="227"/>
      <c r="K107" s="227"/>
    </row>
    <row r="108" spans="1:21" hidden="1" x14ac:dyDescent="0.35">
      <c r="A108" s="152" t="s">
        <v>47</v>
      </c>
      <c r="B108" s="176" t="s">
        <v>147</v>
      </c>
      <c r="D108" s="68">
        <v>50</v>
      </c>
      <c r="F108" s="227" t="s">
        <v>209</v>
      </c>
      <c r="G108" s="227"/>
      <c r="H108" s="227"/>
      <c r="I108" s="227"/>
      <c r="J108" s="227"/>
      <c r="K108" s="227"/>
    </row>
    <row r="109" spans="1:21" ht="15" hidden="1" customHeight="1" x14ac:dyDescent="0.35">
      <c r="A109" s="152" t="s">
        <v>25</v>
      </c>
      <c r="B109" s="183" t="s">
        <v>195</v>
      </c>
      <c r="D109" s="68">
        <v>4</v>
      </c>
      <c r="F109" s="227" t="s">
        <v>244</v>
      </c>
      <c r="G109" s="227"/>
      <c r="H109" s="227"/>
      <c r="I109" s="227"/>
      <c r="J109" s="227"/>
      <c r="K109" s="227"/>
    </row>
    <row r="110" spans="1:21" ht="34" hidden="1" customHeight="1" x14ac:dyDescent="0.35">
      <c r="A110" s="152" t="s">
        <v>25</v>
      </c>
      <c r="B110" s="195" t="s">
        <v>124</v>
      </c>
      <c r="D110" s="68">
        <v>14</v>
      </c>
      <c r="F110" s="227" t="s">
        <v>243</v>
      </c>
      <c r="G110" s="227"/>
      <c r="H110" s="227"/>
      <c r="I110" s="227"/>
      <c r="J110" s="227"/>
      <c r="K110" s="227"/>
    </row>
    <row r="111" spans="1:21" hidden="1" x14ac:dyDescent="0.35">
      <c r="A111" s="152" t="s">
        <v>47</v>
      </c>
      <c r="B111" s="183" t="s">
        <v>193</v>
      </c>
      <c r="D111" s="68">
        <v>30</v>
      </c>
      <c r="F111" s="227" t="s">
        <v>196</v>
      </c>
      <c r="G111" s="227"/>
      <c r="H111" s="227"/>
      <c r="I111" s="227"/>
      <c r="J111" s="227"/>
      <c r="K111" s="227"/>
    </row>
    <row r="112" spans="1:21" hidden="1" x14ac:dyDescent="0.35">
      <c r="A112" s="152" t="s">
        <v>128</v>
      </c>
      <c r="B112" s="183" t="s">
        <v>194</v>
      </c>
      <c r="D112" s="68">
        <v>15</v>
      </c>
      <c r="F112" s="227" t="s">
        <v>197</v>
      </c>
      <c r="G112" s="227"/>
      <c r="H112" s="227"/>
      <c r="I112" s="227"/>
      <c r="J112" s="227"/>
      <c r="K112" s="227"/>
    </row>
    <row r="113" spans="1:12" hidden="1" x14ac:dyDescent="0.35">
      <c r="A113" s="152" t="s">
        <v>128</v>
      </c>
      <c r="B113" s="183" t="s">
        <v>198</v>
      </c>
      <c r="D113" s="68">
        <v>30</v>
      </c>
      <c r="F113" s="227" t="s">
        <v>199</v>
      </c>
      <c r="G113" s="227"/>
      <c r="H113" s="227"/>
      <c r="I113" s="227"/>
      <c r="J113" s="227"/>
      <c r="K113" s="227"/>
    </row>
    <row r="114" spans="1:12" hidden="1" x14ac:dyDescent="0.35">
      <c r="A114" s="152" t="s">
        <v>203</v>
      </c>
      <c r="B114" t="s">
        <v>204</v>
      </c>
      <c r="D114" s="68">
        <v>2.2000000000000002</v>
      </c>
    </row>
    <row r="115" spans="1:12" hidden="1" x14ac:dyDescent="0.35">
      <c r="A115" s="152" t="s">
        <v>203</v>
      </c>
      <c r="B115" s="184" t="s">
        <v>205</v>
      </c>
    </row>
    <row r="116" spans="1:12" hidden="1" x14ac:dyDescent="0.35">
      <c r="A116" s="152" t="s">
        <v>203</v>
      </c>
      <c r="B116" t="s">
        <v>206</v>
      </c>
      <c r="D116" s="68">
        <v>6</v>
      </c>
    </row>
    <row r="117" spans="1:12" ht="37" hidden="1" customHeight="1" x14ac:dyDescent="0.35">
      <c r="A117" s="152" t="s">
        <v>25</v>
      </c>
      <c r="B117" s="183" t="s">
        <v>211</v>
      </c>
      <c r="D117" s="68">
        <v>40</v>
      </c>
      <c r="F117" s="227" t="s">
        <v>254</v>
      </c>
      <c r="G117" s="227"/>
      <c r="H117" s="227"/>
      <c r="I117" s="227"/>
      <c r="J117" s="227"/>
      <c r="K117" s="227"/>
    </row>
    <row r="118" spans="1:12" ht="35" hidden="1" customHeight="1" x14ac:dyDescent="0.35">
      <c r="A118" s="152" t="s">
        <v>25</v>
      </c>
      <c r="B118" s="182" t="s">
        <v>218</v>
      </c>
      <c r="D118" s="68">
        <v>44</v>
      </c>
      <c r="F118" s="227" t="s">
        <v>260</v>
      </c>
      <c r="G118" s="227"/>
      <c r="H118" s="227"/>
      <c r="I118" s="227"/>
      <c r="J118" s="227"/>
      <c r="K118" s="227"/>
    </row>
    <row r="119" spans="1:12" ht="35" hidden="1" customHeight="1" x14ac:dyDescent="0.35">
      <c r="A119" s="152" t="s">
        <v>157</v>
      </c>
      <c r="B119" s="183" t="s">
        <v>219</v>
      </c>
      <c r="D119" s="68">
        <v>56</v>
      </c>
      <c r="F119" s="227" t="s">
        <v>245</v>
      </c>
      <c r="G119" s="227"/>
      <c r="H119" s="227"/>
      <c r="I119" s="227"/>
      <c r="J119" s="227"/>
      <c r="K119" s="227"/>
      <c r="L119" t="s">
        <v>97</v>
      </c>
    </row>
    <row r="120" spans="1:12" ht="35" hidden="1" customHeight="1" x14ac:dyDescent="0.35">
      <c r="A120" s="152" t="s">
        <v>47</v>
      </c>
      <c r="B120" s="182" t="s">
        <v>242</v>
      </c>
      <c r="D120" s="68">
        <v>100</v>
      </c>
      <c r="F120" s="227" t="s">
        <v>259</v>
      </c>
      <c r="G120" s="227"/>
      <c r="H120" s="227"/>
      <c r="I120" s="227"/>
      <c r="J120" s="227"/>
      <c r="K120" s="227"/>
      <c r="L120" t="s">
        <v>94</v>
      </c>
    </row>
    <row r="121" spans="1:12" ht="35" hidden="1" customHeight="1" x14ac:dyDescent="0.35">
      <c r="A121" s="152" t="s">
        <v>25</v>
      </c>
      <c r="B121" s="182" t="s">
        <v>246</v>
      </c>
      <c r="D121" s="68">
        <v>20</v>
      </c>
      <c r="F121" s="227" t="s">
        <v>128</v>
      </c>
      <c r="G121" s="227"/>
      <c r="H121" s="227"/>
      <c r="I121" s="227"/>
      <c r="J121" s="227"/>
      <c r="K121" s="227"/>
    </row>
    <row r="122" spans="1:12" hidden="1" x14ac:dyDescent="0.35">
      <c r="A122" s="152" t="s">
        <v>47</v>
      </c>
      <c r="B122" s="183" t="s">
        <v>247</v>
      </c>
      <c r="D122" s="68">
        <v>17</v>
      </c>
      <c r="F122" s="227" t="s">
        <v>155</v>
      </c>
      <c r="G122" s="227"/>
      <c r="H122" s="227"/>
      <c r="I122" s="227"/>
      <c r="J122" s="227"/>
      <c r="K122" s="227"/>
    </row>
    <row r="123" spans="1:12" hidden="1" x14ac:dyDescent="0.35">
      <c r="A123" s="152" t="s">
        <v>148</v>
      </c>
      <c r="B123" s="183" t="s">
        <v>166</v>
      </c>
      <c r="D123" s="68">
        <v>40</v>
      </c>
      <c r="F123" s="227" t="s">
        <v>255</v>
      </c>
      <c r="G123" s="227"/>
      <c r="H123" s="227"/>
      <c r="I123" s="227"/>
      <c r="J123" s="227"/>
      <c r="K123" s="227"/>
    </row>
    <row r="124" spans="1:12" hidden="1" x14ac:dyDescent="0.35">
      <c r="A124" s="152" t="s">
        <v>25</v>
      </c>
      <c r="B124" s="187" t="s">
        <v>248</v>
      </c>
      <c r="D124" s="68">
        <v>30</v>
      </c>
      <c r="F124" s="227" t="s">
        <v>87</v>
      </c>
      <c r="G124" s="227"/>
      <c r="H124" s="227"/>
      <c r="I124" s="227"/>
      <c r="J124" s="227"/>
      <c r="K124" s="227"/>
    </row>
    <row r="125" spans="1:12" hidden="1" x14ac:dyDescent="0.35">
      <c r="A125" s="152" t="s">
        <v>47</v>
      </c>
      <c r="B125" s="187" t="s">
        <v>249</v>
      </c>
      <c r="D125" s="68">
        <v>140</v>
      </c>
      <c r="F125" s="227" t="s">
        <v>256</v>
      </c>
      <c r="G125" s="227"/>
      <c r="H125" s="227"/>
      <c r="I125" s="227"/>
      <c r="J125" s="227"/>
      <c r="K125" s="227"/>
    </row>
    <row r="126" spans="1:12" hidden="1" x14ac:dyDescent="0.35">
      <c r="A126" s="152" t="s">
        <v>25</v>
      </c>
      <c r="B126" s="187" t="s">
        <v>253</v>
      </c>
      <c r="D126" s="68">
        <v>20</v>
      </c>
      <c r="F126" s="227" t="s">
        <v>286</v>
      </c>
      <c r="G126" s="227"/>
      <c r="H126" s="227"/>
      <c r="I126" s="227"/>
      <c r="J126" s="227"/>
      <c r="K126" s="227"/>
    </row>
    <row r="127" spans="1:12" hidden="1" x14ac:dyDescent="0.35">
      <c r="A127" s="152" t="s">
        <v>25</v>
      </c>
      <c r="B127" s="187" t="s">
        <v>257</v>
      </c>
      <c r="D127" s="68">
        <v>18</v>
      </c>
      <c r="F127" s="227" t="s">
        <v>261</v>
      </c>
      <c r="G127" s="227"/>
      <c r="H127" s="227"/>
      <c r="I127" s="227"/>
      <c r="J127" s="227"/>
      <c r="K127" s="227"/>
    </row>
    <row r="128" spans="1:12" x14ac:dyDescent="0.35">
      <c r="A128" s="152" t="s">
        <v>25</v>
      </c>
      <c r="B128" s="182" t="s">
        <v>147</v>
      </c>
      <c r="D128" s="68">
        <v>60</v>
      </c>
      <c r="F128" s="227" t="s">
        <v>286</v>
      </c>
      <c r="G128" s="227"/>
      <c r="H128" s="227"/>
      <c r="I128" s="227"/>
      <c r="J128" s="227"/>
      <c r="K128" s="227"/>
    </row>
    <row r="129" spans="1:11" hidden="1" x14ac:dyDescent="0.35">
      <c r="A129" s="152" t="s">
        <v>25</v>
      </c>
      <c r="B129" s="187" t="s">
        <v>263</v>
      </c>
      <c r="D129" s="68">
        <v>3</v>
      </c>
      <c r="F129" s="227" t="s">
        <v>286</v>
      </c>
      <c r="G129" s="227"/>
      <c r="H129" s="227"/>
      <c r="I129" s="227"/>
      <c r="J129" s="227"/>
      <c r="K129" s="227"/>
    </row>
    <row r="130" spans="1:11" hidden="1" x14ac:dyDescent="0.35">
      <c r="A130" s="152" t="s">
        <v>25</v>
      </c>
      <c r="B130" s="183" t="s">
        <v>264</v>
      </c>
      <c r="D130" s="68">
        <v>15</v>
      </c>
      <c r="F130" s="227" t="s">
        <v>287</v>
      </c>
      <c r="G130" s="227"/>
      <c r="H130" s="227"/>
      <c r="I130" s="227"/>
      <c r="J130" s="227"/>
      <c r="K130" s="227"/>
    </row>
    <row r="131" spans="1:11" x14ac:dyDescent="0.35">
      <c r="A131" s="152" t="s">
        <v>293</v>
      </c>
      <c r="B131" s="198" t="s">
        <v>265</v>
      </c>
      <c r="D131" s="68">
        <v>26</v>
      </c>
      <c r="F131" s="227" t="s">
        <v>310</v>
      </c>
      <c r="G131" s="227"/>
      <c r="H131" s="227"/>
      <c r="I131" s="227"/>
      <c r="J131" s="227"/>
      <c r="K131" s="227"/>
    </row>
    <row r="132" spans="1:11" hidden="1" x14ac:dyDescent="0.35">
      <c r="A132" s="152" t="s">
        <v>128</v>
      </c>
      <c r="B132" s="183" t="s">
        <v>266</v>
      </c>
      <c r="D132" s="68">
        <v>20</v>
      </c>
      <c r="F132" s="227" t="s">
        <v>287</v>
      </c>
      <c r="G132" s="227"/>
      <c r="H132" s="227"/>
      <c r="I132" s="227"/>
      <c r="J132" s="227"/>
      <c r="K132" s="227"/>
    </row>
    <row r="133" spans="1:11" hidden="1" x14ac:dyDescent="0.35">
      <c r="A133" s="152" t="s">
        <v>293</v>
      </c>
      <c r="B133" s="187" t="s">
        <v>267</v>
      </c>
      <c r="D133" s="68">
        <v>15</v>
      </c>
      <c r="F133" s="227" t="s">
        <v>87</v>
      </c>
      <c r="G133" s="227"/>
      <c r="H133" s="227"/>
      <c r="I133" s="227"/>
      <c r="J133" s="227"/>
      <c r="K133" s="227"/>
    </row>
    <row r="134" spans="1:11" hidden="1" x14ac:dyDescent="0.35">
      <c r="A134" s="152" t="s">
        <v>128</v>
      </c>
      <c r="B134" s="198" t="s">
        <v>268</v>
      </c>
      <c r="D134" s="68">
        <v>45</v>
      </c>
      <c r="F134" s="227" t="s">
        <v>281</v>
      </c>
      <c r="G134" s="227"/>
      <c r="H134" s="227"/>
      <c r="I134" s="227"/>
      <c r="J134" s="227"/>
      <c r="K134" s="227"/>
    </row>
    <row r="135" spans="1:11" hidden="1" x14ac:dyDescent="0.35">
      <c r="A135" s="152" t="s">
        <v>47</v>
      </c>
      <c r="B135" s="183" t="s">
        <v>269</v>
      </c>
      <c r="D135" s="68">
        <v>20</v>
      </c>
      <c r="F135" s="227" t="s">
        <v>300</v>
      </c>
      <c r="G135" s="227"/>
      <c r="H135" s="227"/>
      <c r="I135" s="227"/>
      <c r="J135" s="227"/>
      <c r="K135" s="227"/>
    </row>
    <row r="136" spans="1:11" ht="42.5" hidden="1" customHeight="1" x14ac:dyDescent="0.35">
      <c r="A136" s="152" t="s">
        <v>128</v>
      </c>
      <c r="B136" s="182" t="s">
        <v>282</v>
      </c>
      <c r="D136" s="68">
        <v>60</v>
      </c>
      <c r="F136" s="227" t="s">
        <v>283</v>
      </c>
      <c r="G136" s="227"/>
      <c r="H136" s="227"/>
      <c r="I136" s="227"/>
      <c r="J136" s="227"/>
      <c r="K136" s="227"/>
    </row>
    <row r="137" spans="1:11" hidden="1" x14ac:dyDescent="0.35">
      <c r="A137" s="152" t="s">
        <v>87</v>
      </c>
      <c r="B137" s="187" t="s">
        <v>284</v>
      </c>
      <c r="D137" s="68">
        <v>16</v>
      </c>
      <c r="F137" s="227" t="s">
        <v>87</v>
      </c>
      <c r="G137" s="227"/>
      <c r="H137" s="227"/>
      <c r="I137" s="227"/>
      <c r="J137" s="227"/>
      <c r="K137" s="227"/>
    </row>
    <row r="138" spans="1:11" hidden="1" x14ac:dyDescent="0.35">
      <c r="A138" s="152" t="s">
        <v>144</v>
      </c>
      <c r="B138" s="182" t="s">
        <v>258</v>
      </c>
      <c r="D138" s="68"/>
      <c r="F138" s="227" t="s">
        <v>285</v>
      </c>
      <c r="G138" s="227"/>
      <c r="H138" s="227"/>
      <c r="I138" s="227"/>
      <c r="J138" s="227"/>
      <c r="K138" s="227"/>
    </row>
    <row r="139" spans="1:11" x14ac:dyDescent="0.35">
      <c r="A139" s="152" t="s">
        <v>301</v>
      </c>
      <c r="B139" s="187" t="s">
        <v>288</v>
      </c>
      <c r="D139" s="68">
        <v>57</v>
      </c>
      <c r="F139" s="227" t="s">
        <v>87</v>
      </c>
      <c r="G139" s="227"/>
      <c r="H139" s="227"/>
      <c r="I139" s="227"/>
      <c r="J139" s="227"/>
      <c r="K139" s="227"/>
    </row>
    <row r="140" spans="1:11" x14ac:dyDescent="0.35">
      <c r="A140" s="152" t="s">
        <v>47</v>
      </c>
      <c r="B140" s="182" t="s">
        <v>289</v>
      </c>
      <c r="D140" s="68">
        <v>21</v>
      </c>
      <c r="F140" s="227" t="s">
        <v>25</v>
      </c>
      <c r="G140" s="227"/>
      <c r="H140" s="227"/>
      <c r="I140" s="227"/>
      <c r="J140" s="227"/>
      <c r="K140" s="227"/>
    </row>
    <row r="141" spans="1:11" x14ac:dyDescent="0.35">
      <c r="A141" s="152" t="s">
        <v>87</v>
      </c>
      <c r="B141" s="187" t="s">
        <v>290</v>
      </c>
      <c r="D141" s="68">
        <v>10</v>
      </c>
      <c r="F141" s="227" t="s">
        <v>87</v>
      </c>
      <c r="G141" s="227"/>
      <c r="H141" s="227"/>
      <c r="I141" s="227"/>
      <c r="J141" s="227"/>
      <c r="K141" s="227"/>
    </row>
    <row r="142" spans="1:11" x14ac:dyDescent="0.35">
      <c r="A142" s="152" t="s">
        <v>25</v>
      </c>
      <c r="B142" s="182" t="s">
        <v>246</v>
      </c>
      <c r="D142" s="68">
        <v>20</v>
      </c>
      <c r="F142" s="227" t="s">
        <v>286</v>
      </c>
      <c r="G142" s="227"/>
      <c r="H142" s="227"/>
      <c r="I142" s="227"/>
      <c r="J142" s="227"/>
      <c r="K142" s="227"/>
    </row>
    <row r="143" spans="1:11" x14ac:dyDescent="0.35">
      <c r="A143" s="152" t="s">
        <v>87</v>
      </c>
      <c r="B143" s="187" t="s">
        <v>292</v>
      </c>
      <c r="D143" s="68">
        <v>18</v>
      </c>
      <c r="F143" s="227" t="s">
        <v>87</v>
      </c>
      <c r="G143" s="227"/>
      <c r="H143" s="227"/>
      <c r="I143" s="227"/>
      <c r="J143" s="227"/>
      <c r="K143" s="227"/>
    </row>
    <row r="144" spans="1:11" hidden="1" x14ac:dyDescent="0.35">
      <c r="A144" s="152" t="s">
        <v>47</v>
      </c>
      <c r="B144" s="183" t="s">
        <v>294</v>
      </c>
      <c r="D144" s="68">
        <v>15</v>
      </c>
      <c r="F144" s="227" t="s">
        <v>155</v>
      </c>
      <c r="G144" s="227"/>
      <c r="H144" s="227"/>
      <c r="I144" s="227"/>
      <c r="J144" s="227"/>
      <c r="K144" s="227"/>
    </row>
    <row r="145" spans="1:11" hidden="1" x14ac:dyDescent="0.35">
      <c r="A145" s="152" t="s">
        <v>128</v>
      </c>
      <c r="B145" s="183" t="s">
        <v>295</v>
      </c>
      <c r="D145">
        <v>25</v>
      </c>
      <c r="F145" s="227" t="s">
        <v>299</v>
      </c>
      <c r="G145" s="227"/>
      <c r="H145" s="227"/>
      <c r="I145" s="227"/>
      <c r="J145" s="227"/>
      <c r="K145" s="227"/>
    </row>
    <row r="146" spans="1:11" x14ac:dyDescent="0.35">
      <c r="A146" s="152" t="s">
        <v>25</v>
      </c>
      <c r="B146" s="187" t="s">
        <v>297</v>
      </c>
      <c r="D146" s="68">
        <v>52</v>
      </c>
      <c r="F146" s="227" t="s">
        <v>286</v>
      </c>
      <c r="G146" s="227"/>
      <c r="H146" s="227"/>
      <c r="I146" s="227"/>
      <c r="J146" s="227"/>
      <c r="K146" s="227"/>
    </row>
    <row r="147" spans="1:11" x14ac:dyDescent="0.35">
      <c r="A147" s="152" t="s">
        <v>25</v>
      </c>
      <c r="B147" s="182" t="s">
        <v>298</v>
      </c>
      <c r="D147" s="68">
        <v>21</v>
      </c>
      <c r="F147" s="227" t="s">
        <v>307</v>
      </c>
      <c r="G147" s="227"/>
      <c r="H147" s="227"/>
      <c r="I147" s="227"/>
      <c r="J147" s="227"/>
      <c r="K147" s="227"/>
    </row>
    <row r="148" spans="1:11" hidden="1" x14ac:dyDescent="0.35">
      <c r="A148" s="152" t="s">
        <v>128</v>
      </c>
      <c r="B148" s="183" t="s">
        <v>267</v>
      </c>
      <c r="D148" s="68">
        <v>40</v>
      </c>
      <c r="F148" s="227" t="s">
        <v>309</v>
      </c>
      <c r="G148" s="227"/>
      <c r="H148" s="227"/>
      <c r="I148" s="227"/>
      <c r="J148" s="227"/>
      <c r="K148" s="227"/>
    </row>
    <row r="149" spans="1:11" hidden="1" x14ac:dyDescent="0.35">
      <c r="A149" s="152" t="s">
        <v>144</v>
      </c>
      <c r="B149" s="182" t="s">
        <v>303</v>
      </c>
      <c r="D149" s="68">
        <v>35</v>
      </c>
      <c r="F149" s="227" t="s">
        <v>302</v>
      </c>
      <c r="G149" s="227"/>
      <c r="H149" s="227"/>
      <c r="I149" s="227"/>
      <c r="J149" s="227"/>
      <c r="K149" s="227"/>
    </row>
    <row r="150" spans="1:11" ht="43" hidden="1" customHeight="1" x14ac:dyDescent="0.35">
      <c r="A150" s="152" t="s">
        <v>47</v>
      </c>
      <c r="B150" s="183" t="s">
        <v>304</v>
      </c>
      <c r="D150" s="68">
        <v>72</v>
      </c>
      <c r="F150" s="227" t="s">
        <v>308</v>
      </c>
      <c r="G150" s="227"/>
      <c r="H150" s="227"/>
      <c r="I150" s="227"/>
      <c r="J150" s="227"/>
      <c r="K150" s="227"/>
    </row>
  </sheetData>
  <mergeCells count="114">
    <mergeCell ref="F147:K147"/>
    <mergeCell ref="F148:K148"/>
    <mergeCell ref="F149:K149"/>
    <mergeCell ref="F150:K150"/>
    <mergeCell ref="F141:K141"/>
    <mergeCell ref="F142:K142"/>
    <mergeCell ref="F143:K143"/>
    <mergeCell ref="F144:K144"/>
    <mergeCell ref="F145:K145"/>
    <mergeCell ref="F146:K146"/>
    <mergeCell ref="F135:K135"/>
    <mergeCell ref="F136:K136"/>
    <mergeCell ref="F137:K137"/>
    <mergeCell ref="F138:K138"/>
    <mergeCell ref="F139:K139"/>
    <mergeCell ref="F140:K140"/>
    <mergeCell ref="F129:K129"/>
    <mergeCell ref="F130:K130"/>
    <mergeCell ref="F131:K131"/>
    <mergeCell ref="F132:K132"/>
    <mergeCell ref="F133:K133"/>
    <mergeCell ref="F134:K134"/>
    <mergeCell ref="F123:K123"/>
    <mergeCell ref="F124:K124"/>
    <mergeCell ref="F125:K125"/>
    <mergeCell ref="F126:K126"/>
    <mergeCell ref="F127:K127"/>
    <mergeCell ref="F128:K128"/>
    <mergeCell ref="F117:K117"/>
    <mergeCell ref="F118:K118"/>
    <mergeCell ref="F119:K119"/>
    <mergeCell ref="F120:K120"/>
    <mergeCell ref="F121:K121"/>
    <mergeCell ref="F122:K122"/>
    <mergeCell ref="F108:K108"/>
    <mergeCell ref="F109:K109"/>
    <mergeCell ref="F110:K110"/>
    <mergeCell ref="F111:K111"/>
    <mergeCell ref="F112:K112"/>
    <mergeCell ref="F113:K113"/>
    <mergeCell ref="F102:K102"/>
    <mergeCell ref="F103:K103"/>
    <mergeCell ref="F104:K104"/>
    <mergeCell ref="F105:K105"/>
    <mergeCell ref="F106:K106"/>
    <mergeCell ref="F107:K107"/>
    <mergeCell ref="F96:K96"/>
    <mergeCell ref="F97:K97"/>
    <mergeCell ref="F98:K98"/>
    <mergeCell ref="F99:K99"/>
    <mergeCell ref="F100:K100"/>
    <mergeCell ref="F101:K101"/>
    <mergeCell ref="F90:K90"/>
    <mergeCell ref="F91:K91"/>
    <mergeCell ref="F92:K92"/>
    <mergeCell ref="F93:K93"/>
    <mergeCell ref="F94:K94"/>
    <mergeCell ref="F95:K95"/>
    <mergeCell ref="F84:K84"/>
    <mergeCell ref="F85:K85"/>
    <mergeCell ref="F86:K86"/>
    <mergeCell ref="F87:K87"/>
    <mergeCell ref="F88:K88"/>
    <mergeCell ref="F89:K89"/>
    <mergeCell ref="F78:K78"/>
    <mergeCell ref="F79:K79"/>
    <mergeCell ref="F80:K80"/>
    <mergeCell ref="F81:K81"/>
    <mergeCell ref="F82:K82"/>
    <mergeCell ref="F83:K83"/>
    <mergeCell ref="F71:K71"/>
    <mergeCell ref="F72:K72"/>
    <mergeCell ref="F74:K74"/>
    <mergeCell ref="F75:K75"/>
    <mergeCell ref="F76:K76"/>
    <mergeCell ref="F77:K77"/>
    <mergeCell ref="F65:K65"/>
    <mergeCell ref="F66:K66"/>
    <mergeCell ref="F67:K67"/>
    <mergeCell ref="F68:K68"/>
    <mergeCell ref="F69:K69"/>
    <mergeCell ref="F70:K70"/>
    <mergeCell ref="F59:K59"/>
    <mergeCell ref="F60:K60"/>
    <mergeCell ref="F61:K61"/>
    <mergeCell ref="F62:K62"/>
    <mergeCell ref="F63:K63"/>
    <mergeCell ref="F64:K64"/>
    <mergeCell ref="A50:A52"/>
    <mergeCell ref="F54:K54"/>
    <mergeCell ref="F55:K55"/>
    <mergeCell ref="F56:K56"/>
    <mergeCell ref="F57:K57"/>
    <mergeCell ref="F58:K58"/>
    <mergeCell ref="A18:A19"/>
    <mergeCell ref="A35:A38"/>
    <mergeCell ref="S38:S45"/>
    <mergeCell ref="A40:A41"/>
    <mergeCell ref="A44:A48"/>
    <mergeCell ref="AC3:AE3"/>
    <mergeCell ref="AF3:AH3"/>
    <mergeCell ref="A5:A6"/>
    <mergeCell ref="A7:A8"/>
    <mergeCell ref="A9:A10"/>
    <mergeCell ref="A11:A12"/>
    <mergeCell ref="A1:B1"/>
    <mergeCell ref="P2:S2"/>
    <mergeCell ref="A3:B3"/>
    <mergeCell ref="U3:V3"/>
    <mergeCell ref="W3:Y3"/>
    <mergeCell ref="Z3:AB3"/>
    <mergeCell ref="AI3:AK3"/>
    <mergeCell ref="A13:A14"/>
    <mergeCell ref="A15:A16"/>
  </mergeCells>
  <conditionalFormatting sqref="B115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7401f46-1e35-42be-88d6-244611b3467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72C8743E0F7642AFDCB49C93DCD1B6" ma:contentTypeVersion="14" ma:contentTypeDescription="Crear nuevo documento." ma:contentTypeScope="" ma:versionID="bff8fe3c0e2b607f931d8623fe87c023">
  <xsd:schema xmlns:xsd="http://www.w3.org/2001/XMLSchema" xmlns:xs="http://www.w3.org/2001/XMLSchema" xmlns:p="http://schemas.microsoft.com/office/2006/metadata/properties" xmlns:ns3="67401f46-1e35-42be-88d6-244611b3467f" xmlns:ns4="ddea1484-cfe3-40d6-8929-622895af7f85" targetNamespace="http://schemas.microsoft.com/office/2006/metadata/properties" ma:root="true" ma:fieldsID="02924e8fee0fcb1bcef0ba9b748f6e69" ns3:_="" ns4:_="">
    <xsd:import namespace="67401f46-1e35-42be-88d6-244611b3467f"/>
    <xsd:import namespace="ddea1484-cfe3-40d6-8929-622895af7f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01f46-1e35-42be-88d6-244611b346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a1484-cfe3-40d6-8929-622895af7f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E37F72-C5CE-4964-85FA-5228FE0BA4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8361B7-B16F-43C0-8CD2-15A80D78BD8C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ddea1484-cfe3-40d6-8929-622895af7f85"/>
    <ds:schemaRef ds:uri="67401f46-1e35-42be-88d6-244611b3467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D17BDB2-4E71-4A80-A8BC-1745A49E3B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401f46-1e35-42be-88d6-244611b3467f"/>
    <ds:schemaRef ds:uri="ddea1484-cfe3-40d6-8929-622895af7f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Dólares</vt:lpstr>
      <vt:lpstr>Pesos Cierre 2024</vt:lpstr>
      <vt:lpstr>Pesos 2025</vt:lpstr>
      <vt:lpstr>Pesos 2026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Zacatenco (Engen Capital)</dc:creator>
  <cp:lastModifiedBy>Roberto Zacatenco (Engen Capital)</cp:lastModifiedBy>
  <dcterms:created xsi:type="dcterms:W3CDTF">2023-08-23T15:11:34Z</dcterms:created>
  <dcterms:modified xsi:type="dcterms:W3CDTF">2026-03-04T20:15:16Z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0x010100FB72C8743E0F7642AFDCB49C93DCD1B6</vt:lpwstr>
  </property>
</Properties>
</file>