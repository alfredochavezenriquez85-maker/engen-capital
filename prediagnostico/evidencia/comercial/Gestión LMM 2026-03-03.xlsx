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ngeniumcapital-my.sharepoint.com/personal/roberto_zacatenco_engen_com_mx/Documents/"/>
    </mc:Choice>
  </mc:AlternateContent>
  <xr:revisionPtr revIDLastSave="0" documentId="8_{BAE17396-E7E6-41BF-AD75-57697448E1E5}" xr6:coauthVersionLast="47" xr6:coauthVersionMax="47" xr10:uidLastSave="{00000000-0000-0000-0000-000000000000}"/>
  <bookViews>
    <workbookView xWindow="-110" yWindow="-110" windowWidth="19420" windowHeight="10300" firstSheet="1" activeTab="6" xr2:uid="{A190A0A8-64BC-47AE-9AEF-88F04C5ECD54}"/>
  </bookViews>
  <sheets>
    <sheet name="Fondeos" sheetId="6" r:id="rId1"/>
    <sheet name="Ritmo" sheetId="3" r:id="rId2"/>
    <sheet name="Key deals" sheetId="1" r:id="rId3"/>
    <sheet name="Trasp Digital" sheetId="17" r:id="rId4"/>
    <sheet name="Giras y Eventos" sheetId="2" r:id="rId5"/>
    <sheet name="Expos" sheetId="15" r:id="rId6"/>
    <sheet name="Industrias y Edos" sheetId="14" r:id="rId7"/>
    <sheet name="Vacante" sheetId="5" r:id="rId8"/>
    <sheet name="Pipeline Requerido" sheetId="13" r:id="rId9"/>
    <sheet name="Waivers" sheetId="16" r:id="rId10"/>
    <sheet name="F" sheetId="9" r:id="rId11"/>
    <sheet name="J" sheetId="12" r:id="rId12"/>
    <sheet name="Ra" sheetId="11" r:id="rId13"/>
    <sheet name="Ri" sheetId="10" r:id="rId14"/>
    <sheet name="Traspaso Digital" sheetId="8" r:id="rId15"/>
    <sheet name="Otros" sheetId="7" r:id="rId16"/>
  </sheets>
  <definedNames>
    <definedName name="_xlnm._FilterDatabase" localSheetId="0" hidden="1">Fondeos!$A$3:$AE$36</definedName>
    <definedName name="_xlnm._FilterDatabase" localSheetId="4" hidden="1">'Giras y Eventos'!$A$1:$G$49</definedName>
    <definedName name="_xlnm._FilterDatabase" localSheetId="2" hidden="1">'Key deals'!$A$1:$K$58</definedName>
    <definedName name="_xlnm._FilterDatabase" localSheetId="1" hidden="1">Ritmo!$A$3:$M$26</definedName>
    <definedName name="_xlnm._FilterDatabase" localSheetId="3" hidden="1">'Trasp Digital'!$A$1:$I$94</definedName>
    <definedName name="_xlnm._FilterDatabase" localSheetId="14" hidden="1">'Traspaso Digital'!$A$1:$I$1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4" i="3" l="1"/>
  <c r="Z22" i="3"/>
  <c r="Z21" i="3"/>
  <c r="Z13" i="3"/>
  <c r="Z10" i="3"/>
  <c r="Z8" i="3"/>
  <c r="Z23" i="3"/>
  <c r="Z20" i="3"/>
  <c r="Z19" i="3"/>
  <c r="Z18" i="3"/>
  <c r="Z17" i="3"/>
  <c r="Z16" i="3"/>
  <c r="Z15" i="3"/>
  <c r="Z14" i="3"/>
  <c r="Z12" i="3"/>
  <c r="Z11" i="3"/>
  <c r="Z9" i="3"/>
  <c r="Z7" i="3"/>
  <c r="Z6" i="3"/>
  <c r="Z5" i="3"/>
  <c r="Z4" i="3"/>
  <c r="Y25" i="3"/>
  <c r="X25" i="3"/>
  <c r="Z25" i="3" s="1"/>
  <c r="Y24" i="3"/>
  <c r="X24" i="3"/>
  <c r="Y23" i="3"/>
  <c r="X23" i="3"/>
  <c r="Y22" i="3"/>
  <c r="X22" i="3"/>
  <c r="Y21" i="3"/>
  <c r="X21" i="3"/>
  <c r="Y20" i="3"/>
  <c r="X20" i="3"/>
  <c r="Y19" i="3"/>
  <c r="X19" i="3"/>
  <c r="Y18" i="3"/>
  <c r="X18" i="3"/>
  <c r="Y17" i="3"/>
  <c r="X17" i="3"/>
  <c r="Y16" i="3"/>
  <c r="X16" i="3"/>
  <c r="Y15" i="3"/>
  <c r="X15" i="3"/>
  <c r="Y14" i="3"/>
  <c r="X14" i="3"/>
  <c r="Y13" i="3"/>
  <c r="X13" i="3"/>
  <c r="Y12" i="3"/>
  <c r="X12" i="3"/>
  <c r="Y11" i="3"/>
  <c r="X11" i="3"/>
  <c r="Y10" i="3"/>
  <c r="X10" i="3"/>
  <c r="Y9" i="3"/>
  <c r="X9" i="3"/>
  <c r="Y8" i="3"/>
  <c r="X8" i="3"/>
  <c r="Y7" i="3"/>
  <c r="X7" i="3"/>
  <c r="Y6" i="3"/>
  <c r="X6" i="3"/>
  <c r="Y5" i="3"/>
  <c r="X5" i="3"/>
  <c r="Y4" i="3"/>
  <c r="X4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V35" i="6" l="1"/>
  <c r="X35" i="6" s="1"/>
  <c r="V34" i="6"/>
  <c r="AA34" i="6" s="1"/>
  <c r="V33" i="6"/>
  <c r="AA33" i="6" s="1"/>
  <c r="V32" i="6"/>
  <c r="AA32" i="6" s="1"/>
  <c r="V31" i="6"/>
  <c r="AA31" i="6" s="1"/>
  <c r="V30" i="6"/>
  <c r="AA30" i="6" s="1"/>
  <c r="V29" i="6"/>
  <c r="AA29" i="6" s="1"/>
  <c r="V28" i="6"/>
  <c r="V27" i="6"/>
  <c r="V25" i="6"/>
  <c r="V24" i="6"/>
  <c r="V23" i="6"/>
  <c r="V22" i="6"/>
  <c r="V21" i="6"/>
  <c r="V20" i="6"/>
  <c r="AA20" i="6" s="1"/>
  <c r="V18" i="6"/>
  <c r="AA18" i="6" s="1"/>
  <c r="V17" i="6"/>
  <c r="AA17" i="6" s="1"/>
  <c r="V16" i="6"/>
  <c r="AA16" i="6" s="1"/>
  <c r="V15" i="6"/>
  <c r="V14" i="6"/>
  <c r="V13" i="6"/>
  <c r="AA13" i="6" s="1"/>
  <c r="V12" i="6"/>
  <c r="V10" i="6"/>
  <c r="AA10" i="6" s="1"/>
  <c r="V9" i="6"/>
  <c r="AA9" i="6" s="1"/>
  <c r="V8" i="6"/>
  <c r="AA8" i="6" s="1"/>
  <c r="V6" i="6"/>
  <c r="AA6" i="6" s="1"/>
  <c r="V5" i="6"/>
  <c r="AA5" i="6" s="1"/>
  <c r="AD5" i="6" s="1"/>
  <c r="I26" i="6"/>
  <c r="I19" i="6"/>
  <c r="M19" i="6" s="1"/>
  <c r="I11" i="6"/>
  <c r="I4" i="6"/>
  <c r="T36" i="6"/>
  <c r="U27" i="6"/>
  <c r="U30" i="6"/>
  <c r="U21" i="6"/>
  <c r="U22" i="6"/>
  <c r="U12" i="6"/>
  <c r="U15" i="6"/>
  <c r="U13" i="6"/>
  <c r="U7" i="6"/>
  <c r="S26" i="6"/>
  <c r="U26" i="6" s="1"/>
  <c r="S19" i="6"/>
  <c r="U19" i="6" s="1"/>
  <c r="S11" i="6"/>
  <c r="S4" i="6"/>
  <c r="U4" i="6" s="1"/>
  <c r="AC35" i="6"/>
  <c r="AC34" i="6"/>
  <c r="AC33" i="6"/>
  <c r="AC32" i="6"/>
  <c r="AC31" i="6"/>
  <c r="AC30" i="6"/>
  <c r="AC29" i="6"/>
  <c r="AC28" i="6"/>
  <c r="AC27" i="6"/>
  <c r="AC25" i="6"/>
  <c r="AC24" i="6"/>
  <c r="AC23" i="6"/>
  <c r="AC22" i="6"/>
  <c r="AC21" i="6"/>
  <c r="AC20" i="6"/>
  <c r="AC18" i="6"/>
  <c r="AC17" i="6"/>
  <c r="AC16" i="6"/>
  <c r="AC15" i="6"/>
  <c r="AC14" i="6"/>
  <c r="AC13" i="6"/>
  <c r="AC12" i="6"/>
  <c r="AC10" i="6"/>
  <c r="AC9" i="6"/>
  <c r="AC8" i="6"/>
  <c r="AC7" i="6"/>
  <c r="AC6" i="6"/>
  <c r="AC5" i="6"/>
  <c r="W35" i="6"/>
  <c r="W34" i="6"/>
  <c r="W33" i="6"/>
  <c r="W32" i="6"/>
  <c r="W31" i="6"/>
  <c r="W30" i="6"/>
  <c r="W29" i="6"/>
  <c r="W28" i="6"/>
  <c r="W27" i="6"/>
  <c r="W18" i="6"/>
  <c r="W17" i="6"/>
  <c r="W16" i="6"/>
  <c r="W15" i="6"/>
  <c r="W14" i="6"/>
  <c r="W13" i="6"/>
  <c r="W12" i="6"/>
  <c r="W10" i="6"/>
  <c r="W9" i="6"/>
  <c r="W8" i="6"/>
  <c r="W7" i="6"/>
  <c r="W6" i="6"/>
  <c r="W5" i="6"/>
  <c r="W25" i="6"/>
  <c r="W24" i="6"/>
  <c r="W23" i="6"/>
  <c r="W21" i="6"/>
  <c r="W20" i="6"/>
  <c r="W22" i="6"/>
  <c r="AA35" i="6" l="1"/>
  <c r="AD35" i="6" s="1"/>
  <c r="Y27" i="6"/>
  <c r="Y5" i="6"/>
  <c r="Y34" i="6"/>
  <c r="Y32" i="6"/>
  <c r="Y35" i="6"/>
  <c r="Y14" i="6"/>
  <c r="S36" i="6"/>
  <c r="Y23" i="6"/>
  <c r="Y28" i="6"/>
  <c r="Y6" i="6"/>
  <c r="Y29" i="6"/>
  <c r="U36" i="6"/>
  <c r="V11" i="6"/>
  <c r="V4" i="6"/>
  <c r="AE18" i="6"/>
  <c r="U11" i="6"/>
  <c r="AE6" i="6"/>
  <c r="V19" i="6"/>
  <c r="Y18" i="6"/>
  <c r="Y31" i="6"/>
  <c r="Y33" i="6"/>
  <c r="Y20" i="6"/>
  <c r="AE32" i="6"/>
  <c r="AE33" i="6"/>
  <c r="AE34" i="6"/>
  <c r="Y24" i="6"/>
  <c r="Y25" i="6"/>
  <c r="Y30" i="6"/>
  <c r="AE30" i="6"/>
  <c r="AA23" i="6"/>
  <c r="AA24" i="6"/>
  <c r="AA25" i="6"/>
  <c r="AE29" i="6"/>
  <c r="AA27" i="6"/>
  <c r="AE31" i="6"/>
  <c r="AA28" i="6"/>
  <c r="AE8" i="6"/>
  <c r="AE9" i="6"/>
  <c r="AE10" i="6"/>
  <c r="AE13" i="6"/>
  <c r="AE16" i="6"/>
  <c r="AE17" i="6"/>
  <c r="Y8" i="6"/>
  <c r="Y10" i="6"/>
  <c r="AD6" i="6"/>
  <c r="Y17" i="6"/>
  <c r="AE5" i="6"/>
  <c r="Y9" i="6"/>
  <c r="Y13" i="6"/>
  <c r="Y16" i="6"/>
  <c r="AA14" i="6"/>
  <c r="AE20" i="6"/>
  <c r="AE35" i="6" l="1"/>
  <c r="AE25" i="6"/>
  <c r="AE24" i="6"/>
  <c r="AE27" i="6"/>
  <c r="AE28" i="6"/>
  <c r="AE23" i="6"/>
  <c r="AE14" i="6"/>
  <c r="M11" i="13" l="1"/>
  <c r="M10" i="13"/>
  <c r="M9" i="13"/>
  <c r="M8" i="13"/>
  <c r="M7" i="13"/>
  <c r="M6" i="13"/>
  <c r="M5" i="13"/>
  <c r="M4" i="13"/>
  <c r="F6" i="13" l="1"/>
  <c r="F5" i="13"/>
  <c r="F4" i="13"/>
  <c r="G4" i="13" s="1"/>
  <c r="F3" i="13"/>
  <c r="D8" i="13" l="1"/>
  <c r="C8" i="13"/>
  <c r="B8" i="13"/>
  <c r="E6" i="13"/>
  <c r="E5" i="13"/>
  <c r="E4" i="13"/>
  <c r="E3" i="13"/>
  <c r="E8" i="13" l="1"/>
  <c r="I36" i="6" l="1"/>
  <c r="AB34" i="6"/>
  <c r="AD34" i="6" s="1"/>
  <c r="R34" i="6"/>
  <c r="X34" i="6" s="1"/>
  <c r="AB33" i="6"/>
  <c r="AD33" i="6" s="1"/>
  <c r="R33" i="6"/>
  <c r="X33" i="6" s="1"/>
  <c r="AB32" i="6"/>
  <c r="AD32" i="6" s="1"/>
  <c r="R32" i="6"/>
  <c r="X32" i="6" s="1"/>
  <c r="AB31" i="6"/>
  <c r="AD31" i="6" s="1"/>
  <c r="R31" i="6"/>
  <c r="X31" i="6" s="1"/>
  <c r="AB30" i="6"/>
  <c r="AD30" i="6" s="1"/>
  <c r="R30" i="6"/>
  <c r="X30" i="6" s="1"/>
  <c r="AB29" i="6"/>
  <c r="AD29" i="6" s="1"/>
  <c r="R29" i="6"/>
  <c r="X29" i="6" s="1"/>
  <c r="AB28" i="6"/>
  <c r="AD28" i="6" s="1"/>
  <c r="R28" i="6"/>
  <c r="X28" i="6" s="1"/>
  <c r="AB27" i="6"/>
  <c r="AD27" i="6" s="1"/>
  <c r="R27" i="6"/>
  <c r="X27" i="6" s="1"/>
  <c r="AB25" i="6"/>
  <c r="AD25" i="6" s="1"/>
  <c r="R25" i="6"/>
  <c r="X25" i="6" s="1"/>
  <c r="AB24" i="6"/>
  <c r="AD24" i="6" s="1"/>
  <c r="R24" i="6"/>
  <c r="X24" i="6" s="1"/>
  <c r="AB23" i="6"/>
  <c r="AD23" i="6" s="1"/>
  <c r="R23" i="6"/>
  <c r="X23" i="6" s="1"/>
  <c r="AB22" i="6"/>
  <c r="R22" i="6"/>
  <c r="AB21" i="6"/>
  <c r="R21" i="6"/>
  <c r="AB20" i="6"/>
  <c r="AD20" i="6" s="1"/>
  <c r="R20" i="6"/>
  <c r="X20" i="6" s="1"/>
  <c r="R36" i="6" l="1"/>
  <c r="W36" i="6"/>
  <c r="AC36" i="6"/>
  <c r="AB36" i="6"/>
  <c r="D36" i="6" l="1"/>
  <c r="AC26" i="6"/>
  <c r="AB26" i="6"/>
  <c r="W26" i="6"/>
  <c r="R26" i="6"/>
  <c r="M26" i="6"/>
  <c r="J26" i="6"/>
  <c r="C26" i="6"/>
  <c r="E22" i="6"/>
  <c r="E21" i="6"/>
  <c r="AC19" i="6"/>
  <c r="AE19" i="6" s="1"/>
  <c r="AB19" i="6"/>
  <c r="AD19" i="6" s="1"/>
  <c r="W19" i="6"/>
  <c r="Y19" i="6" s="1"/>
  <c r="R19" i="6"/>
  <c r="X19" i="6" s="1"/>
  <c r="O19" i="6"/>
  <c r="J19" i="6"/>
  <c r="N19" i="6" s="1"/>
  <c r="E19" i="6"/>
  <c r="AA19" i="6" s="1"/>
  <c r="AB18" i="6"/>
  <c r="AD18" i="6" s="1"/>
  <c r="R18" i="6"/>
  <c r="X18" i="6" s="1"/>
  <c r="J18" i="6"/>
  <c r="AB17" i="6"/>
  <c r="AD17" i="6" s="1"/>
  <c r="R17" i="6"/>
  <c r="X17" i="6" s="1"/>
  <c r="J17" i="6"/>
  <c r="AB16" i="6"/>
  <c r="AD16" i="6" s="1"/>
  <c r="R16" i="6"/>
  <c r="X16" i="6" s="1"/>
  <c r="J16" i="6"/>
  <c r="AB15" i="6"/>
  <c r="R15" i="6"/>
  <c r="J15" i="6"/>
  <c r="E15" i="6"/>
  <c r="AB14" i="6"/>
  <c r="AD14" i="6" s="1"/>
  <c r="R14" i="6"/>
  <c r="X14" i="6" s="1"/>
  <c r="J14" i="6"/>
  <c r="AB13" i="6"/>
  <c r="AD13" i="6" s="1"/>
  <c r="R13" i="6"/>
  <c r="X13" i="6" s="1"/>
  <c r="J13" i="6"/>
  <c r="AB12" i="6"/>
  <c r="R12" i="6"/>
  <c r="X12" i="6" s="1"/>
  <c r="J12" i="6"/>
  <c r="E12" i="6"/>
  <c r="AC11" i="6"/>
  <c r="AE11" i="6" s="1"/>
  <c r="AB11" i="6"/>
  <c r="AD11" i="6" s="1"/>
  <c r="W11" i="6"/>
  <c r="Y11" i="6" s="1"/>
  <c r="R11" i="6"/>
  <c r="X11" i="6" s="1"/>
  <c r="M11" i="6"/>
  <c r="O11" i="6" s="1"/>
  <c r="J11" i="6"/>
  <c r="N11" i="6" s="1"/>
  <c r="E11" i="6"/>
  <c r="AA11" i="6" s="1"/>
  <c r="AB10" i="6"/>
  <c r="AD10" i="6" s="1"/>
  <c r="R10" i="6"/>
  <c r="X10" i="6" s="1"/>
  <c r="J10" i="6"/>
  <c r="AB9" i="6"/>
  <c r="AD9" i="6" s="1"/>
  <c r="R9" i="6"/>
  <c r="X9" i="6" s="1"/>
  <c r="J9" i="6"/>
  <c r="AB8" i="6"/>
  <c r="AD8" i="6" s="1"/>
  <c r="R8" i="6"/>
  <c r="X8" i="6" s="1"/>
  <c r="J8" i="6"/>
  <c r="AB7" i="6"/>
  <c r="R7" i="6"/>
  <c r="J7" i="6"/>
  <c r="C7" i="6"/>
  <c r="R6" i="6"/>
  <c r="X6" i="6" s="1"/>
  <c r="J6" i="6"/>
  <c r="R5" i="6"/>
  <c r="X5" i="6" s="1"/>
  <c r="J5" i="6"/>
  <c r="AC4" i="6"/>
  <c r="AB4" i="6"/>
  <c r="W4" i="6"/>
  <c r="Y4" i="6" s="1"/>
  <c r="R4" i="6"/>
  <c r="M4" i="6"/>
  <c r="O4" i="6" s="1"/>
  <c r="J4" i="6"/>
  <c r="N4" i="6" s="1"/>
  <c r="E4" i="6"/>
  <c r="AA4" i="6" s="1"/>
  <c r="E26" i="6" l="1"/>
  <c r="V26" i="6"/>
  <c r="E7" i="6"/>
  <c r="V7" i="6"/>
  <c r="X7" i="6" s="1"/>
  <c r="AD4" i="6"/>
  <c r="Y21" i="6"/>
  <c r="AA21" i="6"/>
  <c r="X21" i="6"/>
  <c r="L22" i="6"/>
  <c r="Y15" i="6"/>
  <c r="AA15" i="6"/>
  <c r="AE15" i="6" s="1"/>
  <c r="AE4" i="6"/>
  <c r="X15" i="6"/>
  <c r="X4" i="6"/>
  <c r="Y12" i="6"/>
  <c r="AA12" i="6"/>
  <c r="AE12" i="6" s="1"/>
  <c r="N26" i="6"/>
  <c r="O26" i="6"/>
  <c r="X26" i="6"/>
  <c r="AD26" i="6"/>
  <c r="Y26" i="6"/>
  <c r="AE26" i="6"/>
  <c r="C36" i="6"/>
  <c r="AD12" i="6" l="1"/>
  <c r="Y7" i="6"/>
  <c r="AA7" i="6"/>
  <c r="AD7" i="6" s="1"/>
  <c r="E36" i="6"/>
  <c r="V36" i="6"/>
  <c r="AA36" i="6" s="1"/>
  <c r="AA26" i="6"/>
  <c r="AD15" i="6"/>
  <c r="AD21" i="6"/>
  <c r="AE21" i="6"/>
  <c r="Y22" i="6"/>
  <c r="AA22" i="6"/>
  <c r="X22" i="6"/>
  <c r="AE7" i="6" l="1"/>
  <c r="X36" i="6"/>
  <c r="Y36" i="6"/>
  <c r="AD22" i="6"/>
  <c r="AE22" i="6"/>
  <c r="AD36" i="6"/>
  <c r="AE36" i="6"/>
</calcChain>
</file>

<file path=xl/sharedStrings.xml><?xml version="1.0" encoding="utf-8"?>
<sst xmlns="http://schemas.openxmlformats.org/spreadsheetml/2006/main" count="2427" uniqueCount="673">
  <si>
    <t>Enero</t>
  </si>
  <si>
    <t>Febrero</t>
  </si>
  <si>
    <t>Marzo</t>
  </si>
  <si>
    <t>Abril</t>
  </si>
  <si>
    <t>Mayo</t>
  </si>
  <si>
    <t xml:space="preserve">Junio </t>
  </si>
  <si>
    <t>Julio</t>
  </si>
  <si>
    <t>Agosto</t>
  </si>
  <si>
    <t>Septiembre</t>
  </si>
  <si>
    <t>Octubre</t>
  </si>
  <si>
    <t>Noviembre</t>
  </si>
  <si>
    <t>Diciembre</t>
  </si>
  <si>
    <t>$</t>
  </si>
  <si>
    <t>#</t>
  </si>
  <si>
    <t>Ticket</t>
  </si>
  <si>
    <t>Ppto 2026</t>
  </si>
  <si>
    <t>Acum estac</t>
  </si>
  <si>
    <t>Acum lineal</t>
  </si>
  <si>
    <t>Pendiente Acum Estac</t>
  </si>
  <si>
    <t>Pendiente Acum Lineal</t>
  </si>
  <si>
    <t>Ppto Acum Estac</t>
  </si>
  <si>
    <t>Ppto Acum Lineal</t>
  </si>
  <si>
    <t>LMM 1</t>
  </si>
  <si>
    <t>Alex</t>
  </si>
  <si>
    <t>Juan D</t>
  </si>
  <si>
    <t>Ricardo</t>
  </si>
  <si>
    <t>Roberto</t>
  </si>
  <si>
    <t>Karen</t>
  </si>
  <si>
    <t>LMM 3</t>
  </si>
  <si>
    <t>Tere</t>
  </si>
  <si>
    <t>Braulio</t>
  </si>
  <si>
    <t>Moi</t>
  </si>
  <si>
    <t>Joe</t>
  </si>
  <si>
    <t>Vadir</t>
  </si>
  <si>
    <t>LMM 4</t>
  </si>
  <si>
    <t>Ale Luna</t>
  </si>
  <si>
    <t>May</t>
  </si>
  <si>
    <t>Ale R</t>
  </si>
  <si>
    <t>Myr</t>
  </si>
  <si>
    <t>LMM 5</t>
  </si>
  <si>
    <t>Ritmo</t>
  </si>
  <si>
    <t>Citas FW 5</t>
  </si>
  <si>
    <t>Oport FW 5</t>
  </si>
  <si>
    <t xml:space="preserve">Equipo </t>
  </si>
  <si>
    <t>Originador</t>
  </si>
  <si>
    <t>Ale Monteón</t>
  </si>
  <si>
    <t>Juli</t>
  </si>
  <si>
    <t>Jorge</t>
  </si>
  <si>
    <t>Christian</t>
  </si>
  <si>
    <t>Ilan Mizrahi</t>
  </si>
  <si>
    <t>Monse</t>
  </si>
  <si>
    <t>Mauricio</t>
  </si>
  <si>
    <t>Ramón</t>
  </si>
  <si>
    <t>Equipo</t>
  </si>
  <si>
    <t>Key Deals</t>
  </si>
  <si>
    <t>Producto</t>
  </si>
  <si>
    <t>Mes Estimado</t>
  </si>
  <si>
    <t>Etapa</t>
  </si>
  <si>
    <t>Días misma etapa</t>
  </si>
  <si>
    <t>Estatus</t>
  </si>
  <si>
    <t>Grupo Marhel</t>
  </si>
  <si>
    <t>Juan D Villaseñor</t>
  </si>
  <si>
    <t>L&amp;L</t>
  </si>
  <si>
    <t>Proposal</t>
  </si>
  <si>
    <t>Sin avance</t>
  </si>
  <si>
    <t>Gruas Ocotlenses</t>
  </si>
  <si>
    <t>Ricardo Moreno</t>
  </si>
  <si>
    <t>Opportunity</t>
  </si>
  <si>
    <t>Bajó monto de Capex hasta segundo semestre</t>
  </si>
  <si>
    <t>Elite Farms</t>
  </si>
  <si>
    <t>Avotarascas</t>
  </si>
  <si>
    <t>Alejandro Monteón</t>
  </si>
  <si>
    <t>Baja</t>
  </si>
  <si>
    <t>Agro Soil</t>
  </si>
  <si>
    <t>Proposal Awarded</t>
  </si>
  <si>
    <t>Grupo Sinotek</t>
  </si>
  <si>
    <t>Roberto Anaya</t>
  </si>
  <si>
    <t>Concretos 2H</t>
  </si>
  <si>
    <t>Aro Asfaltos</t>
  </si>
  <si>
    <t>Comercializadora TMY</t>
  </si>
  <si>
    <t>Distribution &amp; Services Logistics</t>
  </si>
  <si>
    <t>Braulio Martínez</t>
  </si>
  <si>
    <t>In Credit</t>
  </si>
  <si>
    <t>Movilidad Integral de Hermosillo</t>
  </si>
  <si>
    <t>José Nava</t>
  </si>
  <si>
    <t>Regresan con comentarios Central Leasing 15 Febrero</t>
  </si>
  <si>
    <t>Congelados Alysa</t>
  </si>
  <si>
    <t>Tere Cisneros</t>
  </si>
  <si>
    <t>Gpo Animal Soil</t>
  </si>
  <si>
    <t>IMPOSA</t>
  </si>
  <si>
    <t>Myrna Leija</t>
  </si>
  <si>
    <t>DEM Industrial</t>
  </si>
  <si>
    <t>Mayreth</t>
  </si>
  <si>
    <t>Backlog</t>
  </si>
  <si>
    <t>Pendiente de que nos confirme qué equipos</t>
  </si>
  <si>
    <t>John Froese</t>
  </si>
  <si>
    <t>Servicios Ambientales Internacionales</t>
  </si>
  <si>
    <t>Karcemex</t>
  </si>
  <si>
    <t>Controladora de Autotransporte y Servicios Comerciales</t>
  </si>
  <si>
    <t>Camiones TRS</t>
  </si>
  <si>
    <t>Alexandra Luna</t>
  </si>
  <si>
    <t>Grupo Carfi</t>
  </si>
  <si>
    <t>Ian</t>
  </si>
  <si>
    <t>Macropay</t>
  </si>
  <si>
    <t>Prodin Fact</t>
  </si>
  <si>
    <t>Factoraje</t>
  </si>
  <si>
    <t>Prodin Loan</t>
  </si>
  <si>
    <t>Metal Tec Seminuevos</t>
  </si>
  <si>
    <t>Hospitales Familiares</t>
  </si>
  <si>
    <t>Sitrak</t>
  </si>
  <si>
    <t>Jorge Avendaño</t>
  </si>
  <si>
    <t>Beluga</t>
  </si>
  <si>
    <t>Mauricio Ortiz</t>
  </si>
  <si>
    <t>Azelis</t>
  </si>
  <si>
    <t>OFS</t>
  </si>
  <si>
    <t>Ciclo Corporativo</t>
  </si>
  <si>
    <t>Gucor</t>
  </si>
  <si>
    <t>B&amp;CT</t>
  </si>
  <si>
    <t>Gonorma</t>
  </si>
  <si>
    <t>Cayco</t>
  </si>
  <si>
    <t>SuKarga</t>
  </si>
  <si>
    <t>Indamex</t>
  </si>
  <si>
    <t>Evento</t>
  </si>
  <si>
    <t>Fecha</t>
  </si>
  <si>
    <t>Mes</t>
  </si>
  <si>
    <t>Lugar</t>
  </si>
  <si>
    <t>Responsable</t>
  </si>
  <si>
    <t>Comentarios</t>
  </si>
  <si>
    <t>Gira Qro</t>
  </si>
  <si>
    <t>9 y 10</t>
  </si>
  <si>
    <t>Qro</t>
  </si>
  <si>
    <t>Ricardo Hernández</t>
  </si>
  <si>
    <t>Semana de Pascua</t>
  </si>
  <si>
    <t>28 y 29</t>
  </si>
  <si>
    <t>Gira Mérida</t>
  </si>
  <si>
    <t>21 y 22</t>
  </si>
  <si>
    <t>Mérida</t>
  </si>
  <si>
    <t>Gira Cancún</t>
  </si>
  <si>
    <t>23 y 24</t>
  </si>
  <si>
    <t>Cancún</t>
  </si>
  <si>
    <t>Gira Tamaulipas</t>
  </si>
  <si>
    <t>Tamaulipas</t>
  </si>
  <si>
    <t>Rafael Treviño</t>
  </si>
  <si>
    <t>Feria Nafin Financiamiento</t>
  </si>
  <si>
    <t>11 y 12</t>
  </si>
  <si>
    <t>León</t>
  </si>
  <si>
    <t>Jesús Albarrán</t>
  </si>
  <si>
    <t>Desayuno Qro</t>
  </si>
  <si>
    <t>18-20</t>
  </si>
  <si>
    <t>Gira Hermosillo</t>
  </si>
  <si>
    <t>11 al 13</t>
  </si>
  <si>
    <t>Hermosillo</t>
  </si>
  <si>
    <t>Gira Chihuahua</t>
  </si>
  <si>
    <t>Chihuahua</t>
  </si>
  <si>
    <t>Gira a Monterrey</t>
  </si>
  <si>
    <t xml:space="preserve">24 al 26 </t>
  </si>
  <si>
    <t>Monterrey</t>
  </si>
  <si>
    <t>9 al 11</t>
  </si>
  <si>
    <t>2 al 4</t>
  </si>
  <si>
    <t>12 y 13</t>
  </si>
  <si>
    <t>25 al 27</t>
  </si>
  <si>
    <t>Desayuno TJ</t>
  </si>
  <si>
    <t>TJ</t>
  </si>
  <si>
    <t>Gira TJ</t>
  </si>
  <si>
    <t>17 al 19</t>
  </si>
  <si>
    <t>Gira Torreón</t>
  </si>
  <si>
    <t>Coahuila</t>
  </si>
  <si>
    <t>Gira Gto</t>
  </si>
  <si>
    <t>17 y 18</t>
  </si>
  <si>
    <t>Gto</t>
  </si>
  <si>
    <t>Gira Nayarit</t>
  </si>
  <si>
    <t>Nayarit</t>
  </si>
  <si>
    <t>Gira Michoacán</t>
  </si>
  <si>
    <t>Michoacán</t>
  </si>
  <si>
    <t>RicardoMoreno</t>
  </si>
  <si>
    <t>Gira Sinaloa</t>
  </si>
  <si>
    <t>Sinaloa</t>
  </si>
  <si>
    <t>Gira Ags y Zacatecas</t>
  </si>
  <si>
    <t>10 y 11</t>
  </si>
  <si>
    <t>Ags y Zacatecas</t>
  </si>
  <si>
    <t>Alex Monteón</t>
  </si>
  <si>
    <t>18 y 19</t>
  </si>
  <si>
    <t>Gira SLP</t>
  </si>
  <si>
    <t>SLP</t>
  </si>
  <si>
    <t>Gira Colima</t>
  </si>
  <si>
    <t>Colima</t>
  </si>
  <si>
    <t>22 y 23</t>
  </si>
  <si>
    <t>15 y 16</t>
  </si>
  <si>
    <t>14 y 15</t>
  </si>
  <si>
    <t>Entrevistas</t>
  </si>
  <si>
    <t>Sugerencias</t>
  </si>
  <si>
    <t>FW 5</t>
  </si>
  <si>
    <t>FW5</t>
  </si>
  <si>
    <t>Date</t>
  </si>
  <si>
    <t>Company / Account</t>
  </si>
  <si>
    <t>Subject</t>
  </si>
  <si>
    <t>Status</t>
  </si>
  <si>
    <t>Priority</t>
  </si>
  <si>
    <t>Comments</t>
  </si>
  <si>
    <t>Full Comments</t>
  </si>
  <si>
    <t>Assigned</t>
  </si>
  <si>
    <t>Account Owner</t>
  </si>
  <si>
    <t>Viajes Díaz Leal</t>
  </si>
  <si>
    <t>Cobertura Digital 2026</t>
  </si>
  <si>
    <t>No Started</t>
  </si>
  <si>
    <t>Normal</t>
  </si>
  <si>
    <t>Alejandro Palacios</t>
  </si>
  <si>
    <t>Antonio Soto</t>
  </si>
  <si>
    <t>Zion &amp; Ebenezer Technologies</t>
  </si>
  <si>
    <t>Alvaro de Garay</t>
  </si>
  <si>
    <t>Erik Arroyo</t>
  </si>
  <si>
    <t>Hugo Enrique Serrano Nuñez</t>
  </si>
  <si>
    <t>Areli Canche</t>
  </si>
  <si>
    <t>MIKRA PRODUCTIONS</t>
  </si>
  <si>
    <t>Industrias Ferreti</t>
  </si>
  <si>
    <t>Construcciones y Materiales Aila de Uruapan</t>
  </si>
  <si>
    <t>Glezco express</t>
  </si>
  <si>
    <t>QUIMICA 118</t>
  </si>
  <si>
    <t>Grupo Papelero Gutiérrez</t>
  </si>
  <si>
    <t>automatizacion industrial FEM</t>
  </si>
  <si>
    <t>Constructora Rodalli</t>
  </si>
  <si>
    <t>FORMACION, EDUCACION Y CULTURA</t>
  </si>
  <si>
    <t>SG Insumos</t>
  </si>
  <si>
    <t>Ficosa North America</t>
  </si>
  <si>
    <t>Lincoln Electric Mexicana</t>
  </si>
  <si>
    <t>CCVEGO</t>
  </si>
  <si>
    <t>Comercial Balandra</t>
  </si>
  <si>
    <t>Constructora y Desarrolladora Kicasa</t>
  </si>
  <si>
    <t>Gruas Estructuras y Tanques</t>
  </si>
  <si>
    <t>MERCAN COMERCIALIZADORA Y DISTRIBUIDORA DE PRODUCTOS DE ALTA CALIDAD</t>
  </si>
  <si>
    <t>NUTRE GOLF</t>
  </si>
  <si>
    <t>Plásticos Universales de los Altos</t>
  </si>
  <si>
    <t>Tricosa Del Golfo</t>
  </si>
  <si>
    <t>TUNING GLOBAL LOGISTICS</t>
  </si>
  <si>
    <t>Distribuidora Valcon</t>
  </si>
  <si>
    <t>Metalizados Tangerina</t>
  </si>
  <si>
    <t>OIG INTEGRACION DE SISTEMAS DE ACABADO</t>
  </si>
  <si>
    <t>GRUPO RIVEND MEXICO</t>
  </si>
  <si>
    <t>Maquinados Joperz</t>
  </si>
  <si>
    <t>PHYTOMONITOR</t>
  </si>
  <si>
    <t>Alina Patricia Ovando Baeza</t>
  </si>
  <si>
    <t>Fresky Hielo</t>
  </si>
  <si>
    <t>Gonza Plastics</t>
  </si>
  <si>
    <t>Servind, Servicios y Mantenimientos</t>
  </si>
  <si>
    <t>BEL GIARDINO</t>
  </si>
  <si>
    <t>Enlactec Negocios</t>
  </si>
  <si>
    <t>Compañia Transportista de America</t>
  </si>
  <si>
    <t>ACEROS PERFORADOS Y MALLAS</t>
  </si>
  <si>
    <t>EDALI LOREDO SANCHEZ</t>
  </si>
  <si>
    <t>ML LOGISTICA PORTUARIA</t>
  </si>
  <si>
    <t>Nutribif</t>
  </si>
  <si>
    <t>Sublima</t>
  </si>
  <si>
    <t>BROTHERS DOING BUSINESS &amp; SERVICES</t>
  </si>
  <si>
    <t>DIIM TRANSFER</t>
  </si>
  <si>
    <t>Epóxicos y Pintura Industrial</t>
  </si>
  <si>
    <t>Asisprof</t>
  </si>
  <si>
    <t>Panio</t>
  </si>
  <si>
    <t>AP&amp;H Communication Group</t>
  </si>
  <si>
    <t>Operadora T3D</t>
  </si>
  <si>
    <t>TZ Logística</t>
  </si>
  <si>
    <t>FOOD PROTEINS CORPORATION</t>
  </si>
  <si>
    <t>Grupo Integradores</t>
  </si>
  <si>
    <t>Hector Eduardo Castillo Giles</t>
  </si>
  <si>
    <t>ZAMUDIO PARTES CONTRA INCENDIO</t>
  </si>
  <si>
    <t>Fábrica María</t>
  </si>
  <si>
    <t>CARNICENTRO MORENO</t>
  </si>
  <si>
    <t>JOCELY ARIADNE MACIA ESQUIVEL</t>
  </si>
  <si>
    <t>Tecniflex Ansorge de México y Compañía</t>
  </si>
  <si>
    <t>Corporación Mandrika</t>
  </si>
  <si>
    <t>FRUTASTICA</t>
  </si>
  <si>
    <t>Forbosiegling</t>
  </si>
  <si>
    <t>Integracion De Sistemas Complejos</t>
  </si>
  <si>
    <t>SUJECIONES TITAN</t>
  </si>
  <si>
    <t>Multiconstrucciones EGS</t>
  </si>
  <si>
    <t>Laboratorios Tornel</t>
  </si>
  <si>
    <t>Inco Peninsular</t>
  </si>
  <si>
    <t>Olan de México</t>
  </si>
  <si>
    <t>Ncr</t>
  </si>
  <si>
    <t>Empaques y derivados del norte</t>
  </si>
  <si>
    <t>Fabrica de papel</t>
  </si>
  <si>
    <t>Termoformados Starpack</t>
  </si>
  <si>
    <t>GREEN BAY PACKAGING MEXICANA</t>
  </si>
  <si>
    <t>CAMPILLO Y HUERTA INGENIERIA DE PRECISION</t>
  </si>
  <si>
    <t>TMC Servicios</t>
  </si>
  <si>
    <t>Fernando Cruz</t>
  </si>
  <si>
    <t>Braulio Martinez</t>
  </si>
  <si>
    <t>Lacteos Montealban</t>
  </si>
  <si>
    <t>Artes Graficas Panorama</t>
  </si>
  <si>
    <t>Novaprint</t>
  </si>
  <si>
    <t>Moises Villalon</t>
  </si>
  <si>
    <t>COMERCIALIZADORA 100 MEXICANA DE BOTANA</t>
  </si>
  <si>
    <t>Ricardo Ramirez</t>
  </si>
  <si>
    <t>Mega Label</t>
  </si>
  <si>
    <t>Teresa Cisneros</t>
  </si>
  <si>
    <t>Productos Lacteos La Quinta</t>
  </si>
  <si>
    <t>Jesus Albarran</t>
  </si>
  <si>
    <t>Oxal</t>
  </si>
  <si>
    <t>Juan Mendieta</t>
  </si>
  <si>
    <t>David Shaw</t>
  </si>
  <si>
    <t>Corporativo Marejo</t>
  </si>
  <si>
    <t>Mario Vazquez</t>
  </si>
  <si>
    <t>Miguel Ortiz</t>
  </si>
  <si>
    <t>Amaro Alimentos</t>
  </si>
  <si>
    <t>Omar Rodríguez</t>
  </si>
  <si>
    <t>Renovación Urbana</t>
  </si>
  <si>
    <t>Rafael Treviño Villegas</t>
  </si>
  <si>
    <t>CONSTRUCCIONES VEGATI</t>
  </si>
  <si>
    <t>Alexandra Ramírez</t>
  </si>
  <si>
    <t>Compania Constructora</t>
  </si>
  <si>
    <t>Montajes e Ingenierias Sultana</t>
  </si>
  <si>
    <t>Syvasa Servicios y Venta de Acero</t>
  </si>
  <si>
    <t>Ricardo Hernandez</t>
  </si>
  <si>
    <t>OPERADORA RIJO TL</t>
  </si>
  <si>
    <t>Miriam Guardado Galván</t>
  </si>
  <si>
    <t>DIGICOPIAS</t>
  </si>
  <si>
    <t>Sicnay</t>
  </si>
  <si>
    <t>Julieta Medrano</t>
  </si>
  <si>
    <t>Proyecto Alpha Hardin</t>
  </si>
  <si>
    <t>Transportes Kronos</t>
  </si>
  <si>
    <t>Butler de México</t>
  </si>
  <si>
    <t>Grupo Gráfico Romo</t>
  </si>
  <si>
    <t>Gorigeek</t>
  </si>
  <si>
    <t>Grupo Calidata Thomas Greg</t>
  </si>
  <si>
    <t>DESTINATION SERVICES</t>
  </si>
  <si>
    <t>AUTO EXPRESS DAMAJA</t>
  </si>
  <si>
    <t>INDUSTRIA GRANDE DE ALIMENTOS</t>
  </si>
  <si>
    <t>MATERIALES Y CONSTRUCCIONES DE CHIAPAS</t>
  </si>
  <si>
    <t>Metrologia Aplicada y Servicios</t>
  </si>
  <si>
    <t>PACKLAB</t>
  </si>
  <si>
    <t>MAQUINARIA Y AGROTECNOLOGIA DEL CENTRO-SUR</t>
  </si>
  <si>
    <t>Villa Vainilla</t>
  </si>
  <si>
    <t>MUSTANG LEATHER</t>
  </si>
  <si>
    <t>Maverick Importaciones</t>
  </si>
  <si>
    <t>Corpo PT Marketing de México</t>
  </si>
  <si>
    <t>Max Daetwyler De México</t>
  </si>
  <si>
    <t>INTERLAKEN MAQUINARIA</t>
  </si>
  <si>
    <t>Holding Del Golfo</t>
  </si>
  <si>
    <t>TdeR</t>
  </si>
  <si>
    <t>Guillermo Paul Ruiz Sancho</t>
  </si>
  <si>
    <t>A0 Skylum</t>
  </si>
  <si>
    <t>Roberto Maza</t>
  </si>
  <si>
    <t>Fernanda Rangel</t>
  </si>
  <si>
    <t>Calefacción Y Ventilación</t>
  </si>
  <si>
    <t>Fernando Perez</t>
  </si>
  <si>
    <t>IMPULSORA DE SALUD DE BAJA CALIFORNIA</t>
  </si>
  <si>
    <t>Miriam Martinez</t>
  </si>
  <si>
    <t>TRITUASFALTOS</t>
  </si>
  <si>
    <t>Grupo Cartonero Industrial Move</t>
  </si>
  <si>
    <t>Rodrigo Niño</t>
  </si>
  <si>
    <t>Fernando Martin</t>
  </si>
  <si>
    <t>Plazteca</t>
  </si>
  <si>
    <t>Patricia Jurado</t>
  </si>
  <si>
    <t>Nombre</t>
  </si>
  <si>
    <t>Descripción</t>
  </si>
  <si>
    <t>LMM Core</t>
  </si>
  <si>
    <t>Operaciones Menores a 10 mdp</t>
  </si>
  <si>
    <t>Procesos</t>
  </si>
  <si>
    <t>Revisar procesos Memo</t>
  </si>
  <si>
    <t xml:space="preserve">Monse </t>
  </si>
  <si>
    <t>Maurcio Ortiz</t>
  </si>
  <si>
    <t>Ilan</t>
  </si>
  <si>
    <t>Vacante</t>
  </si>
  <si>
    <t>En proceso EEFF por nueva contabilidad.</t>
  </si>
  <si>
    <t>SYB Schmitt</t>
  </si>
  <si>
    <t>TKD $</t>
  </si>
  <si>
    <t>Aeromarítima</t>
  </si>
  <si>
    <t>Therbal</t>
  </si>
  <si>
    <t>Susalia</t>
  </si>
  <si>
    <t>Transportes Narcea</t>
  </si>
  <si>
    <t>Exportadora de Frutas</t>
  </si>
  <si>
    <t>Llamada 16 Febrero</t>
  </si>
  <si>
    <t>Expediente pendiente 13 Feb</t>
  </si>
  <si>
    <t>Smart Center</t>
  </si>
  <si>
    <t>Ojeda Gruas y Transportes</t>
  </si>
  <si>
    <t>FW 6</t>
  </si>
  <si>
    <t>Footprint</t>
  </si>
  <si>
    <t>Zonas i.e. Puebla</t>
  </si>
  <si>
    <t>FW7</t>
  </si>
  <si>
    <t>BAJA</t>
  </si>
  <si>
    <t>Revisión de cobranza directa por parte del cliente. Pendientes EEFF</t>
  </si>
  <si>
    <t xml:space="preserve">En crédito. El cliente revisa condiciones actuales. </t>
  </si>
  <si>
    <t>En riesgos se recibe cuestionario el día 16.02.2026</t>
  </si>
  <si>
    <t>Región</t>
  </si>
  <si>
    <t>Pipeline</t>
  </si>
  <si>
    <t>Agregados Zacanta</t>
  </si>
  <si>
    <t>Pipeline Requerido</t>
  </si>
  <si>
    <t>Vacante IAN</t>
  </si>
  <si>
    <t>Ppl Generado</t>
  </si>
  <si>
    <t>Imesa</t>
  </si>
  <si>
    <t>Moisés Villalón</t>
  </si>
  <si>
    <t>Información pendiente, ya se envió nueva cotización</t>
  </si>
  <si>
    <t>Esperando comentarios a propuesta 19</t>
  </si>
  <si>
    <t>En elaboración vaciados</t>
  </si>
  <si>
    <t>Propuesta realizada, se presenta el día martes 26.02.2026</t>
  </si>
  <si>
    <t>Esperando respuesta cliente</t>
  </si>
  <si>
    <t>Factura pendiente, para factura S&amp;LB</t>
  </si>
  <si>
    <t>Est</t>
  </si>
  <si>
    <t>Logearon en DaVinci, esperando facturas para ver el análisis de S&amp;LB</t>
  </si>
  <si>
    <t>Baja, no se mueve y no es prioritario por hijo</t>
  </si>
  <si>
    <t>Refi</t>
  </si>
  <si>
    <t>Hasta Junio</t>
  </si>
  <si>
    <t>Respuesta a cuestionario 16 por parte de cliente</t>
  </si>
  <si>
    <t>Baja por crédito</t>
  </si>
  <si>
    <t>Si</t>
  </si>
  <si>
    <t>High Lumen</t>
  </si>
  <si>
    <t>L&amp;l</t>
  </si>
  <si>
    <t>Cyecsa</t>
  </si>
  <si>
    <t>Para prepagar Banorte</t>
  </si>
  <si>
    <t>Salir de BBVA</t>
  </si>
  <si>
    <t>Refi de Inbursa.  Garantía de Mamá. Reivisión de escenario que quiere el cliente. Pendientes EEFF</t>
  </si>
  <si>
    <t>Sefimex, BBVA, Bajío Hoff 18 Febrero, se pide PIC Call center ojo de agua o calzada de la viga</t>
  </si>
  <si>
    <t>HJB</t>
  </si>
  <si>
    <t>Bajío. Pendiente Cuadro de pasivos actualizado</t>
  </si>
  <si>
    <t>Dysal</t>
  </si>
  <si>
    <t>Ritmo operativo</t>
  </si>
  <si>
    <t>Reducir account set en ciertos ejecutivos nuevos</t>
  </si>
  <si>
    <t>Mapeando empresas por ubicación geográfica</t>
  </si>
  <si>
    <t>Food &amp; Bev</t>
  </si>
  <si>
    <t>Retailers grandes</t>
  </si>
  <si>
    <t>Sevicios</t>
  </si>
  <si>
    <t>Textil</t>
  </si>
  <si>
    <t>Tier 2</t>
  </si>
  <si>
    <t>Transporte</t>
  </si>
  <si>
    <t xml:space="preserve">Imagen y publicidad </t>
  </si>
  <si>
    <t>Royal Creative</t>
  </si>
  <si>
    <t xml:space="preserve">Sublima </t>
  </si>
  <si>
    <t>PAGSA</t>
  </si>
  <si>
    <t>Area Creativa</t>
  </si>
  <si>
    <t>Cambio de publicidad ambientada para mundial</t>
  </si>
  <si>
    <t>FTR, autobuses para hoteles</t>
  </si>
  <si>
    <t>Expo</t>
  </si>
  <si>
    <t>Empaque WTC</t>
  </si>
  <si>
    <t>Expo Grafica</t>
  </si>
  <si>
    <t>Expo residuos</t>
  </si>
  <si>
    <t>Expo pack</t>
  </si>
  <si>
    <t>Expo publicitas</t>
  </si>
  <si>
    <t>2 meses sin fondear o 2 semanas sin citas, se regresa a oficinas o revisión personal</t>
  </si>
  <si>
    <t>nuevos sin ritmo operativo, micromanagement.  Que nos enseñen sales navigator, navegar que uso de herramientas está teniendo</t>
  </si>
  <si>
    <t xml:space="preserve">Vendor hay que perfilar mejor, club aleman, </t>
  </si>
  <si>
    <t>Cajas corrugados</t>
  </si>
  <si>
    <t>Gestionando ciertos brokers informativos</t>
  </si>
  <si>
    <t>Automotriz</t>
  </si>
  <si>
    <t>7 y 8 Mayo</t>
  </si>
  <si>
    <t>Bajío.  Pendiente ballpark de inmueble ofrecido en garantía, posterior a eso se envía nueva propuesta de crédito simple.  Equipo 27 mdp y ballpark blended</t>
  </si>
  <si>
    <t>Gira Saltillo</t>
  </si>
  <si>
    <t>3 al 5</t>
  </si>
  <si>
    <t>Saltillo</t>
  </si>
  <si>
    <t>21 al 23</t>
  </si>
  <si>
    <t>Revisión con riesgos 17.02</t>
  </si>
  <si>
    <t>Acompañamiento</t>
  </si>
  <si>
    <t>Giras</t>
  </si>
  <si>
    <t>Ritmo Operativo</t>
  </si>
  <si>
    <t>Contactos clientes del TL</t>
  </si>
  <si>
    <t>Seguimiento diario por la tarde</t>
  </si>
  <si>
    <t>Se define la lista, confirmando citas</t>
  </si>
  <si>
    <t>Apoyo Rodo para llenar la agenda si hay huecos</t>
  </si>
  <si>
    <t>Vendors</t>
  </si>
  <si>
    <t>FIRA</t>
  </si>
  <si>
    <t>Creditaria</t>
  </si>
  <si>
    <t>Retomar cuentas que se visitaron que llegaron a proposal awarded, directa</t>
  </si>
  <si>
    <t>Cobertura Nidia</t>
  </si>
  <si>
    <t xml:space="preserve">fabtech </t>
  </si>
  <si>
    <t>Expo Impresión</t>
  </si>
  <si>
    <t>Febreo</t>
  </si>
  <si>
    <t>Enfoque</t>
  </si>
  <si>
    <t>Agenda</t>
  </si>
  <si>
    <t>Cambiar mecánica de seguimietno, miércoles avance de citas para próxima semana</t>
  </si>
  <si>
    <t>Meterse Account set</t>
  </si>
  <si>
    <t>Robert</t>
  </si>
  <si>
    <t>Richard</t>
  </si>
  <si>
    <t>Monteón</t>
  </si>
  <si>
    <t>1 vez al mes por Estado</t>
  </si>
  <si>
    <t>Comercializadora de Maíz Sierra Azul</t>
  </si>
  <si>
    <t>Acuícola Season</t>
  </si>
  <si>
    <t>Servicios Especiales García</t>
  </si>
  <si>
    <t>LMM3</t>
  </si>
  <si>
    <t>09 al 11</t>
  </si>
  <si>
    <t>Veracruz</t>
  </si>
  <si>
    <t>Vadir Peña</t>
  </si>
  <si>
    <t>Gira Puebla</t>
  </si>
  <si>
    <t>Puebla y Tlaxcala</t>
  </si>
  <si>
    <t>Gira Oaxaca</t>
  </si>
  <si>
    <t>Trimestre</t>
  </si>
  <si>
    <t>Anual</t>
  </si>
  <si>
    <t>Real</t>
  </si>
  <si>
    <t>Avance T</t>
  </si>
  <si>
    <t>Total</t>
  </si>
  <si>
    <t>Jalisco</t>
  </si>
  <si>
    <t>Zacatecas</t>
  </si>
  <si>
    <t>CDMX</t>
  </si>
  <si>
    <t>Puebla</t>
  </si>
  <si>
    <t>Hidalgo</t>
  </si>
  <si>
    <t>NL</t>
  </si>
  <si>
    <t>Sonora</t>
  </si>
  <si>
    <t>Baja California</t>
  </si>
  <si>
    <t>Querétaro</t>
  </si>
  <si>
    <t>Edo</t>
  </si>
  <si>
    <t>Industria</t>
  </si>
  <si>
    <t>Construcción</t>
  </si>
  <si>
    <t>Papel y Cartón</t>
  </si>
  <si>
    <t>Quim y Plást</t>
  </si>
  <si>
    <t>Minería</t>
  </si>
  <si>
    <t>Servicios</t>
  </si>
  <si>
    <t>Retail</t>
  </si>
  <si>
    <t>Food</t>
  </si>
  <si>
    <t>Expo Gráfica</t>
  </si>
  <si>
    <t>Fabtech</t>
  </si>
  <si>
    <t xml:space="preserve">6 al 9 </t>
  </si>
  <si>
    <t>12 al 14</t>
  </si>
  <si>
    <t>Expo Antad</t>
  </si>
  <si>
    <t>19 al 21</t>
  </si>
  <si>
    <t>Expo Logística y Transporte</t>
  </si>
  <si>
    <t>Expo Residuos</t>
  </si>
  <si>
    <t>Expo Plásticos</t>
  </si>
  <si>
    <t>24 al 26</t>
  </si>
  <si>
    <t xml:space="preserve">26 al 28 </t>
  </si>
  <si>
    <t>Die Casting</t>
  </si>
  <si>
    <t>GDL</t>
  </si>
  <si>
    <t>Centro Banamex</t>
  </si>
  <si>
    <t>Días</t>
  </si>
  <si>
    <t>Gira Hidalgo</t>
  </si>
  <si>
    <t>Braulio / Joe</t>
  </si>
  <si>
    <t>Ricardo Ramírez</t>
  </si>
  <si>
    <t>Gira Villahermosa</t>
  </si>
  <si>
    <t>23 al 25</t>
  </si>
  <si>
    <t>Villahermosa</t>
  </si>
  <si>
    <t>Gira Xalapa</t>
  </si>
  <si>
    <t>Gira Veracruz / Orizaba/ Cordoba / Xalapa</t>
  </si>
  <si>
    <t>Gira Morelos</t>
  </si>
  <si>
    <t>Morelos</t>
  </si>
  <si>
    <t>Moises Villalón</t>
  </si>
  <si>
    <t>Gira Guerrero</t>
  </si>
  <si>
    <t>Guerrero</t>
  </si>
  <si>
    <t>Waivers Myrna</t>
  </si>
  <si>
    <t>Resta</t>
  </si>
  <si>
    <t>SMTA Monterrey Expo &amp; Tech Forum</t>
  </si>
  <si>
    <t>Expo Proveedores del Transporte y Logística</t>
  </si>
  <si>
    <t>20 al 22</t>
  </si>
  <si>
    <t>Global Transportation &amp; Innovation Summit</t>
  </si>
  <si>
    <t>27 y 28</t>
  </si>
  <si>
    <t>Expo Constructo 2026</t>
  </si>
  <si>
    <t>Junio</t>
  </si>
  <si>
    <t>Chihuahua Expo &amp; Tech Forum</t>
  </si>
  <si>
    <t>Expo MRO</t>
  </si>
  <si>
    <t>14 AL 16</t>
  </si>
  <si>
    <t>Expo Enlaces Productivos e Innovación Tecnológica</t>
  </si>
  <si>
    <t>Pendiente</t>
  </si>
  <si>
    <t>Pendiente visita con TL.</t>
  </si>
  <si>
    <t>H2E México, S.A. de C.V.</t>
  </si>
  <si>
    <t>Firmado, pendiente pago de iniciales.</t>
  </si>
  <si>
    <t>Se ingresa a más tardar viernes 20/02.</t>
  </si>
  <si>
    <t>En Integración de expediente, pendientes EEFF 2024, formatos y EECC.</t>
  </si>
  <si>
    <t>Gira</t>
  </si>
  <si>
    <t>Oaxaca</t>
  </si>
  <si>
    <t>Maderería los Pinos, Concretab, Empresa de minería a cielo abierto</t>
  </si>
  <si>
    <t>Cuentas ancla</t>
  </si>
  <si>
    <t>Qué se espera</t>
  </si>
  <si>
    <t>Lácteos Arce, Pastelería Queenmen, Chocolate Mayordomo</t>
  </si>
  <si>
    <t>ESC</t>
  </si>
  <si>
    <t>Vendor</t>
  </si>
  <si>
    <t>Sanchez</t>
  </si>
  <si>
    <t>FIRA, Creditaria</t>
  </si>
  <si>
    <t>Firma Hyrcosa, presencia física</t>
  </si>
  <si>
    <t>Oport Esperada</t>
  </si>
  <si>
    <t>6 Hyrcosa</t>
  </si>
  <si>
    <t xml:space="preserve">Los pinos 14, </t>
  </si>
  <si>
    <t>Firma Cajas y Corrugados y JT Alianza y Pabisan</t>
  </si>
  <si>
    <t>Akopet</t>
  </si>
  <si>
    <t xml:space="preserve">6 citas, ancla wal maquinaria, navarro brothers 20 part a su hermano, serv ambientales internacionales 30, </t>
  </si>
  <si>
    <t>2 de 6</t>
  </si>
  <si>
    <t>Gira Sonora, Coauila, Chihuahua</t>
  </si>
  <si>
    <t>Sonora, Coahuila, Chihuahua</t>
  </si>
  <si>
    <t>GIRA CDMX</t>
  </si>
  <si>
    <t>FW 7</t>
  </si>
  <si>
    <t>Aguascalientes</t>
  </si>
  <si>
    <t>Guanajuanto</t>
  </si>
  <si>
    <t>Tabasco</t>
  </si>
  <si>
    <t>Tlaxcala</t>
  </si>
  <si>
    <t>Baja California Sur</t>
  </si>
  <si>
    <t>Durango</t>
  </si>
  <si>
    <t>Tick P</t>
  </si>
  <si>
    <t>Quintana Roo</t>
  </si>
  <si>
    <t>Yucatán</t>
  </si>
  <si>
    <t>Mining</t>
  </si>
  <si>
    <t>GONORMA CON LA MISMA INFO 33FF</t>
  </si>
  <si>
    <t>Imesa, A3 y Gluten</t>
  </si>
  <si>
    <t>Freedom 6.2 mdp, Hyrcosa 3.1</t>
  </si>
  <si>
    <t>Absara, Cayco, Congelados Alysa</t>
  </si>
  <si>
    <t>Ciasa, Epcosa, Narcea</t>
  </si>
  <si>
    <t>Gral Popo, Aligonza</t>
  </si>
  <si>
    <t>G5 Steel</t>
  </si>
  <si>
    <t>COMENTARIOS</t>
  </si>
  <si>
    <t>GIRAS TODAS LAS SEMANAS</t>
  </si>
  <si>
    <t>GUADALAJARA</t>
  </si>
  <si>
    <t>GIRAS - CERRAR</t>
  </si>
  <si>
    <t>Meter Ritmo</t>
  </si>
  <si>
    <t>Calidad de trabajo</t>
  </si>
  <si>
    <t>Agendar compromisos</t>
  </si>
  <si>
    <t>1 hora agenda de temas estratégicos</t>
  </si>
  <si>
    <t>Agenda relevante de la semana</t>
  </si>
  <si>
    <t>Todos los días revisa 10 minutos temprano para enfoque,</t>
  </si>
  <si>
    <t>Aprende a decir no</t>
  </si>
  <si>
    <t>Delegar cosas</t>
  </si>
  <si>
    <t>Supervisar a Rafa</t>
  </si>
  <si>
    <t>Chuy perdido</t>
  </si>
  <si>
    <t>Rafa perdido</t>
  </si>
  <si>
    <t>20 vendedores y 4 TLs</t>
  </si>
  <si>
    <t>La calidad debe ser mucho mejor</t>
  </si>
  <si>
    <t>Delegar</t>
  </si>
  <si>
    <t>Data y ritmo</t>
  </si>
  <si>
    <t>Error monto</t>
  </si>
  <si>
    <t>Crédito simple, NO VA POR INSEGURIDAD</t>
  </si>
  <si>
    <t>Ciasa (Aval Rancho Santa Rita) es el rastro</t>
  </si>
  <si>
    <t xml:space="preserve">LMM </t>
  </si>
  <si>
    <t>Jose Nava</t>
  </si>
  <si>
    <t>Completed</t>
  </si>
  <si>
    <t>Se analizó la cuenta. El originador y yo hemos identificado al DM Ma Elena Cantú, estamos trabajando para conectarla y retomar conversaciones. Adicional tendremos un approach con Julieta para pormenores y key points para acercamiento.</t>
  </si>
  <si>
    <t>Se establece estrategia para retomar contacto con originador (Ricardo Ramírez).</t>
  </si>
  <si>
    <t>De acuerdo a los comentarios del originador (Teresa Cisneros) no es una cuenta potencial ya que en un par de ocasiones nos dejaron colgados con línea aprobada.</t>
  </si>
  <si>
    <t>Juan Villaseñor</t>
  </si>
  <si>
    <t>Karen Davila</t>
  </si>
  <si>
    <t>Mayreth García</t>
  </si>
  <si>
    <t>Montajes e Ingenierias  Sultana</t>
  </si>
  <si>
    <t>Christian Gamboa</t>
  </si>
  <si>
    <t>Monserrat Villanueva</t>
  </si>
  <si>
    <t>Ramón Pérez</t>
  </si>
  <si>
    <t>4 si hay proyecto,5 Marzo</t>
  </si>
  <si>
    <t>En integración de expediente. Se espera completar semana del 3  Marzo</t>
  </si>
  <si>
    <t>Ya se mandó a riesgos</t>
  </si>
  <si>
    <t>No CG vs incremento iniciales de 10% a 20% y subordinación de venta</t>
  </si>
  <si>
    <t>NO hay avance</t>
  </si>
  <si>
    <t>Hoff 6</t>
  </si>
  <si>
    <t>Solo el dealcito de Feb</t>
  </si>
  <si>
    <t>Reunión Rafa si se puede hacer algo en Marzo</t>
  </si>
  <si>
    <t>Sin respuesta</t>
  </si>
  <si>
    <t>Llamada 26 en la mañana. Al parecer se cayó, hay algun otro competidor.  Estamos pidiendo reunión con cliente para entender status</t>
  </si>
  <si>
    <t>Pidiendo Eval para enviar propuesta</t>
  </si>
  <si>
    <t>Proceso para darnos de alta factura 25 Marzo, procesos de dar de alta a Engen como Proveedor son 2 a 2.5 semanas</t>
  </si>
  <si>
    <t>Conferencia 27 para definir si va o no va, está cotizando con 4 arrendadoras y 4 bancos</t>
  </si>
  <si>
    <t>Compitiendo con BanRegio PP baterías y picadora, cambio de proveedor y cotización nueva de equipo 16</t>
  </si>
  <si>
    <t xml:space="preserve"> Funded. Marzo o Abril próximo desembolso</t>
  </si>
  <si>
    <t>Lease back de maquinaria, pendiente descripción de máquina para cotización de avalúo. Sr Pedro no quiere compartir importación porque lo secuestraron.  Reunión 16 videollamada</t>
  </si>
  <si>
    <t>Información de factura , eval, solicitar avalúo.   Marzo</t>
  </si>
  <si>
    <t>17 mdp para Marzo.  BBVA.  1er 9.3</t>
  </si>
  <si>
    <t>Retomar plática en Abril.  Sabadell Clean Up.  Pendiente reunión con CFO</t>
  </si>
  <si>
    <t>Baja.  Se va a ir por factoraje.   Compitiendo con Invex y Clean Leasing, Proposal Awarded  Capex 9 mdp</t>
  </si>
  <si>
    <t>Bajo Transportes</t>
  </si>
  <si>
    <t>Garantía TPVs factoraje y S&amp;LB</t>
  </si>
  <si>
    <t>No ha avanzado.  Todavía no se mete a DaVinci, checar con Grace y Peter</t>
  </si>
  <si>
    <t>Falta responder cuestionario</t>
  </si>
  <si>
    <t>Agro.  Cultiva tomate Expediente completo enviado a Riesgos 19/02</t>
  </si>
  <si>
    <t>Carga y desccarga en recintos fiscales</t>
  </si>
  <si>
    <t>Real Acum</t>
  </si>
  <si>
    <t>Pend Ac Estac</t>
  </si>
  <si>
    <t>Pend Ac Lineal</t>
  </si>
  <si>
    <t>Ppto Ac Estac</t>
  </si>
  <si>
    <t>Ppto Ac Lineal</t>
  </si>
  <si>
    <t>Pend Ac Estac 1T</t>
  </si>
  <si>
    <t>Pend Ac Lineal 1T</t>
  </si>
  <si>
    <t>Real Mzo</t>
  </si>
  <si>
    <t>Real Ac Mzo</t>
  </si>
  <si>
    <t>Guillermo, Pamela, Servicios Integrales en Acero Estructural</t>
  </si>
  <si>
    <t>Gruma 1, Moyuc 15, Macropay 10 a 17, R3 definir 3 mdp</t>
  </si>
  <si>
    <t>Martillo 8 mdp tractos 5, Grupo 50, IRM 1.8</t>
  </si>
  <si>
    <t>Keymax 8.2 y Metalistik 6 mdp</t>
  </si>
  <si>
    <t>Agrosoil 11.5, Marhel 6.8 pend DaVinci, Aro Asfaltos</t>
  </si>
  <si>
    <t>6.7 más Moc 14 linea y TD 5.3 mdp es S&amp;LB (depende de riesgos trae endeudamiento).  2 PP intermedios y 1 inicio.  Grupo MOC</t>
  </si>
  <si>
    <t>Compromiso</t>
  </si>
  <si>
    <t>Buró de crédito con quita</t>
  </si>
  <si>
    <t>Cliente Actual A. Ramirez</t>
  </si>
  <si>
    <t>En revisión de línea de factoraje</t>
  </si>
  <si>
    <t>Montacargas</t>
  </si>
  <si>
    <t>Prom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</si>
</sst>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"/>
    <numFmt numFmtId="165" formatCode="_-* #,##0.0_-;\-* #,##0.0_-;_-* &quot;-&quot;??_-;_-@_-"/>
    <numFmt numFmtId="166" formatCode="_-* #,##0_-;\-* #,##0_-;_-* &quot;-&quot;??_-;_-@_-"/>
    <numFmt numFmtId="167" formatCode="0.0%"/>
    <numFmt numFmtId="168" formatCode="_-* #,##0.0_-;\-* #,##0.0_-;_-* &quot;-&quot;?_-;_-@_-"/>
    <numFmt numFmtId="169" formatCode="#,##0.0_ ;[Red]\-#,##0.0\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i/>
      <sz val="9"/>
      <color rgb="FFFF0000"/>
      <name val="Aptos Narrow"/>
      <family val="2"/>
      <scheme val="minor"/>
    </font>
    <font>
      <b/>
      <i/>
      <sz val="9"/>
      <color theme="8" tint="-0.249977111117893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  <font>
      <b/>
      <sz val="11"/>
      <color theme="3" tint="9.9978637043366805E-2"/>
      <name val="Aptos Narrow"/>
      <family val="2"/>
      <scheme val="minor"/>
    </font>
    <font>
      <b/>
      <i/>
      <sz val="9"/>
      <color theme="3" tint="9.9978637043366805E-2"/>
      <name val="Aptos Narrow"/>
      <family val="2"/>
      <scheme val="minor"/>
    </font>
    <font>
      <i/>
      <sz val="9"/>
      <color theme="3" tint="9.9978637043366805E-2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i/>
      <sz val="11"/>
      <color theme="8" tint="-0.249977111117893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14" fontId="0" fillId="0" borderId="0" xfId="0" applyNumberFormat="1"/>
    <xf numFmtId="1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0" xfId="0" applyFont="1" applyAlignment="1">
      <alignment horizontal="center" wrapText="1"/>
    </xf>
    <xf numFmtId="10" fontId="0" fillId="0" borderId="0" xfId="0" applyNumberFormat="1"/>
    <xf numFmtId="0" fontId="0" fillId="0" borderId="0" xfId="0" applyAlignment="1">
      <alignment wrapText="1"/>
    </xf>
    <xf numFmtId="0" fontId="5" fillId="0" borderId="0" xfId="0" applyFont="1"/>
    <xf numFmtId="164" fontId="0" fillId="0" borderId="0" xfId="0" applyNumberFormat="1"/>
    <xf numFmtId="165" fontId="5" fillId="0" borderId="0" xfId="1" applyNumberFormat="1" applyFont="1"/>
    <xf numFmtId="165" fontId="6" fillId="0" borderId="0" xfId="1" applyNumberFormat="1" applyFont="1"/>
    <xf numFmtId="165" fontId="0" fillId="0" borderId="0" xfId="1" applyNumberFormat="1" applyFont="1"/>
    <xf numFmtId="165" fontId="6" fillId="0" borderId="0" xfId="0" applyNumberFormat="1" applyFont="1"/>
    <xf numFmtId="0" fontId="7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165" fontId="8" fillId="0" borderId="0" xfId="1" applyNumberFormat="1" applyFont="1"/>
    <xf numFmtId="165" fontId="9" fillId="0" borderId="0" xfId="1" applyNumberFormat="1" applyFont="1"/>
    <xf numFmtId="165" fontId="7" fillId="0" borderId="0" xfId="1" applyNumberFormat="1" applyFon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" fontId="0" fillId="2" borderId="0" xfId="0" applyNumberFormat="1" applyFill="1"/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right" wrapText="1"/>
    </xf>
    <xf numFmtId="49" fontId="0" fillId="0" borderId="0" xfId="0" applyNumberFormat="1" applyAlignment="1">
      <alignment wrapText="1"/>
    </xf>
    <xf numFmtId="165" fontId="0" fillId="5" borderId="0" xfId="1" applyNumberFormat="1" applyFont="1" applyFill="1"/>
    <xf numFmtId="165" fontId="10" fillId="0" borderId="0" xfId="1" applyNumberFormat="1" applyFont="1"/>
    <xf numFmtId="165" fontId="11" fillId="0" borderId="0" xfId="1" applyNumberFormat="1" applyFont="1"/>
    <xf numFmtId="165" fontId="12" fillId="0" borderId="0" xfId="1" applyNumberFormat="1" applyFont="1"/>
    <xf numFmtId="165" fontId="13" fillId="0" borderId="0" xfId="1" applyNumberFormat="1" applyFont="1"/>
    <xf numFmtId="166" fontId="10" fillId="0" borderId="0" xfId="1" applyNumberFormat="1" applyFont="1"/>
    <xf numFmtId="166" fontId="11" fillId="0" borderId="0" xfId="1" applyNumberFormat="1" applyFont="1"/>
    <xf numFmtId="166" fontId="12" fillId="0" borderId="0" xfId="1" applyNumberFormat="1" applyFont="1"/>
    <xf numFmtId="166" fontId="13" fillId="0" borderId="0" xfId="1" applyNumberFormat="1" applyFont="1"/>
    <xf numFmtId="0" fontId="0" fillId="9" borderId="0" xfId="0" applyFill="1"/>
    <xf numFmtId="0" fontId="0" fillId="0" borderId="0" xfId="0" applyAlignment="1">
      <alignment horizontal="left"/>
    </xf>
    <xf numFmtId="49" fontId="0" fillId="2" borderId="0" xfId="0" applyNumberFormat="1" applyFill="1" applyAlignment="1">
      <alignment horizontal="left"/>
    </xf>
    <xf numFmtId="167" fontId="0" fillId="0" borderId="0" xfId="2" applyNumberFormat="1" applyFont="1"/>
    <xf numFmtId="17" fontId="0" fillId="0" borderId="0" xfId="0" applyNumberFormat="1"/>
    <xf numFmtId="0" fontId="2" fillId="0" borderId="0" xfId="0" applyFont="1"/>
    <xf numFmtId="0" fontId="0" fillId="10" borderId="0" xfId="0" applyFill="1"/>
    <xf numFmtId="165" fontId="0" fillId="10" borderId="0" xfId="1" applyNumberFormat="1" applyFont="1" applyFill="1"/>
    <xf numFmtId="0" fontId="14" fillId="0" borderId="0" xfId="0" applyFont="1"/>
    <xf numFmtId="165" fontId="9" fillId="0" borderId="0" xfId="0" applyNumberFormat="1" applyFont="1"/>
    <xf numFmtId="168" fontId="0" fillId="0" borderId="0" xfId="0" applyNumberFormat="1"/>
    <xf numFmtId="169" fontId="5" fillId="0" borderId="0" xfId="0" applyNumberFormat="1" applyFont="1"/>
    <xf numFmtId="169" fontId="8" fillId="0" borderId="0" xfId="0" applyNumberFormat="1" applyFont="1"/>
    <xf numFmtId="169" fontId="8" fillId="0" borderId="0" xfId="1" applyNumberFormat="1" applyFont="1"/>
    <xf numFmtId="169" fontId="12" fillId="2" borderId="0" xfId="1" applyNumberFormat="1" applyFont="1" applyFill="1"/>
    <xf numFmtId="169" fontId="8" fillId="2" borderId="0" xfId="1" applyNumberFormat="1" applyFont="1" applyFill="1"/>
    <xf numFmtId="169" fontId="8" fillId="2" borderId="0" xfId="0" applyNumberFormat="1" applyFont="1" applyFill="1"/>
    <xf numFmtId="165" fontId="0" fillId="0" borderId="0" xfId="1" applyNumberFormat="1" applyFont="1" applyAlignment="1">
      <alignment wrapText="1"/>
    </xf>
    <xf numFmtId="166" fontId="0" fillId="0" borderId="0" xfId="1" applyNumberFormat="1" applyFont="1"/>
    <xf numFmtId="166" fontId="0" fillId="0" borderId="0" xfId="1" applyNumberFormat="1" applyFont="1" applyAlignment="1">
      <alignment wrapText="1"/>
    </xf>
    <xf numFmtId="166" fontId="7" fillId="0" borderId="0" xfId="1" applyNumberFormat="1" applyFont="1"/>
    <xf numFmtId="0" fontId="15" fillId="0" borderId="0" xfId="0" applyFont="1"/>
    <xf numFmtId="43" fontId="15" fillId="0" borderId="0" xfId="1" applyFont="1"/>
    <xf numFmtId="166" fontId="15" fillId="0" borderId="0" xfId="1" applyNumberFormat="1" applyFont="1"/>
    <xf numFmtId="165" fontId="15" fillId="0" borderId="0" xfId="1" applyNumberFormat="1" applyFont="1"/>
    <xf numFmtId="169" fontId="16" fillId="0" borderId="0" xfId="1" applyNumberFormat="1" applyFont="1"/>
    <xf numFmtId="165" fontId="17" fillId="0" borderId="0" xfId="0" applyNumberFormat="1" applyFont="1"/>
    <xf numFmtId="165" fontId="16" fillId="0" borderId="0" xfId="1" applyNumberFormat="1" applyFont="1"/>
    <xf numFmtId="165" fontId="17" fillId="0" borderId="0" xfId="1" applyNumberFormat="1" applyFont="1"/>
    <xf numFmtId="165" fontId="8" fillId="2" borderId="0" xfId="1" applyNumberFormat="1" applyFont="1" applyFill="1"/>
    <xf numFmtId="165" fontId="8" fillId="11" borderId="0" xfId="1" applyNumberFormat="1" applyFont="1" applyFill="1"/>
    <xf numFmtId="168" fontId="0" fillId="12" borderId="0" xfId="0" applyNumberFormat="1" applyFill="1"/>
    <xf numFmtId="165" fontId="8" fillId="12" borderId="0" xfId="1" applyNumberFormat="1" applyFont="1" applyFill="1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165" fontId="0" fillId="6" borderId="0" xfId="1" applyNumberFormat="1" applyFont="1" applyFill="1"/>
    <xf numFmtId="165" fontId="0" fillId="7" borderId="0" xfId="1" applyNumberFormat="1" applyFont="1" applyFill="1"/>
    <xf numFmtId="165" fontId="0" fillId="8" borderId="0" xfId="1" applyNumberFormat="1" applyFont="1" applyFill="1"/>
    <xf numFmtId="165" fontId="0" fillId="4" borderId="0" xfId="1" applyNumberFormat="1" applyFont="1" applyFill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0F9E2-D903-4A1B-AFA9-8299BCA6AD7B}">
  <dimension ref="A1:AO36"/>
  <sheetViews>
    <sheetView workbookViewId="0">
      <pane xSplit="2" ySplit="3" topLeftCell="N4" activePane="bottomRight" state="frozen"/>
      <selection pane="topRight" activeCell="C1" sqref="C1"/>
      <selection pane="bottomLeft" activeCell="A4" sqref="A4"/>
      <selection pane="bottomRight" activeCell="AE11" sqref="AE11"/>
    </sheetView>
  </sheetViews>
  <sheetFormatPr baseColWidth="10" defaultColWidth="11.453125" defaultRowHeight="14.5" x14ac:dyDescent="0.35"/>
  <cols>
    <col min="1" max="2" width="7.453125" customWidth="1"/>
    <col min="3" max="5" width="5.54296875" customWidth="1"/>
    <col min="6" max="6" width="6.6328125" style="30" customWidth="1"/>
    <col min="7" max="8" width="4.54296875" style="34" customWidth="1"/>
    <col min="9" max="9" width="7.1796875" customWidth="1"/>
    <col min="10" max="10" width="6.54296875" customWidth="1"/>
    <col min="11" max="12" width="6.54296875" hidden="1" customWidth="1"/>
    <col min="13" max="13" width="5.54296875" customWidth="1"/>
    <col min="14" max="15" width="7.453125" customWidth="1"/>
    <col min="16" max="16" width="2.7265625" customWidth="1"/>
    <col min="17" max="17" width="4.90625" customWidth="1"/>
    <col min="18" max="18" width="8.1796875" customWidth="1"/>
    <col min="19" max="19" width="6.81640625" customWidth="1"/>
    <col min="20" max="20" width="5" style="56" customWidth="1"/>
    <col min="21" max="21" width="5.36328125" style="13" customWidth="1"/>
    <col min="22" max="22" width="6.26953125" customWidth="1"/>
    <col min="23" max="23" width="8" customWidth="1"/>
    <col min="24" max="25" width="8.81640625" customWidth="1"/>
    <col min="26" max="26" width="4.453125" customWidth="1"/>
    <col min="27" max="27" width="5.7265625" customWidth="1"/>
    <col min="28" max="31" width="8.81640625" customWidth="1"/>
  </cols>
  <sheetData>
    <row r="1" spans="1:41" ht="18.5" x14ac:dyDescent="0.45">
      <c r="C1" s="71" t="s">
        <v>0</v>
      </c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6"/>
      <c r="Q1" s="6"/>
      <c r="R1" s="72" t="s">
        <v>1</v>
      </c>
      <c r="S1" s="72"/>
      <c r="T1" s="72"/>
      <c r="U1" s="72"/>
      <c r="V1" s="72"/>
      <c r="W1" s="72"/>
      <c r="X1" s="72"/>
      <c r="Y1" s="72"/>
      <c r="AB1" s="73" t="s">
        <v>2</v>
      </c>
      <c r="AC1" s="73"/>
      <c r="AD1" s="73"/>
      <c r="AE1" s="73"/>
      <c r="AG1" t="s">
        <v>3</v>
      </c>
      <c r="AH1" t="s">
        <v>4</v>
      </c>
      <c r="AI1" t="s">
        <v>5</v>
      </c>
      <c r="AJ1" t="s">
        <v>6</v>
      </c>
      <c r="AK1" t="s">
        <v>7</v>
      </c>
      <c r="AL1" t="s">
        <v>8</v>
      </c>
      <c r="AM1" t="s">
        <v>9</v>
      </c>
      <c r="AN1" t="s">
        <v>10</v>
      </c>
      <c r="AO1" t="s">
        <v>11</v>
      </c>
    </row>
    <row r="2" spans="1:41" x14ac:dyDescent="0.35">
      <c r="J2" s="7">
        <v>4.2999999999999997E-2</v>
      </c>
      <c r="K2" s="7"/>
      <c r="L2" s="7"/>
      <c r="R2" s="7">
        <v>8.3000000000000004E-2</v>
      </c>
      <c r="S2" s="7"/>
      <c r="V2" s="7"/>
      <c r="W2" s="7"/>
      <c r="AB2" s="7">
        <v>0.15</v>
      </c>
      <c r="AC2" s="7"/>
    </row>
    <row r="3" spans="1:41" ht="32.5" customHeight="1" x14ac:dyDescent="0.35">
      <c r="A3" t="s">
        <v>382</v>
      </c>
      <c r="B3" t="s">
        <v>352</v>
      </c>
      <c r="C3" t="s">
        <v>12</v>
      </c>
      <c r="D3" t="s">
        <v>13</v>
      </c>
      <c r="E3" t="s">
        <v>14</v>
      </c>
      <c r="F3" s="30" t="s">
        <v>383</v>
      </c>
      <c r="G3" s="34" t="s">
        <v>13</v>
      </c>
      <c r="I3" s="8" t="s">
        <v>15</v>
      </c>
      <c r="J3" s="8" t="s">
        <v>16</v>
      </c>
      <c r="K3" s="8" t="s">
        <v>484</v>
      </c>
      <c r="L3" s="8" t="s">
        <v>652</v>
      </c>
      <c r="M3" s="8" t="s">
        <v>17</v>
      </c>
      <c r="N3" s="8" t="s">
        <v>18</v>
      </c>
      <c r="O3" s="8" t="s">
        <v>19</v>
      </c>
      <c r="P3" s="8"/>
      <c r="Q3" s="8" t="s">
        <v>396</v>
      </c>
      <c r="R3" s="8" t="s">
        <v>20</v>
      </c>
      <c r="S3" s="8" t="s">
        <v>484</v>
      </c>
      <c r="T3" s="57" t="s">
        <v>13</v>
      </c>
      <c r="U3" s="55" t="s">
        <v>14</v>
      </c>
      <c r="V3" s="8" t="s">
        <v>652</v>
      </c>
      <c r="W3" s="8" t="s">
        <v>21</v>
      </c>
      <c r="X3" s="8" t="s">
        <v>653</v>
      </c>
      <c r="Y3" s="8" t="s">
        <v>654</v>
      </c>
      <c r="Z3" s="8" t="s">
        <v>659</v>
      </c>
      <c r="AA3" s="8" t="s">
        <v>660</v>
      </c>
      <c r="AB3" s="8" t="s">
        <v>655</v>
      </c>
      <c r="AC3" s="8" t="s">
        <v>656</v>
      </c>
      <c r="AD3" s="8" t="s">
        <v>657</v>
      </c>
      <c r="AE3" s="8" t="s">
        <v>658</v>
      </c>
    </row>
    <row r="4" spans="1:41" x14ac:dyDescent="0.35">
      <c r="A4" t="s">
        <v>22</v>
      </c>
      <c r="C4">
        <v>3.36</v>
      </c>
      <c r="D4">
        <v>1</v>
      </c>
      <c r="E4" s="9">
        <f>+C4/D4</f>
        <v>3.36</v>
      </c>
      <c r="F4" s="31">
        <v>381.98</v>
      </c>
      <c r="G4" s="35"/>
      <c r="H4" s="35"/>
      <c r="I4">
        <f>+SUM(I5:I10)</f>
        <v>240</v>
      </c>
      <c r="J4" s="10">
        <f>+I4*$J$2</f>
        <v>10.319999999999999</v>
      </c>
      <c r="K4" s="10"/>
      <c r="L4" s="10"/>
      <c r="M4">
        <f>+I4/12</f>
        <v>20</v>
      </c>
      <c r="N4" s="11">
        <f>+J4-C4</f>
        <v>6.9599999999999991</v>
      </c>
      <c r="O4" s="12">
        <f>+M4-C4</f>
        <v>16.64</v>
      </c>
      <c r="P4" s="11"/>
      <c r="Q4" s="11"/>
      <c r="R4" s="13">
        <f>+I4*$R$2</f>
        <v>19.920000000000002</v>
      </c>
      <c r="S4" s="13">
        <f>+SUM(S5:S10)</f>
        <v>6.37</v>
      </c>
      <c r="T4" s="56">
        <v>3</v>
      </c>
      <c r="U4" s="13">
        <f>+S4/T4</f>
        <v>2.1233333333333335</v>
      </c>
      <c r="V4" s="13">
        <f>+S4+C4</f>
        <v>9.73</v>
      </c>
      <c r="W4" s="13">
        <f>+I4/6</f>
        <v>40</v>
      </c>
      <c r="X4" s="49">
        <f>+R4-V4</f>
        <v>10.190000000000001</v>
      </c>
      <c r="Y4" s="14">
        <f>+W4-V4</f>
        <v>30.27</v>
      </c>
      <c r="AA4" s="48">
        <f>+Z4+V4</f>
        <v>9.73</v>
      </c>
      <c r="AB4" s="13">
        <f>+I4*$AB$2</f>
        <v>36</v>
      </c>
      <c r="AC4" s="13">
        <f>+I4/4</f>
        <v>60</v>
      </c>
      <c r="AD4" s="11">
        <f>+AB4-AA4</f>
        <v>26.27</v>
      </c>
      <c r="AE4" s="12">
        <f>+AC4-AA4</f>
        <v>50.269999999999996</v>
      </c>
    </row>
    <row r="5" spans="1:41" s="16" customFormat="1" x14ac:dyDescent="0.35">
      <c r="A5" s="15" t="s">
        <v>22</v>
      </c>
      <c r="B5" s="15" t="s">
        <v>23</v>
      </c>
      <c r="C5" s="16">
        <v>0</v>
      </c>
      <c r="E5" s="17"/>
      <c r="F5" s="32">
        <v>33.020000000000003</v>
      </c>
      <c r="G5" s="36">
        <v>7</v>
      </c>
      <c r="H5" s="36"/>
      <c r="I5" s="16">
        <v>70</v>
      </c>
      <c r="J5" s="16">
        <f>+J$2*$I5</f>
        <v>3.01</v>
      </c>
      <c r="K5" s="16">
        <v>0</v>
      </c>
      <c r="N5" s="18"/>
      <c r="O5" s="19"/>
      <c r="P5" s="18"/>
      <c r="Q5" s="18"/>
      <c r="R5" s="16">
        <f>+R$2*$I5</f>
        <v>5.8100000000000005</v>
      </c>
      <c r="T5" s="58"/>
      <c r="U5" s="20"/>
      <c r="V5" s="13">
        <f>+S5+C5</f>
        <v>0</v>
      </c>
      <c r="W5" s="20">
        <f t="shared" ref="W5:W18" si="0">+I5/12*2</f>
        <v>11.666666666666666</v>
      </c>
      <c r="X5" s="50">
        <f>+R5-V5</f>
        <v>5.8100000000000005</v>
      </c>
      <c r="Y5" s="47">
        <f>+W5-V5</f>
        <v>11.666666666666666</v>
      </c>
      <c r="AA5" s="48">
        <f t="shared" ref="AA5:AA36" si="1">+Z5+V5</f>
        <v>0</v>
      </c>
      <c r="AB5" s="16">
        <v>11</v>
      </c>
      <c r="AC5" s="20">
        <f>+I5/4</f>
        <v>17.5</v>
      </c>
      <c r="AD5" s="68">
        <f>+AB5-AA5</f>
        <v>11</v>
      </c>
      <c r="AE5" s="19">
        <f>+AC5-AA5</f>
        <v>17.5</v>
      </c>
      <c r="AF5" s="20" t="s">
        <v>664</v>
      </c>
    </row>
    <row r="6" spans="1:41" s="16" customFormat="1" x14ac:dyDescent="0.35">
      <c r="A6" s="15" t="s">
        <v>22</v>
      </c>
      <c r="B6" s="15" t="s">
        <v>24</v>
      </c>
      <c r="C6" s="16">
        <v>0</v>
      </c>
      <c r="E6" s="17"/>
      <c r="F6" s="32">
        <v>155.893</v>
      </c>
      <c r="G6" s="36">
        <v>13</v>
      </c>
      <c r="H6" s="36"/>
      <c r="I6" s="16">
        <v>70</v>
      </c>
      <c r="J6" s="16">
        <f t="shared" ref="J6:J10" si="2">+J$2*$I6</f>
        <v>3.01</v>
      </c>
      <c r="K6" s="16">
        <v>0</v>
      </c>
      <c r="N6" s="18"/>
      <c r="O6" s="19"/>
      <c r="P6" s="18"/>
      <c r="Q6" s="18"/>
      <c r="R6" s="16">
        <f t="shared" ref="R6:R10" si="3">+R$2*$I6</f>
        <v>5.8100000000000005</v>
      </c>
      <c r="T6" s="58"/>
      <c r="U6" s="20"/>
      <c r="V6" s="13">
        <f>+S6+C6</f>
        <v>0</v>
      </c>
      <c r="W6" s="20">
        <f t="shared" si="0"/>
        <v>11.666666666666666</v>
      </c>
      <c r="X6" s="50">
        <f t="shared" ref="X6:X36" si="4">+R6-V6</f>
        <v>5.8100000000000005</v>
      </c>
      <c r="Y6" s="47">
        <f t="shared" ref="Y6:Y36" si="5">+W6-V6</f>
        <v>11.666666666666666</v>
      </c>
      <c r="AA6" s="48">
        <f t="shared" si="1"/>
        <v>0</v>
      </c>
      <c r="AB6" s="16">
        <v>11</v>
      </c>
      <c r="AC6" s="20">
        <f t="shared" ref="AC6:AC18" si="6">+I6/4</f>
        <v>17.5</v>
      </c>
      <c r="AD6" s="68">
        <f t="shared" ref="AD6:AD10" si="7">+AB6-AA6</f>
        <v>11</v>
      </c>
      <c r="AE6" s="19">
        <f t="shared" ref="AE6:AE10" si="8">+AC6-AA6</f>
        <v>17.5</v>
      </c>
      <c r="AF6" s="20" t="s">
        <v>665</v>
      </c>
    </row>
    <row r="7" spans="1:41" s="16" customFormat="1" x14ac:dyDescent="0.35">
      <c r="A7" s="15" t="s">
        <v>22</v>
      </c>
      <c r="B7" s="15" t="s">
        <v>25</v>
      </c>
      <c r="C7" s="16">
        <f>+C4</f>
        <v>3.36</v>
      </c>
      <c r="D7" s="16">
        <v>1</v>
      </c>
      <c r="E7" s="17">
        <f>+C7/D7</f>
        <v>3.36</v>
      </c>
      <c r="F7" s="32">
        <v>78.034000000000006</v>
      </c>
      <c r="G7" s="36">
        <v>9</v>
      </c>
      <c r="H7" s="36"/>
      <c r="I7" s="16">
        <v>40</v>
      </c>
      <c r="J7" s="16">
        <f t="shared" si="2"/>
        <v>1.7199999999999998</v>
      </c>
      <c r="N7" s="18"/>
      <c r="O7" s="19"/>
      <c r="P7" s="18"/>
      <c r="Q7" s="18"/>
      <c r="R7" s="16">
        <f t="shared" si="3"/>
        <v>3.3200000000000003</v>
      </c>
      <c r="S7" s="16">
        <v>6.37</v>
      </c>
      <c r="T7" s="58">
        <v>3</v>
      </c>
      <c r="U7" s="20">
        <f>+S7/T7</f>
        <v>2.1233333333333335</v>
      </c>
      <c r="V7" s="13">
        <f>+S7+C7</f>
        <v>9.73</v>
      </c>
      <c r="W7" s="20">
        <f t="shared" si="0"/>
        <v>6.666666666666667</v>
      </c>
      <c r="X7" s="54">
        <f t="shared" si="4"/>
        <v>-6.41</v>
      </c>
      <c r="Y7" s="47">
        <f t="shared" si="5"/>
        <v>-3.0633333333333335</v>
      </c>
      <c r="AA7" s="48">
        <f t="shared" si="1"/>
        <v>9.73</v>
      </c>
      <c r="AB7" s="16">
        <f t="shared" ref="AB7:AB10" si="9">+AB$2*$I7</f>
        <v>6</v>
      </c>
      <c r="AC7" s="20">
        <f t="shared" si="6"/>
        <v>10</v>
      </c>
      <c r="AD7" s="67">
        <f t="shared" si="7"/>
        <v>-3.7300000000000004</v>
      </c>
      <c r="AE7" s="19">
        <f t="shared" si="8"/>
        <v>0.26999999999999957</v>
      </c>
      <c r="AF7" s="20" t="s">
        <v>666</v>
      </c>
    </row>
    <row r="8" spans="1:41" s="16" customFormat="1" x14ac:dyDescent="0.35">
      <c r="A8" s="15" t="s">
        <v>22</v>
      </c>
      <c r="B8" s="15" t="s">
        <v>26</v>
      </c>
      <c r="C8" s="16">
        <v>0</v>
      </c>
      <c r="E8" s="17"/>
      <c r="F8" s="32">
        <v>55.332000000000001</v>
      </c>
      <c r="G8" s="36">
        <v>6</v>
      </c>
      <c r="H8" s="36"/>
      <c r="I8" s="16">
        <v>20</v>
      </c>
      <c r="J8" s="16">
        <f t="shared" si="2"/>
        <v>0.85999999999999988</v>
      </c>
      <c r="N8" s="18"/>
      <c r="O8" s="19"/>
      <c r="P8" s="18"/>
      <c r="Q8" s="18"/>
      <c r="R8" s="16">
        <f t="shared" si="3"/>
        <v>1.6600000000000001</v>
      </c>
      <c r="T8" s="58"/>
      <c r="U8" s="20"/>
      <c r="V8" s="13">
        <f t="shared" ref="V8:V10" si="10">+S8+C8</f>
        <v>0</v>
      </c>
      <c r="W8" s="20">
        <f t="shared" si="0"/>
        <v>3.3333333333333335</v>
      </c>
      <c r="X8" s="50">
        <f t="shared" si="4"/>
        <v>1.6600000000000001</v>
      </c>
      <c r="Y8" s="47">
        <f t="shared" si="5"/>
        <v>3.3333333333333335</v>
      </c>
      <c r="AA8" s="48">
        <f t="shared" si="1"/>
        <v>0</v>
      </c>
      <c r="AB8" s="16">
        <f t="shared" si="9"/>
        <v>3</v>
      </c>
      <c r="AC8" s="20">
        <f t="shared" si="6"/>
        <v>5</v>
      </c>
      <c r="AD8" s="68">
        <f t="shared" si="7"/>
        <v>3</v>
      </c>
      <c r="AE8" s="19">
        <f t="shared" si="8"/>
        <v>5</v>
      </c>
    </row>
    <row r="9" spans="1:41" s="16" customFormat="1" x14ac:dyDescent="0.35">
      <c r="A9" s="15" t="s">
        <v>22</v>
      </c>
      <c r="B9" s="15" t="s">
        <v>27</v>
      </c>
      <c r="C9" s="16">
        <v>0</v>
      </c>
      <c r="E9" s="17"/>
      <c r="F9" s="32">
        <v>39.664999999999999</v>
      </c>
      <c r="G9" s="36">
        <v>4</v>
      </c>
      <c r="H9" s="36"/>
      <c r="I9" s="16">
        <v>30</v>
      </c>
      <c r="J9" s="16">
        <f t="shared" si="2"/>
        <v>1.2899999999999998</v>
      </c>
      <c r="K9" s="16">
        <v>0</v>
      </c>
      <c r="N9" s="18"/>
      <c r="O9" s="19"/>
      <c r="P9" s="18"/>
      <c r="Q9" s="18"/>
      <c r="R9" s="16">
        <f t="shared" si="3"/>
        <v>2.4900000000000002</v>
      </c>
      <c r="T9" s="58"/>
      <c r="U9" s="20"/>
      <c r="V9" s="13">
        <f t="shared" si="10"/>
        <v>0</v>
      </c>
      <c r="W9" s="20">
        <f t="shared" si="0"/>
        <v>5</v>
      </c>
      <c r="X9" s="50">
        <f t="shared" si="4"/>
        <v>2.4900000000000002</v>
      </c>
      <c r="Y9" s="47">
        <f t="shared" si="5"/>
        <v>5</v>
      </c>
      <c r="AA9" s="48">
        <f t="shared" si="1"/>
        <v>0</v>
      </c>
      <c r="AB9" s="16">
        <f t="shared" si="9"/>
        <v>4.5</v>
      </c>
      <c r="AC9" s="20">
        <f t="shared" si="6"/>
        <v>7.5</v>
      </c>
      <c r="AD9" s="68">
        <f t="shared" si="7"/>
        <v>4.5</v>
      </c>
      <c r="AE9" s="19">
        <f t="shared" si="8"/>
        <v>7.5</v>
      </c>
    </row>
    <row r="10" spans="1:41" s="16" customFormat="1" x14ac:dyDescent="0.35">
      <c r="A10" s="15" t="s">
        <v>22</v>
      </c>
      <c r="B10" s="15" t="s">
        <v>361</v>
      </c>
      <c r="C10" s="16">
        <v>0</v>
      </c>
      <c r="E10" s="17"/>
      <c r="F10" s="32">
        <v>0</v>
      </c>
      <c r="G10" s="36"/>
      <c r="H10" s="36"/>
      <c r="I10" s="16">
        <v>10</v>
      </c>
      <c r="J10" s="16">
        <f t="shared" si="2"/>
        <v>0.42999999999999994</v>
      </c>
      <c r="N10" s="18"/>
      <c r="O10" s="19"/>
      <c r="P10" s="18"/>
      <c r="Q10" s="18"/>
      <c r="R10" s="16">
        <f t="shared" si="3"/>
        <v>0.83000000000000007</v>
      </c>
      <c r="T10" s="58"/>
      <c r="U10" s="20"/>
      <c r="V10" s="13">
        <f t="shared" si="10"/>
        <v>0</v>
      </c>
      <c r="W10" s="20">
        <f t="shared" si="0"/>
        <v>1.6666666666666667</v>
      </c>
      <c r="X10" s="50">
        <f t="shared" si="4"/>
        <v>0.83000000000000007</v>
      </c>
      <c r="Y10" s="47">
        <f t="shared" si="5"/>
        <v>1.6666666666666667</v>
      </c>
      <c r="AA10" s="48">
        <f t="shared" si="1"/>
        <v>0</v>
      </c>
      <c r="AB10" s="16">
        <f t="shared" si="9"/>
        <v>1.5</v>
      </c>
      <c r="AC10" s="20">
        <f t="shared" si="6"/>
        <v>2.5</v>
      </c>
      <c r="AD10" s="68">
        <f t="shared" si="7"/>
        <v>1.5</v>
      </c>
      <c r="AE10" s="19">
        <f t="shared" si="8"/>
        <v>2.5</v>
      </c>
    </row>
    <row r="11" spans="1:41" x14ac:dyDescent="0.35">
      <c r="A11" t="s">
        <v>28</v>
      </c>
      <c r="C11">
        <v>4.41</v>
      </c>
      <c r="D11">
        <v>3</v>
      </c>
      <c r="E11" s="9">
        <f>+C11/D11</f>
        <v>1.47</v>
      </c>
      <c r="F11" s="31">
        <v>316.00900000000001</v>
      </c>
      <c r="G11" s="35"/>
      <c r="H11" s="35"/>
      <c r="I11">
        <f>+SUM(I12:I18)</f>
        <v>295</v>
      </c>
      <c r="J11" s="10">
        <f>+I11*$J$2</f>
        <v>12.684999999999999</v>
      </c>
      <c r="K11" s="10"/>
      <c r="L11" s="10"/>
      <c r="M11">
        <f>+I11/12</f>
        <v>24.583333333333332</v>
      </c>
      <c r="N11" s="11">
        <f>+J11-C11</f>
        <v>8.2749999999999986</v>
      </c>
      <c r="O11" s="12">
        <f>+M11-C11</f>
        <v>20.173333333333332</v>
      </c>
      <c r="P11" s="11"/>
      <c r="Q11" s="11"/>
      <c r="R11" s="13">
        <f>+I11*$R$2</f>
        <v>24.485000000000003</v>
      </c>
      <c r="S11" s="13">
        <f>+SUM(S12:S18)</f>
        <v>9.3209999999999997</v>
      </c>
      <c r="T11" s="56">
        <v>4</v>
      </c>
      <c r="U11" s="13">
        <f>+S11/T11</f>
        <v>2.3302499999999999</v>
      </c>
      <c r="V11" s="13">
        <f>+S11+C11</f>
        <v>13.731</v>
      </c>
      <c r="W11" s="13">
        <f>+I11/6</f>
        <v>49.166666666666664</v>
      </c>
      <c r="X11" s="49">
        <f>+R11-C11</f>
        <v>20.075000000000003</v>
      </c>
      <c r="Y11" s="14">
        <f>+W11-C11</f>
        <v>44.756666666666661</v>
      </c>
      <c r="AA11" s="48">
        <f t="shared" si="1"/>
        <v>13.731</v>
      </c>
      <c r="AB11" s="13">
        <f>+I11*$AB$2</f>
        <v>44.25</v>
      </c>
      <c r="AC11" s="13">
        <f>+I11/4</f>
        <v>73.75</v>
      </c>
      <c r="AD11" s="11">
        <f>+AB11-C11</f>
        <v>39.840000000000003</v>
      </c>
      <c r="AE11" s="12">
        <f>+AC11-C11</f>
        <v>69.34</v>
      </c>
    </row>
    <row r="12" spans="1:41" s="16" customFormat="1" x14ac:dyDescent="0.35">
      <c r="A12" s="15" t="s">
        <v>28</v>
      </c>
      <c r="B12" s="15" t="s">
        <v>29</v>
      </c>
      <c r="C12" s="16">
        <v>3.29</v>
      </c>
      <c r="D12" s="16">
        <v>2</v>
      </c>
      <c r="E12" s="17">
        <f>+C12/D12</f>
        <v>1.645</v>
      </c>
      <c r="F12" s="32">
        <v>109.4</v>
      </c>
      <c r="G12" s="36">
        <v>17</v>
      </c>
      <c r="H12" s="36">
        <v>10</v>
      </c>
      <c r="I12" s="16">
        <v>70</v>
      </c>
      <c r="J12" s="16">
        <f t="shared" ref="J12:J18" si="11">+J$2*$I12</f>
        <v>3.01</v>
      </c>
      <c r="N12" s="18"/>
      <c r="O12" s="19"/>
      <c r="P12" s="18"/>
      <c r="Q12" s="18"/>
      <c r="R12" s="16">
        <f t="shared" ref="R12:R18" si="12">+R$2*$I12</f>
        <v>5.8100000000000005</v>
      </c>
      <c r="S12" s="16">
        <v>0.15</v>
      </c>
      <c r="T12" s="58">
        <v>1</v>
      </c>
      <c r="U12" s="20">
        <f>+S12/T12</f>
        <v>0.15</v>
      </c>
      <c r="V12" s="13">
        <f>+S12+C12</f>
        <v>3.44</v>
      </c>
      <c r="W12" s="20">
        <f t="shared" si="0"/>
        <v>11.666666666666666</v>
      </c>
      <c r="X12" s="51">
        <f t="shared" si="4"/>
        <v>2.3700000000000006</v>
      </c>
      <c r="Y12" s="47">
        <f t="shared" si="5"/>
        <v>8.2266666666666666</v>
      </c>
      <c r="AA12" s="69">
        <f t="shared" si="1"/>
        <v>3.44</v>
      </c>
      <c r="AB12" s="16">
        <f t="shared" ref="AB12:AB18" si="13">+AB$2*$I12</f>
        <v>10.5</v>
      </c>
      <c r="AC12" s="20">
        <f t="shared" si="6"/>
        <v>17.5</v>
      </c>
      <c r="AD12" s="70">
        <f t="shared" ref="AD12:AD18" si="14">+AB12-AA12</f>
        <v>7.0600000000000005</v>
      </c>
      <c r="AE12" s="19">
        <f t="shared" ref="AE12:AE18" si="15">+AC12-AA12</f>
        <v>14.06</v>
      </c>
      <c r="AF12" s="20" t="s">
        <v>587</v>
      </c>
    </row>
    <row r="13" spans="1:41" s="16" customFormat="1" x14ac:dyDescent="0.35">
      <c r="A13" s="15" t="s">
        <v>28</v>
      </c>
      <c r="B13" s="15" t="s">
        <v>30</v>
      </c>
      <c r="C13" s="16">
        <v>0</v>
      </c>
      <c r="E13" s="17"/>
      <c r="F13" s="32">
        <v>74.695999999999998</v>
      </c>
      <c r="G13" s="36">
        <v>6</v>
      </c>
      <c r="H13" s="36">
        <v>10</v>
      </c>
      <c r="I13" s="16">
        <v>20</v>
      </c>
      <c r="J13" s="16">
        <f t="shared" si="11"/>
        <v>0.85999999999999988</v>
      </c>
      <c r="N13" s="18"/>
      <c r="O13" s="19"/>
      <c r="P13" s="18"/>
      <c r="Q13" s="18"/>
      <c r="R13" s="16">
        <f t="shared" si="12"/>
        <v>1.6600000000000001</v>
      </c>
      <c r="S13" s="16">
        <v>4.6509999999999998</v>
      </c>
      <c r="T13" s="58">
        <v>1</v>
      </c>
      <c r="U13" s="20">
        <f>+S13/T13</f>
        <v>4.6509999999999998</v>
      </c>
      <c r="V13" s="13">
        <f t="shared" ref="V13:V18" si="16">+S13+C13</f>
        <v>4.6509999999999998</v>
      </c>
      <c r="W13" s="20">
        <f t="shared" si="0"/>
        <v>3.3333333333333335</v>
      </c>
      <c r="X13" s="52">
        <f t="shared" si="4"/>
        <v>-2.9909999999999997</v>
      </c>
      <c r="Y13" s="47">
        <f t="shared" si="5"/>
        <v>-1.3176666666666663</v>
      </c>
      <c r="AA13" s="48">
        <f t="shared" si="1"/>
        <v>4.6509999999999998</v>
      </c>
      <c r="AB13" s="16">
        <f t="shared" si="13"/>
        <v>3</v>
      </c>
      <c r="AC13" s="20">
        <f t="shared" si="6"/>
        <v>5</v>
      </c>
      <c r="AD13" s="67">
        <f t="shared" si="14"/>
        <v>-1.6509999999999998</v>
      </c>
      <c r="AE13" s="19">
        <f t="shared" si="15"/>
        <v>0.3490000000000002</v>
      </c>
      <c r="AF13" s="20" t="s">
        <v>586</v>
      </c>
    </row>
    <row r="14" spans="1:41" s="16" customFormat="1" x14ac:dyDescent="0.35">
      <c r="A14" s="15" t="s">
        <v>28</v>
      </c>
      <c r="B14" s="15" t="s">
        <v>31</v>
      </c>
      <c r="C14" s="16">
        <v>0</v>
      </c>
      <c r="E14" s="17"/>
      <c r="F14" s="32">
        <v>39.466999999999999</v>
      </c>
      <c r="G14" s="36">
        <v>9</v>
      </c>
      <c r="H14" s="36">
        <v>10</v>
      </c>
      <c r="I14" s="16">
        <v>70</v>
      </c>
      <c r="J14" s="16">
        <f t="shared" si="11"/>
        <v>3.01</v>
      </c>
      <c r="N14" s="18"/>
      <c r="O14" s="19"/>
      <c r="P14" s="18"/>
      <c r="Q14" s="18"/>
      <c r="R14" s="16">
        <f t="shared" si="12"/>
        <v>5.8100000000000005</v>
      </c>
      <c r="T14" s="58"/>
      <c r="U14" s="20"/>
      <c r="V14" s="13">
        <f t="shared" si="16"/>
        <v>0</v>
      </c>
      <c r="W14" s="20">
        <f t="shared" si="0"/>
        <v>11.666666666666666</v>
      </c>
      <c r="X14" s="51">
        <f t="shared" si="4"/>
        <v>5.8100000000000005</v>
      </c>
      <c r="Y14" s="47">
        <f t="shared" si="5"/>
        <v>11.666666666666666</v>
      </c>
      <c r="AA14" s="48">
        <f t="shared" si="1"/>
        <v>0</v>
      </c>
      <c r="AB14" s="16">
        <f t="shared" si="13"/>
        <v>10.5</v>
      </c>
      <c r="AC14" s="20">
        <f t="shared" si="6"/>
        <v>17.5</v>
      </c>
      <c r="AD14" s="68">
        <f t="shared" si="14"/>
        <v>10.5</v>
      </c>
      <c r="AE14" s="19">
        <f t="shared" si="15"/>
        <v>17.5</v>
      </c>
      <c r="AF14" s="20" t="s">
        <v>585</v>
      </c>
    </row>
    <row r="15" spans="1:41" s="16" customFormat="1" x14ac:dyDescent="0.35">
      <c r="A15" s="15" t="s">
        <v>28</v>
      </c>
      <c r="B15" s="15" t="s">
        <v>32</v>
      </c>
      <c r="C15" s="16">
        <v>1.47</v>
      </c>
      <c r="D15" s="16">
        <v>2</v>
      </c>
      <c r="E15" s="17">
        <f>+C15/D15</f>
        <v>0.73499999999999999</v>
      </c>
      <c r="F15" s="32">
        <v>54.241999999999997</v>
      </c>
      <c r="G15" s="36">
        <v>7</v>
      </c>
      <c r="H15" s="36">
        <v>15</v>
      </c>
      <c r="I15" s="16">
        <v>105</v>
      </c>
      <c r="J15" s="16">
        <f t="shared" si="11"/>
        <v>4.5149999999999997</v>
      </c>
      <c r="N15" s="18"/>
      <c r="O15" s="19"/>
      <c r="P15" s="18"/>
      <c r="Q15" s="18"/>
      <c r="R15" s="16">
        <f t="shared" si="12"/>
        <v>8.7149999999999999</v>
      </c>
      <c r="S15" s="16">
        <v>4.5199999999999996</v>
      </c>
      <c r="T15" s="58">
        <v>2</v>
      </c>
      <c r="U15" s="20">
        <f>+S15/T15</f>
        <v>2.2599999999999998</v>
      </c>
      <c r="V15" s="13">
        <f t="shared" si="16"/>
        <v>5.9899999999999993</v>
      </c>
      <c r="W15" s="20">
        <f t="shared" si="0"/>
        <v>17.5</v>
      </c>
      <c r="X15" s="51">
        <f t="shared" si="4"/>
        <v>2.7250000000000005</v>
      </c>
      <c r="Y15" s="47">
        <f t="shared" si="5"/>
        <v>11.510000000000002</v>
      </c>
      <c r="AA15" s="69">
        <f t="shared" si="1"/>
        <v>5.9899999999999993</v>
      </c>
      <c r="AB15" s="16">
        <f t="shared" si="13"/>
        <v>15.75</v>
      </c>
      <c r="AC15" s="20">
        <f t="shared" si="6"/>
        <v>26.25</v>
      </c>
      <c r="AD15" s="70">
        <f t="shared" si="14"/>
        <v>9.7600000000000016</v>
      </c>
      <c r="AE15" s="19">
        <f t="shared" si="15"/>
        <v>20.260000000000002</v>
      </c>
      <c r="AF15" s="20" t="s">
        <v>584</v>
      </c>
    </row>
    <row r="16" spans="1:41" s="16" customFormat="1" x14ac:dyDescent="0.35">
      <c r="A16" s="15" t="s">
        <v>28</v>
      </c>
      <c r="B16" s="15" t="s">
        <v>25</v>
      </c>
      <c r="C16" s="16">
        <v>0</v>
      </c>
      <c r="E16" s="17"/>
      <c r="F16" s="32">
        <v>18.079999999999998</v>
      </c>
      <c r="G16" s="36">
        <v>3</v>
      </c>
      <c r="H16" s="36">
        <v>10</v>
      </c>
      <c r="I16" s="16">
        <v>10</v>
      </c>
      <c r="J16" s="16">
        <f t="shared" si="11"/>
        <v>0.42999999999999994</v>
      </c>
      <c r="N16" s="18"/>
      <c r="O16" s="19"/>
      <c r="P16" s="18"/>
      <c r="Q16" s="18"/>
      <c r="R16" s="16">
        <f t="shared" si="12"/>
        <v>0.83000000000000007</v>
      </c>
      <c r="T16" s="58"/>
      <c r="U16" s="20"/>
      <c r="V16" s="13">
        <f t="shared" si="16"/>
        <v>0</v>
      </c>
      <c r="W16" s="20">
        <f t="shared" si="0"/>
        <v>1.6666666666666667</v>
      </c>
      <c r="X16" s="51">
        <f t="shared" si="4"/>
        <v>0.83000000000000007</v>
      </c>
      <c r="Y16" s="47">
        <f t="shared" si="5"/>
        <v>1.6666666666666667</v>
      </c>
      <c r="AA16" s="48">
        <f t="shared" si="1"/>
        <v>0</v>
      </c>
      <c r="AB16" s="16">
        <f t="shared" si="13"/>
        <v>1.5</v>
      </c>
      <c r="AC16" s="20">
        <f t="shared" si="6"/>
        <v>2.5</v>
      </c>
      <c r="AD16" s="68">
        <f t="shared" si="14"/>
        <v>1.5</v>
      </c>
      <c r="AE16" s="19">
        <f t="shared" si="15"/>
        <v>2.5</v>
      </c>
      <c r="AF16" s="20" t="s">
        <v>40</v>
      </c>
    </row>
    <row r="17" spans="1:32" s="16" customFormat="1" x14ac:dyDescent="0.35">
      <c r="A17" s="15" t="s">
        <v>28</v>
      </c>
      <c r="B17" s="15" t="s">
        <v>33</v>
      </c>
      <c r="C17" s="16">
        <v>0</v>
      </c>
      <c r="E17" s="17"/>
      <c r="F17" s="32">
        <v>20</v>
      </c>
      <c r="G17" s="36">
        <v>2</v>
      </c>
      <c r="H17" s="36">
        <v>10</v>
      </c>
      <c r="I17" s="16">
        <v>10</v>
      </c>
      <c r="J17" s="16">
        <f t="shared" si="11"/>
        <v>0.42999999999999994</v>
      </c>
      <c r="N17" s="18"/>
      <c r="O17" s="19"/>
      <c r="P17" s="18"/>
      <c r="Q17" s="18"/>
      <c r="R17" s="16">
        <f t="shared" si="12"/>
        <v>0.83000000000000007</v>
      </c>
      <c r="T17" s="58"/>
      <c r="U17" s="20"/>
      <c r="V17" s="13">
        <f t="shared" si="16"/>
        <v>0</v>
      </c>
      <c r="W17" s="20">
        <f t="shared" si="0"/>
        <v>1.6666666666666667</v>
      </c>
      <c r="X17" s="51">
        <f t="shared" si="4"/>
        <v>0.83000000000000007</v>
      </c>
      <c r="Y17" s="47">
        <f t="shared" si="5"/>
        <v>1.6666666666666667</v>
      </c>
      <c r="AA17" s="48">
        <f t="shared" si="1"/>
        <v>0</v>
      </c>
      <c r="AB17" s="16">
        <f t="shared" si="13"/>
        <v>1.5</v>
      </c>
      <c r="AC17" s="20">
        <f t="shared" si="6"/>
        <v>2.5</v>
      </c>
      <c r="AD17" s="68">
        <f t="shared" si="14"/>
        <v>1.5</v>
      </c>
      <c r="AE17" s="19">
        <f t="shared" si="15"/>
        <v>2.5</v>
      </c>
      <c r="AF17" s="20" t="s">
        <v>588</v>
      </c>
    </row>
    <row r="18" spans="1:32" s="16" customFormat="1" x14ac:dyDescent="0.35">
      <c r="A18" s="15" t="s">
        <v>28</v>
      </c>
      <c r="B18" s="15" t="s">
        <v>361</v>
      </c>
      <c r="C18" s="16">
        <v>0</v>
      </c>
      <c r="E18" s="17"/>
      <c r="F18" s="32"/>
      <c r="G18" s="36"/>
      <c r="H18" s="36"/>
      <c r="I18" s="16">
        <v>10</v>
      </c>
      <c r="J18" s="16">
        <f t="shared" si="11"/>
        <v>0.42999999999999994</v>
      </c>
      <c r="N18" s="18"/>
      <c r="O18" s="19"/>
      <c r="P18" s="18"/>
      <c r="Q18" s="18"/>
      <c r="R18" s="16">
        <f t="shared" si="12"/>
        <v>0.83000000000000007</v>
      </c>
      <c r="T18" s="58"/>
      <c r="U18" s="20"/>
      <c r="V18" s="13">
        <f t="shared" si="16"/>
        <v>0</v>
      </c>
      <c r="W18" s="20">
        <f t="shared" si="0"/>
        <v>1.6666666666666667</v>
      </c>
      <c r="X18" s="51">
        <f t="shared" si="4"/>
        <v>0.83000000000000007</v>
      </c>
      <c r="Y18" s="47">
        <f t="shared" si="5"/>
        <v>1.6666666666666667</v>
      </c>
      <c r="AA18" s="48">
        <f t="shared" si="1"/>
        <v>0</v>
      </c>
      <c r="AB18" s="16">
        <f t="shared" si="13"/>
        <v>1.5</v>
      </c>
      <c r="AC18" s="20">
        <f t="shared" si="6"/>
        <v>2.5</v>
      </c>
      <c r="AD18" s="68">
        <f t="shared" si="14"/>
        <v>1.5</v>
      </c>
      <c r="AE18" s="19">
        <f t="shared" si="15"/>
        <v>2.5</v>
      </c>
    </row>
    <row r="19" spans="1:32" x14ac:dyDescent="0.35">
      <c r="A19" t="s">
        <v>34</v>
      </c>
      <c r="C19">
        <v>1.02</v>
      </c>
      <c r="D19">
        <v>2</v>
      </c>
      <c r="E19" s="9">
        <f>+C19/D19</f>
        <v>0.51</v>
      </c>
      <c r="F19" s="31">
        <v>518.68600000000004</v>
      </c>
      <c r="G19" s="35">
        <v>54</v>
      </c>
      <c r="H19" s="35"/>
      <c r="I19">
        <f>+SUM(I20:I25)</f>
        <v>370</v>
      </c>
      <c r="J19" s="10">
        <f>+I19*$J$2</f>
        <v>15.909999999999998</v>
      </c>
      <c r="K19" s="10"/>
      <c r="L19" s="10"/>
      <c r="M19">
        <f>+I19/12</f>
        <v>30.833333333333332</v>
      </c>
      <c r="N19" s="11">
        <f>+J19-C19</f>
        <v>14.889999999999999</v>
      </c>
      <c r="O19" s="12">
        <f>+M19-C19</f>
        <v>29.813333333333333</v>
      </c>
      <c r="P19" s="11"/>
      <c r="Q19" s="11"/>
      <c r="R19" s="13">
        <f>+I19*$R$2</f>
        <v>30.71</v>
      </c>
      <c r="S19" s="13">
        <f>+SUM(S20:S25)</f>
        <v>18.64</v>
      </c>
      <c r="T19" s="56">
        <v>4</v>
      </c>
      <c r="U19" s="13">
        <f>+S19/T19</f>
        <v>4.66</v>
      </c>
      <c r="V19" s="13">
        <f>+S19+C19</f>
        <v>19.66</v>
      </c>
      <c r="W19" s="13">
        <f>+I19/6</f>
        <v>61.666666666666664</v>
      </c>
      <c r="X19" s="49">
        <f>+R19-C19</f>
        <v>29.69</v>
      </c>
      <c r="Y19" s="14">
        <f>+W19-C19</f>
        <v>60.646666666666661</v>
      </c>
      <c r="AA19" s="48">
        <f t="shared" si="1"/>
        <v>19.66</v>
      </c>
      <c r="AB19" s="13">
        <f>+I19*$AB$2</f>
        <v>55.5</v>
      </c>
      <c r="AC19" s="13">
        <f>+I19/4</f>
        <v>92.5</v>
      </c>
      <c r="AD19" s="11">
        <f>+AB19-C19</f>
        <v>54.48</v>
      </c>
      <c r="AE19" s="12">
        <f>+AC19-C19</f>
        <v>91.48</v>
      </c>
    </row>
    <row r="20" spans="1:32" s="16" customFormat="1" x14ac:dyDescent="0.35">
      <c r="A20" s="15" t="s">
        <v>34</v>
      </c>
      <c r="B20" s="15" t="s">
        <v>35</v>
      </c>
      <c r="C20" s="16">
        <v>0</v>
      </c>
      <c r="E20" s="17"/>
      <c r="F20" s="32">
        <v>97.834999999999994</v>
      </c>
      <c r="G20" s="36">
        <v>8</v>
      </c>
      <c r="H20" s="36"/>
      <c r="I20" s="16">
        <v>80</v>
      </c>
      <c r="N20" s="18"/>
      <c r="O20" s="19"/>
      <c r="P20" s="18"/>
      <c r="Q20" s="18"/>
      <c r="R20" s="16">
        <f t="shared" ref="R20:R25" si="17">+R$2*$I20</f>
        <v>6.6400000000000006</v>
      </c>
      <c r="T20" s="58"/>
      <c r="U20" s="20"/>
      <c r="V20" s="13">
        <f>+S20+C20</f>
        <v>0</v>
      </c>
      <c r="W20" s="20">
        <f t="shared" ref="W20:W21" si="18">+I20/12*2</f>
        <v>13.333333333333334</v>
      </c>
      <c r="X20" s="51">
        <f t="shared" si="4"/>
        <v>6.6400000000000006</v>
      </c>
      <c r="Y20" s="47">
        <f t="shared" si="5"/>
        <v>13.333333333333334</v>
      </c>
      <c r="AA20" s="48">
        <f t="shared" si="1"/>
        <v>0</v>
      </c>
      <c r="AB20" s="16">
        <f t="shared" ref="AB20:AB25" si="19">+AB$2*$I20</f>
        <v>12</v>
      </c>
      <c r="AC20" s="20">
        <f t="shared" ref="AC20:AC25" si="20">+I20/4</f>
        <v>20</v>
      </c>
      <c r="AD20" s="68">
        <f t="shared" ref="AD20:AD25" si="21">+AB20-AA20</f>
        <v>12</v>
      </c>
      <c r="AE20" s="19">
        <f t="shared" ref="AE20:AE25" si="22">+AC20-AA20</f>
        <v>20</v>
      </c>
    </row>
    <row r="21" spans="1:32" s="16" customFormat="1" x14ac:dyDescent="0.35">
      <c r="A21" s="15" t="s">
        <v>34</v>
      </c>
      <c r="B21" s="15" t="s">
        <v>36</v>
      </c>
      <c r="C21" s="16">
        <v>0.42</v>
      </c>
      <c r="D21" s="16">
        <v>1</v>
      </c>
      <c r="E21" s="17">
        <f>+C21/D21</f>
        <v>0.42</v>
      </c>
      <c r="F21" s="32">
        <v>169.5</v>
      </c>
      <c r="G21" s="36">
        <v>15</v>
      </c>
      <c r="H21" s="36"/>
      <c r="I21" s="16">
        <v>80</v>
      </c>
      <c r="N21" s="18"/>
      <c r="O21" s="19"/>
      <c r="P21" s="18"/>
      <c r="Q21" s="18"/>
      <c r="R21" s="16">
        <f t="shared" si="17"/>
        <v>6.6400000000000006</v>
      </c>
      <c r="S21" s="16">
        <v>16.48</v>
      </c>
      <c r="T21" s="58">
        <v>3</v>
      </c>
      <c r="U21" s="20">
        <f>+S21/T21</f>
        <v>5.4933333333333332</v>
      </c>
      <c r="V21" s="13">
        <f t="shared" ref="V21:V35" si="23">+S21+C21</f>
        <v>16.900000000000002</v>
      </c>
      <c r="W21" s="20">
        <f t="shared" si="18"/>
        <v>13.333333333333334</v>
      </c>
      <c r="X21" s="53">
        <f t="shared" si="4"/>
        <v>-10.260000000000002</v>
      </c>
      <c r="Y21" s="47">
        <f t="shared" si="5"/>
        <v>-3.5666666666666682</v>
      </c>
      <c r="AA21" s="48">
        <f t="shared" si="1"/>
        <v>16.900000000000002</v>
      </c>
      <c r="AB21" s="16">
        <f t="shared" si="19"/>
        <v>12</v>
      </c>
      <c r="AC21" s="20">
        <f t="shared" si="20"/>
        <v>20</v>
      </c>
      <c r="AD21" s="67">
        <f t="shared" si="21"/>
        <v>-4.9000000000000021</v>
      </c>
      <c r="AE21" s="19">
        <f t="shared" si="22"/>
        <v>3.0999999999999979</v>
      </c>
    </row>
    <row r="22" spans="1:32" s="16" customFormat="1" x14ac:dyDescent="0.35">
      <c r="A22" s="15" t="s">
        <v>34</v>
      </c>
      <c r="B22" s="15" t="s">
        <v>37</v>
      </c>
      <c r="C22" s="16">
        <v>0.6</v>
      </c>
      <c r="D22" s="16">
        <v>1</v>
      </c>
      <c r="E22" s="17">
        <f>+C22/D22</f>
        <v>0.6</v>
      </c>
      <c r="F22" s="32">
        <v>136.06100000000001</v>
      </c>
      <c r="G22" s="36">
        <v>19</v>
      </c>
      <c r="H22" s="36"/>
      <c r="I22" s="16">
        <v>100</v>
      </c>
      <c r="K22" s="16">
        <v>2.16</v>
      </c>
      <c r="L22" s="16">
        <f>+K22+E22</f>
        <v>2.7600000000000002</v>
      </c>
      <c r="N22" s="18"/>
      <c r="O22" s="19"/>
      <c r="P22" s="18"/>
      <c r="Q22" s="18"/>
      <c r="R22" s="16">
        <f t="shared" si="17"/>
        <v>8.3000000000000007</v>
      </c>
      <c r="S22" s="16">
        <v>2.16</v>
      </c>
      <c r="T22" s="58">
        <v>1</v>
      </c>
      <c r="U22" s="20">
        <f>+S22/T22</f>
        <v>2.16</v>
      </c>
      <c r="V22" s="13">
        <f t="shared" si="23"/>
        <v>2.7600000000000002</v>
      </c>
      <c r="W22" s="20">
        <f>+I22/12*2</f>
        <v>16.666666666666668</v>
      </c>
      <c r="X22" s="51">
        <f t="shared" si="4"/>
        <v>5.5400000000000009</v>
      </c>
      <c r="Y22" s="47">
        <f t="shared" si="5"/>
        <v>13.906666666666668</v>
      </c>
      <c r="AA22" s="48">
        <f t="shared" si="1"/>
        <v>2.7600000000000002</v>
      </c>
      <c r="AB22" s="16">
        <f t="shared" si="19"/>
        <v>15</v>
      </c>
      <c r="AC22" s="20">
        <f t="shared" si="20"/>
        <v>25</v>
      </c>
      <c r="AD22" s="70">
        <f t="shared" si="21"/>
        <v>12.24</v>
      </c>
      <c r="AE22" s="19">
        <f t="shared" si="22"/>
        <v>22.24</v>
      </c>
    </row>
    <row r="23" spans="1:32" s="16" customFormat="1" x14ac:dyDescent="0.35">
      <c r="A23" s="15" t="s">
        <v>34</v>
      </c>
      <c r="B23" s="15" t="s">
        <v>38</v>
      </c>
      <c r="C23" s="16">
        <v>0</v>
      </c>
      <c r="E23" s="17"/>
      <c r="F23" s="32">
        <v>114.241</v>
      </c>
      <c r="G23" s="36">
        <v>14</v>
      </c>
      <c r="H23" s="36"/>
      <c r="I23" s="16">
        <v>90</v>
      </c>
      <c r="N23" s="18"/>
      <c r="O23" s="19"/>
      <c r="P23" s="18"/>
      <c r="Q23" s="18"/>
      <c r="R23" s="16">
        <f t="shared" si="17"/>
        <v>7.4700000000000006</v>
      </c>
      <c r="T23" s="58"/>
      <c r="U23" s="20"/>
      <c r="V23" s="13">
        <f t="shared" si="23"/>
        <v>0</v>
      </c>
      <c r="W23" s="20">
        <f t="shared" ref="W23:W36" si="24">+I23/12*2</f>
        <v>15</v>
      </c>
      <c r="X23" s="51">
        <f t="shared" si="4"/>
        <v>7.4700000000000006</v>
      </c>
      <c r="Y23" s="47">
        <f t="shared" si="5"/>
        <v>15</v>
      </c>
      <c r="AA23" s="48">
        <f t="shared" si="1"/>
        <v>0</v>
      </c>
      <c r="AB23" s="16">
        <f t="shared" si="19"/>
        <v>13.5</v>
      </c>
      <c r="AC23" s="20">
        <f t="shared" si="20"/>
        <v>22.5</v>
      </c>
      <c r="AD23" s="68">
        <f t="shared" si="21"/>
        <v>13.5</v>
      </c>
      <c r="AE23" s="19">
        <f t="shared" si="22"/>
        <v>22.5</v>
      </c>
    </row>
    <row r="24" spans="1:32" s="16" customFormat="1" x14ac:dyDescent="0.35">
      <c r="A24" s="15" t="s">
        <v>34</v>
      </c>
      <c r="B24" s="16" t="s">
        <v>361</v>
      </c>
      <c r="C24" s="16">
        <v>0</v>
      </c>
      <c r="E24" s="17"/>
      <c r="F24" s="32">
        <v>0</v>
      </c>
      <c r="G24" s="36">
        <v>0</v>
      </c>
      <c r="H24" s="36"/>
      <c r="I24" s="16">
        <v>10</v>
      </c>
      <c r="N24" s="18"/>
      <c r="O24" s="19"/>
      <c r="P24" s="18"/>
      <c r="Q24" s="18"/>
      <c r="R24" s="16">
        <f t="shared" si="17"/>
        <v>0.83000000000000007</v>
      </c>
      <c r="T24" s="58"/>
      <c r="U24" s="20"/>
      <c r="V24" s="13">
        <f t="shared" si="23"/>
        <v>0</v>
      </c>
      <c r="W24" s="20">
        <f t="shared" si="24"/>
        <v>1.6666666666666667</v>
      </c>
      <c r="X24" s="51">
        <f t="shared" si="4"/>
        <v>0.83000000000000007</v>
      </c>
      <c r="Y24" s="47">
        <f t="shared" si="5"/>
        <v>1.6666666666666667</v>
      </c>
      <c r="AA24" s="48">
        <f t="shared" si="1"/>
        <v>0</v>
      </c>
      <c r="AB24" s="16">
        <f t="shared" si="19"/>
        <v>1.5</v>
      </c>
      <c r="AC24" s="20">
        <f t="shared" si="20"/>
        <v>2.5</v>
      </c>
      <c r="AD24" s="68">
        <f t="shared" si="21"/>
        <v>1.5</v>
      </c>
      <c r="AE24" s="19">
        <f t="shared" si="22"/>
        <v>2.5</v>
      </c>
    </row>
    <row r="25" spans="1:32" s="16" customFormat="1" x14ac:dyDescent="0.35">
      <c r="A25" s="15" t="s">
        <v>34</v>
      </c>
      <c r="B25" s="16" t="s">
        <v>361</v>
      </c>
      <c r="C25" s="16">
        <v>0</v>
      </c>
      <c r="E25" s="17"/>
      <c r="F25" s="32">
        <v>0</v>
      </c>
      <c r="G25" s="36">
        <v>0</v>
      </c>
      <c r="H25" s="36"/>
      <c r="I25" s="16">
        <v>10</v>
      </c>
      <c r="N25" s="18"/>
      <c r="O25" s="19"/>
      <c r="P25" s="18"/>
      <c r="Q25" s="18"/>
      <c r="R25" s="16">
        <f t="shared" si="17"/>
        <v>0.83000000000000007</v>
      </c>
      <c r="T25" s="58"/>
      <c r="U25" s="20"/>
      <c r="V25" s="13">
        <f t="shared" si="23"/>
        <v>0</v>
      </c>
      <c r="W25" s="20">
        <f t="shared" si="24"/>
        <v>1.6666666666666667</v>
      </c>
      <c r="X25" s="51">
        <f t="shared" si="4"/>
        <v>0.83000000000000007</v>
      </c>
      <c r="Y25" s="47">
        <f t="shared" si="5"/>
        <v>1.6666666666666667</v>
      </c>
      <c r="AA25" s="48">
        <f t="shared" si="1"/>
        <v>0</v>
      </c>
      <c r="AB25" s="16">
        <f t="shared" si="19"/>
        <v>1.5</v>
      </c>
      <c r="AC25" s="20">
        <f t="shared" si="20"/>
        <v>2.5</v>
      </c>
      <c r="AD25" s="68">
        <f t="shared" si="21"/>
        <v>1.5</v>
      </c>
      <c r="AE25" s="19">
        <f t="shared" si="22"/>
        <v>2.5</v>
      </c>
    </row>
    <row r="26" spans="1:32" x14ac:dyDescent="0.35">
      <c r="A26" t="s">
        <v>39</v>
      </c>
      <c r="C26">
        <f>+C28+C29</f>
        <v>5.83</v>
      </c>
      <c r="D26">
        <v>6</v>
      </c>
      <c r="E26" s="9">
        <f>+C26/D26</f>
        <v>0.97166666666666668</v>
      </c>
      <c r="F26" s="31">
        <v>360.596</v>
      </c>
      <c r="G26" s="35">
        <v>44</v>
      </c>
      <c r="H26" s="35"/>
      <c r="I26">
        <f>+SUM(I27:I34)</f>
        <v>395</v>
      </c>
      <c r="J26" s="10">
        <f>+I26*$J$2</f>
        <v>16.984999999999999</v>
      </c>
      <c r="K26" s="10"/>
      <c r="L26" s="10"/>
      <c r="M26">
        <f>+I26/12</f>
        <v>32.916666666666664</v>
      </c>
      <c r="N26" s="11">
        <f>+J26-C26</f>
        <v>11.154999999999999</v>
      </c>
      <c r="O26" s="12">
        <f>+M26-C26</f>
        <v>27.086666666666666</v>
      </c>
      <c r="P26" s="11"/>
      <c r="Q26" s="11"/>
      <c r="R26" s="13">
        <f>+I26*$R$2</f>
        <v>32.785000000000004</v>
      </c>
      <c r="S26" s="13">
        <f>+SUM(S27:S34)</f>
        <v>6.15</v>
      </c>
      <c r="T26" s="56">
        <v>4</v>
      </c>
      <c r="U26" s="13">
        <f>+S26/T26</f>
        <v>1.5375000000000001</v>
      </c>
      <c r="V26" s="13">
        <f t="shared" si="23"/>
        <v>11.98</v>
      </c>
      <c r="W26" s="13">
        <f>+I26/6</f>
        <v>65.833333333333329</v>
      </c>
      <c r="X26" s="49">
        <f>+R26-C26</f>
        <v>26.955000000000005</v>
      </c>
      <c r="Y26" s="14">
        <f>+W26-C26</f>
        <v>60.00333333333333</v>
      </c>
      <c r="AA26" s="48">
        <f t="shared" si="1"/>
        <v>11.98</v>
      </c>
      <c r="AB26" s="13">
        <f>+I26*$AB$2</f>
        <v>59.25</v>
      </c>
      <c r="AC26" s="13">
        <f>+I26/4</f>
        <v>98.75</v>
      </c>
      <c r="AD26" s="11">
        <f>+AB26-C26</f>
        <v>53.42</v>
      </c>
      <c r="AE26" s="12">
        <f>+AC26-C26</f>
        <v>92.92</v>
      </c>
    </row>
    <row r="27" spans="1:32" s="16" customFormat="1" x14ac:dyDescent="0.35">
      <c r="A27" s="16" t="s">
        <v>39</v>
      </c>
      <c r="B27" s="16" t="s">
        <v>358</v>
      </c>
      <c r="C27" s="16">
        <v>0</v>
      </c>
      <c r="F27" s="33">
        <v>55.61</v>
      </c>
      <c r="G27" s="37">
        <v>6</v>
      </c>
      <c r="H27" s="37"/>
      <c r="I27" s="16">
        <v>70</v>
      </c>
      <c r="Q27" s="16">
        <v>2</v>
      </c>
      <c r="R27" s="16">
        <f t="shared" ref="R27:R36" si="25">+R$2*$I27</f>
        <v>5.8100000000000005</v>
      </c>
      <c r="S27" s="16">
        <v>0.56999999999999995</v>
      </c>
      <c r="T27" s="58">
        <v>1</v>
      </c>
      <c r="U27" s="20">
        <f>+S27/T27</f>
        <v>0.56999999999999995</v>
      </c>
      <c r="V27" s="13">
        <f t="shared" si="23"/>
        <v>0.56999999999999995</v>
      </c>
      <c r="W27" s="20">
        <f t="shared" si="24"/>
        <v>11.666666666666666</v>
      </c>
      <c r="X27" s="51">
        <f t="shared" si="4"/>
        <v>5.24</v>
      </c>
      <c r="Y27" s="47">
        <f t="shared" si="5"/>
        <v>11.096666666666666</v>
      </c>
      <c r="AA27" s="48">
        <f t="shared" si="1"/>
        <v>0.56999999999999995</v>
      </c>
      <c r="AB27" s="16">
        <f t="shared" ref="AB27:AB34" si="26">+AB$2*$I27</f>
        <v>10.5</v>
      </c>
      <c r="AC27" s="20">
        <f t="shared" ref="AC27:AC36" si="27">+I27/4</f>
        <v>17.5</v>
      </c>
      <c r="AD27" s="70">
        <f t="shared" ref="AD27:AD36" si="28">+AB27-AA27</f>
        <v>9.93</v>
      </c>
      <c r="AE27" s="19">
        <f t="shared" ref="AE27:AE36" si="29">+AC27-AA27</f>
        <v>16.93</v>
      </c>
      <c r="AF27" s="16" t="s">
        <v>589</v>
      </c>
    </row>
    <row r="28" spans="1:32" s="16" customFormat="1" x14ac:dyDescent="0.35">
      <c r="A28" s="16" t="s">
        <v>39</v>
      </c>
      <c r="B28" s="16" t="s">
        <v>46</v>
      </c>
      <c r="C28" s="16">
        <v>3.24</v>
      </c>
      <c r="F28" s="33">
        <v>20.38</v>
      </c>
      <c r="G28" s="37">
        <v>8</v>
      </c>
      <c r="H28" s="37"/>
      <c r="I28" s="16">
        <v>35</v>
      </c>
      <c r="Q28" s="16">
        <v>5</v>
      </c>
      <c r="R28" s="16">
        <f t="shared" si="25"/>
        <v>2.9050000000000002</v>
      </c>
      <c r="T28" s="58"/>
      <c r="U28" s="20"/>
      <c r="V28" s="13">
        <f t="shared" si="23"/>
        <v>3.24</v>
      </c>
      <c r="W28" s="20">
        <f t="shared" si="24"/>
        <v>5.833333333333333</v>
      </c>
      <c r="X28" s="51">
        <f t="shared" si="4"/>
        <v>-0.33499999999999996</v>
      </c>
      <c r="Y28" s="47">
        <f t="shared" si="5"/>
        <v>2.5933333333333328</v>
      </c>
      <c r="AA28" s="48">
        <f t="shared" si="1"/>
        <v>3.24</v>
      </c>
      <c r="AB28" s="16">
        <f t="shared" si="26"/>
        <v>5.25</v>
      </c>
      <c r="AC28" s="20">
        <f t="shared" si="27"/>
        <v>8.75</v>
      </c>
      <c r="AD28" s="18">
        <f t="shared" si="28"/>
        <v>2.0099999999999998</v>
      </c>
      <c r="AE28" s="19">
        <f t="shared" si="29"/>
        <v>5.51</v>
      </c>
      <c r="AF28" s="16" t="s">
        <v>661</v>
      </c>
    </row>
    <row r="29" spans="1:32" s="16" customFormat="1" x14ac:dyDescent="0.35">
      <c r="A29" s="16" t="s">
        <v>39</v>
      </c>
      <c r="B29" s="16" t="s">
        <v>52</v>
      </c>
      <c r="C29" s="16">
        <v>2.59</v>
      </c>
      <c r="F29" s="33">
        <v>103.27800000000001</v>
      </c>
      <c r="G29" s="37">
        <v>6</v>
      </c>
      <c r="H29" s="37"/>
      <c r="I29" s="16">
        <v>70</v>
      </c>
      <c r="Q29" s="16">
        <v>4.8</v>
      </c>
      <c r="R29" s="16">
        <f t="shared" si="25"/>
        <v>5.8100000000000005</v>
      </c>
      <c r="T29" s="58"/>
      <c r="U29" s="20"/>
      <c r="V29" s="13">
        <f t="shared" si="23"/>
        <v>2.59</v>
      </c>
      <c r="W29" s="20">
        <f t="shared" si="24"/>
        <v>11.666666666666666</v>
      </c>
      <c r="X29" s="51">
        <f t="shared" si="4"/>
        <v>3.2200000000000006</v>
      </c>
      <c r="Y29" s="47">
        <f t="shared" si="5"/>
        <v>9.0766666666666662</v>
      </c>
      <c r="AA29" s="48">
        <f t="shared" si="1"/>
        <v>2.59</v>
      </c>
      <c r="AB29" s="16">
        <f t="shared" si="26"/>
        <v>10.5</v>
      </c>
      <c r="AC29" s="20">
        <f t="shared" si="27"/>
        <v>17.5</v>
      </c>
      <c r="AD29" s="18">
        <f t="shared" si="28"/>
        <v>7.91</v>
      </c>
      <c r="AE29" s="19">
        <f t="shared" si="29"/>
        <v>14.91</v>
      </c>
      <c r="AF29" s="16" t="s">
        <v>662</v>
      </c>
    </row>
    <row r="30" spans="1:32" s="16" customFormat="1" x14ac:dyDescent="0.35">
      <c r="A30" s="16" t="s">
        <v>39</v>
      </c>
      <c r="B30" s="16" t="s">
        <v>47</v>
      </c>
      <c r="C30" s="16">
        <v>0</v>
      </c>
      <c r="F30" s="33">
        <v>53.386000000000003</v>
      </c>
      <c r="G30" s="37">
        <v>10</v>
      </c>
      <c r="H30" s="37"/>
      <c r="I30" s="16">
        <v>80</v>
      </c>
      <c r="Q30" s="16">
        <v>15.2</v>
      </c>
      <c r="R30" s="16">
        <f t="shared" si="25"/>
        <v>6.6400000000000006</v>
      </c>
      <c r="S30" s="16">
        <v>5.58</v>
      </c>
      <c r="T30" s="58">
        <v>3</v>
      </c>
      <c r="U30" s="20">
        <f>+S30/T30</f>
        <v>1.86</v>
      </c>
      <c r="V30" s="13">
        <f t="shared" si="23"/>
        <v>5.58</v>
      </c>
      <c r="W30" s="20">
        <f t="shared" si="24"/>
        <v>13.333333333333334</v>
      </c>
      <c r="X30" s="51">
        <f t="shared" si="4"/>
        <v>1.0600000000000005</v>
      </c>
      <c r="Y30" s="47">
        <f t="shared" si="5"/>
        <v>7.7533333333333339</v>
      </c>
      <c r="AA30" s="48">
        <f t="shared" si="1"/>
        <v>5.58</v>
      </c>
      <c r="AB30" s="16">
        <f t="shared" si="26"/>
        <v>12</v>
      </c>
      <c r="AC30" s="20">
        <f t="shared" si="27"/>
        <v>20</v>
      </c>
      <c r="AD30" s="18">
        <f t="shared" si="28"/>
        <v>6.42</v>
      </c>
      <c r="AE30" s="19">
        <f t="shared" si="29"/>
        <v>14.42</v>
      </c>
      <c r="AF30" s="16" t="s">
        <v>663</v>
      </c>
    </row>
    <row r="31" spans="1:32" s="16" customFormat="1" x14ac:dyDescent="0.35">
      <c r="A31" s="16" t="s">
        <v>39</v>
      </c>
      <c r="B31" s="16" t="s">
        <v>359</v>
      </c>
      <c r="C31" s="16">
        <v>0</v>
      </c>
      <c r="F31" s="33">
        <v>58.441000000000003</v>
      </c>
      <c r="G31" s="37">
        <v>4</v>
      </c>
      <c r="H31" s="37"/>
      <c r="I31" s="16">
        <v>40</v>
      </c>
      <c r="Q31" s="16">
        <v>16.3</v>
      </c>
      <c r="R31" s="16">
        <f t="shared" si="25"/>
        <v>3.3200000000000003</v>
      </c>
      <c r="T31" s="58"/>
      <c r="U31" s="20"/>
      <c r="V31" s="13">
        <f t="shared" si="23"/>
        <v>0</v>
      </c>
      <c r="W31" s="20">
        <f t="shared" si="24"/>
        <v>6.666666666666667</v>
      </c>
      <c r="X31" s="51">
        <f t="shared" si="4"/>
        <v>3.3200000000000003</v>
      </c>
      <c r="Y31" s="47">
        <f t="shared" si="5"/>
        <v>6.666666666666667</v>
      </c>
      <c r="AA31" s="48">
        <f t="shared" si="1"/>
        <v>0</v>
      </c>
      <c r="AB31" s="16">
        <f t="shared" si="26"/>
        <v>6</v>
      </c>
      <c r="AC31" s="20">
        <f t="shared" si="27"/>
        <v>10</v>
      </c>
      <c r="AD31" s="18">
        <f t="shared" si="28"/>
        <v>6</v>
      </c>
      <c r="AE31" s="19">
        <f t="shared" si="29"/>
        <v>10</v>
      </c>
    </row>
    <row r="32" spans="1:32" s="16" customFormat="1" x14ac:dyDescent="0.35">
      <c r="A32" s="16" t="s">
        <v>39</v>
      </c>
      <c r="B32" s="16" t="s">
        <v>360</v>
      </c>
      <c r="C32" s="16">
        <v>0</v>
      </c>
      <c r="F32" s="33">
        <v>0</v>
      </c>
      <c r="G32" s="37">
        <v>0</v>
      </c>
      <c r="H32" s="37"/>
      <c r="I32" s="16">
        <v>20</v>
      </c>
      <c r="Q32" s="16">
        <v>0</v>
      </c>
      <c r="R32" s="16">
        <f t="shared" si="25"/>
        <v>1.6600000000000001</v>
      </c>
      <c r="T32" s="58"/>
      <c r="U32" s="20"/>
      <c r="V32" s="13">
        <f t="shared" si="23"/>
        <v>0</v>
      </c>
      <c r="W32" s="20">
        <f t="shared" si="24"/>
        <v>3.3333333333333335</v>
      </c>
      <c r="X32" s="51">
        <f t="shared" si="4"/>
        <v>1.6600000000000001</v>
      </c>
      <c r="Y32" s="47">
        <f t="shared" si="5"/>
        <v>3.3333333333333335</v>
      </c>
      <c r="AA32" s="48">
        <f t="shared" si="1"/>
        <v>0</v>
      </c>
      <c r="AB32" s="16">
        <f t="shared" si="26"/>
        <v>3</v>
      </c>
      <c r="AC32" s="20">
        <f t="shared" si="27"/>
        <v>5</v>
      </c>
      <c r="AD32" s="18">
        <f t="shared" si="28"/>
        <v>3</v>
      </c>
      <c r="AE32" s="19">
        <f t="shared" si="29"/>
        <v>5</v>
      </c>
      <c r="AF32" s="16" t="s">
        <v>590</v>
      </c>
    </row>
    <row r="33" spans="1:31" s="16" customFormat="1" x14ac:dyDescent="0.35">
      <c r="A33" s="16" t="s">
        <v>39</v>
      </c>
      <c r="B33" s="16" t="s">
        <v>48</v>
      </c>
      <c r="C33" s="16">
        <v>0</v>
      </c>
      <c r="F33" s="33">
        <v>32.551000000000002</v>
      </c>
      <c r="G33" s="37">
        <v>3</v>
      </c>
      <c r="H33" s="37"/>
      <c r="I33" s="16">
        <v>40</v>
      </c>
      <c r="Q33" s="16">
        <v>3</v>
      </c>
      <c r="R33" s="16">
        <f t="shared" si="25"/>
        <v>3.3200000000000003</v>
      </c>
      <c r="T33" s="58"/>
      <c r="U33" s="20"/>
      <c r="V33" s="13">
        <f t="shared" si="23"/>
        <v>0</v>
      </c>
      <c r="W33" s="20">
        <f t="shared" si="24"/>
        <v>6.666666666666667</v>
      </c>
      <c r="X33" s="51">
        <f t="shared" si="4"/>
        <v>3.3200000000000003</v>
      </c>
      <c r="Y33" s="47">
        <f t="shared" si="5"/>
        <v>6.666666666666667</v>
      </c>
      <c r="AA33" s="48">
        <f t="shared" si="1"/>
        <v>0</v>
      </c>
      <c r="AB33" s="16">
        <f t="shared" si="26"/>
        <v>6</v>
      </c>
      <c r="AC33" s="20">
        <f t="shared" si="27"/>
        <v>10</v>
      </c>
      <c r="AD33" s="18">
        <f t="shared" si="28"/>
        <v>6</v>
      </c>
      <c r="AE33" s="19">
        <f t="shared" si="29"/>
        <v>10</v>
      </c>
    </row>
    <row r="34" spans="1:31" x14ac:dyDescent="0.35">
      <c r="A34" s="16" t="s">
        <v>39</v>
      </c>
      <c r="B34" s="16" t="s">
        <v>361</v>
      </c>
      <c r="C34" s="16">
        <v>0</v>
      </c>
      <c r="I34" s="16">
        <v>40</v>
      </c>
      <c r="R34" s="16">
        <f t="shared" si="25"/>
        <v>3.3200000000000003</v>
      </c>
      <c r="S34" s="16"/>
      <c r="T34" s="58"/>
      <c r="U34" s="20"/>
      <c r="V34" s="13">
        <f t="shared" si="23"/>
        <v>0</v>
      </c>
      <c r="W34" s="20">
        <f t="shared" si="24"/>
        <v>6.666666666666667</v>
      </c>
      <c r="X34" s="51">
        <f t="shared" si="4"/>
        <v>3.3200000000000003</v>
      </c>
      <c r="Y34" s="47">
        <f t="shared" si="5"/>
        <v>6.666666666666667</v>
      </c>
      <c r="Z34" s="16"/>
      <c r="AA34" s="48">
        <f t="shared" si="1"/>
        <v>0</v>
      </c>
      <c r="AB34" s="16">
        <f t="shared" si="26"/>
        <v>6</v>
      </c>
      <c r="AC34" s="20">
        <f t="shared" si="27"/>
        <v>10</v>
      </c>
      <c r="AD34" s="18">
        <f t="shared" si="28"/>
        <v>6</v>
      </c>
      <c r="AE34" s="19">
        <f t="shared" si="29"/>
        <v>10</v>
      </c>
    </row>
    <row r="35" spans="1:31" x14ac:dyDescent="0.35">
      <c r="A35" s="16" t="s">
        <v>39</v>
      </c>
      <c r="B35" s="16" t="s">
        <v>102</v>
      </c>
      <c r="F35" s="30">
        <v>34.643000000000001</v>
      </c>
      <c r="G35" s="34">
        <v>4</v>
      </c>
      <c r="V35" s="13">
        <f t="shared" si="23"/>
        <v>0</v>
      </c>
      <c r="W35" s="20">
        <f t="shared" si="24"/>
        <v>0</v>
      </c>
      <c r="X35" s="51">
        <f t="shared" si="4"/>
        <v>0</v>
      </c>
      <c r="Y35" s="47">
        <f t="shared" si="5"/>
        <v>0</v>
      </c>
      <c r="AA35" s="48">
        <f t="shared" si="1"/>
        <v>0</v>
      </c>
      <c r="AC35" s="20">
        <f t="shared" si="27"/>
        <v>0</v>
      </c>
      <c r="AD35" s="18">
        <f t="shared" si="28"/>
        <v>0</v>
      </c>
      <c r="AE35" s="19">
        <f t="shared" si="29"/>
        <v>0</v>
      </c>
    </row>
    <row r="36" spans="1:31" x14ac:dyDescent="0.35">
      <c r="A36" s="59" t="s">
        <v>486</v>
      </c>
      <c r="B36" s="59"/>
      <c r="C36">
        <f>+C26+C19+C11+C4</f>
        <v>14.62</v>
      </c>
      <c r="D36">
        <f>+D26+D19+D11+D4</f>
        <v>12</v>
      </c>
      <c r="E36" s="9">
        <f>+C36/D36</f>
        <v>1.2183333333333333</v>
      </c>
      <c r="F36" s="31"/>
      <c r="G36" s="35"/>
      <c r="H36" s="35"/>
      <c r="I36" s="59">
        <f>+I4+I11+I19+I26</f>
        <v>1300</v>
      </c>
      <c r="R36" s="60">
        <f t="shared" si="25"/>
        <v>107.9</v>
      </c>
      <c r="S36" s="60">
        <f>+S26+S19+S11+S4</f>
        <v>40.480999999999995</v>
      </c>
      <c r="T36" s="61">
        <f>+T26+T19+T11+T4</f>
        <v>15</v>
      </c>
      <c r="U36" s="62">
        <f>+S36/T36</f>
        <v>2.6987333333333328</v>
      </c>
      <c r="V36" s="13">
        <f>+S36+C36</f>
        <v>55.100999999999992</v>
      </c>
      <c r="W36" s="62">
        <f t="shared" si="24"/>
        <v>216.66666666666666</v>
      </c>
      <c r="X36" s="63">
        <f t="shared" si="4"/>
        <v>52.799000000000014</v>
      </c>
      <c r="Y36" s="64">
        <f t="shared" si="5"/>
        <v>161.56566666666666</v>
      </c>
      <c r="AA36" s="48">
        <f t="shared" si="1"/>
        <v>55.100999999999992</v>
      </c>
      <c r="AB36" s="60">
        <f t="shared" ref="AB36" si="30">+AB$2*$I36</f>
        <v>195</v>
      </c>
      <c r="AC36" s="62">
        <f t="shared" si="27"/>
        <v>325</v>
      </c>
      <c r="AD36" s="65">
        <f t="shared" si="28"/>
        <v>139.899</v>
      </c>
      <c r="AE36" s="66">
        <f t="shared" si="29"/>
        <v>269.899</v>
      </c>
    </row>
  </sheetData>
  <autoFilter ref="A3:AE36" xr:uid="{1D20F9E2-D903-4A1B-AFA9-8299BCA6AD7B}"/>
  <mergeCells count="3">
    <mergeCell ref="C1:O1"/>
    <mergeCell ref="R1:Y1"/>
    <mergeCell ref="AB1:A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E3E55-7E9A-4FB9-9186-71D34C6B392F}">
  <dimension ref="A1:AD26"/>
  <sheetViews>
    <sheetView workbookViewId="0">
      <selection activeCell="J6" sqref="J6"/>
    </sheetView>
  </sheetViews>
  <sheetFormatPr baseColWidth="10" defaultColWidth="11.453125" defaultRowHeight="14.5" x14ac:dyDescent="0.35"/>
  <cols>
    <col min="1" max="1" width="7.54296875" customWidth="1"/>
    <col min="2" max="2" width="10.26953125" customWidth="1"/>
    <col min="3" max="3" width="4.26953125" customWidth="1"/>
    <col min="4" max="4" width="6.08984375" customWidth="1"/>
    <col min="5" max="5" width="4.36328125" customWidth="1"/>
    <col min="6" max="6" width="4.7265625" customWidth="1"/>
    <col min="7" max="10" width="4.90625" customWidth="1"/>
    <col min="12" max="12" width="6.1796875" customWidth="1"/>
    <col min="13" max="13" width="6.1796875" style="13" customWidth="1"/>
    <col min="14" max="14" width="4.81640625" customWidth="1"/>
    <col min="15" max="15" width="5.81640625" style="13" customWidth="1"/>
    <col min="16" max="16" width="6.81640625" customWidth="1"/>
    <col min="17" max="17" width="6.81640625" style="13" customWidth="1"/>
    <col min="18" max="18" width="5.6328125" customWidth="1"/>
    <col min="19" max="19" width="5.6328125" style="13" customWidth="1"/>
    <col min="20" max="20" width="5.6328125" customWidth="1"/>
    <col min="21" max="21" width="5.6328125" style="13" customWidth="1"/>
    <col min="22" max="24" width="5.6328125" customWidth="1"/>
    <col min="25" max="25" width="5.6328125" style="13" customWidth="1"/>
    <col min="26" max="26" width="5.6328125" customWidth="1"/>
    <col min="29" max="29" width="11.453125" style="13"/>
  </cols>
  <sheetData>
    <row r="1" spans="1:30" x14ac:dyDescent="0.35">
      <c r="A1" t="s">
        <v>40</v>
      </c>
      <c r="C1" t="s">
        <v>41</v>
      </c>
      <c r="L1" t="s">
        <v>42</v>
      </c>
      <c r="AC1" s="13" t="s">
        <v>387</v>
      </c>
      <c r="AD1" t="s">
        <v>385</v>
      </c>
    </row>
    <row r="2" spans="1:30" x14ac:dyDescent="0.35">
      <c r="C2">
        <v>5</v>
      </c>
      <c r="D2">
        <v>6</v>
      </c>
      <c r="E2">
        <v>7</v>
      </c>
      <c r="F2">
        <v>8</v>
      </c>
      <c r="G2">
        <v>9</v>
      </c>
      <c r="J2" t="s">
        <v>672</v>
      </c>
      <c r="L2" s="74">
        <v>5</v>
      </c>
      <c r="M2" s="74"/>
      <c r="N2" s="74">
        <v>6</v>
      </c>
      <c r="O2" s="74"/>
      <c r="P2">
        <v>7</v>
      </c>
      <c r="R2">
        <v>8</v>
      </c>
      <c r="T2">
        <v>9</v>
      </c>
      <c r="X2" t="s">
        <v>672</v>
      </c>
    </row>
    <row r="3" spans="1:30" x14ac:dyDescent="0.35">
      <c r="A3" t="s">
        <v>43</v>
      </c>
      <c r="B3" t="s">
        <v>44</v>
      </c>
      <c r="L3" t="s">
        <v>13</v>
      </c>
      <c r="M3" s="13" t="s">
        <v>12</v>
      </c>
      <c r="X3" t="s">
        <v>13</v>
      </c>
      <c r="Y3" s="13" t="s">
        <v>12</v>
      </c>
      <c r="Z3" t="s">
        <v>14</v>
      </c>
    </row>
    <row r="4" spans="1:30" x14ac:dyDescent="0.35">
      <c r="A4" s="21" t="s">
        <v>22</v>
      </c>
      <c r="B4" s="21" t="s">
        <v>45</v>
      </c>
      <c r="C4" s="21">
        <v>1</v>
      </c>
      <c r="D4" s="21">
        <v>2</v>
      </c>
      <c r="E4" s="21">
        <v>2</v>
      </c>
      <c r="F4" s="21">
        <v>3</v>
      </c>
      <c r="G4" s="21">
        <v>1</v>
      </c>
      <c r="H4" s="21"/>
      <c r="I4" s="21"/>
      <c r="J4" s="29">
        <f>+AVERAGE(C4:G4)</f>
        <v>1.8</v>
      </c>
      <c r="K4" s="21"/>
      <c r="L4" s="21">
        <v>0</v>
      </c>
      <c r="M4" s="29">
        <v>0</v>
      </c>
      <c r="N4">
        <v>2</v>
      </c>
      <c r="O4" s="29">
        <v>12.4</v>
      </c>
      <c r="P4" s="21">
        <v>4</v>
      </c>
      <c r="Q4" s="29">
        <v>49.5</v>
      </c>
      <c r="R4" s="21">
        <v>2</v>
      </c>
      <c r="S4" s="29">
        <v>14</v>
      </c>
      <c r="T4" s="21">
        <v>3</v>
      </c>
      <c r="U4" s="29">
        <v>26.154</v>
      </c>
      <c r="V4" s="21"/>
      <c r="W4" s="21"/>
      <c r="X4" s="21">
        <f>+(L4+N4+P4+R4+T4)/5</f>
        <v>2.2000000000000002</v>
      </c>
      <c r="Y4" s="29">
        <f>+(M4+O4+Q4+S4+U4)/5</f>
        <v>20.410800000000002</v>
      </c>
      <c r="Z4" s="29">
        <f>+Y4/X4</f>
        <v>9.277636363636363</v>
      </c>
      <c r="AC4" s="13">
        <v>55.898000000000003</v>
      </c>
      <c r="AD4">
        <v>117.44</v>
      </c>
    </row>
    <row r="5" spans="1:30" x14ac:dyDescent="0.35">
      <c r="A5" s="21" t="s">
        <v>22</v>
      </c>
      <c r="B5" s="21" t="s">
        <v>24</v>
      </c>
      <c r="C5" s="21">
        <v>2</v>
      </c>
      <c r="D5" s="21">
        <v>0</v>
      </c>
      <c r="E5" s="21">
        <v>1</v>
      </c>
      <c r="F5" s="21">
        <v>1</v>
      </c>
      <c r="G5" s="21">
        <v>2</v>
      </c>
      <c r="H5" s="21"/>
      <c r="I5" s="21"/>
      <c r="J5" s="79">
        <f t="shared" ref="J5:J8" si="0">+AVERAGE(C5:G5)</f>
        <v>1.2</v>
      </c>
      <c r="K5" s="21"/>
      <c r="L5" s="21">
        <v>5</v>
      </c>
      <c r="M5" s="29">
        <v>41.3</v>
      </c>
      <c r="N5">
        <v>0</v>
      </c>
      <c r="O5" s="13">
        <v>0</v>
      </c>
      <c r="P5" s="21">
        <v>4</v>
      </c>
      <c r="Q5" s="29">
        <v>47.444000000000003</v>
      </c>
      <c r="R5" s="21">
        <v>1</v>
      </c>
      <c r="S5" s="29">
        <v>4</v>
      </c>
      <c r="T5" s="21">
        <v>3</v>
      </c>
      <c r="U5" s="29">
        <v>25</v>
      </c>
      <c r="V5" s="21"/>
      <c r="W5" s="21"/>
      <c r="X5" s="21">
        <f t="shared" ref="X5:X25" si="1">+(L5+N5+P5+R5+T5)/5</f>
        <v>2.6</v>
      </c>
      <c r="Y5" s="29">
        <f t="shared" ref="Y5:Y25" si="2">+(M5+O5+Q5+S5+U5)/5</f>
        <v>23.5488</v>
      </c>
      <c r="Z5" s="29">
        <f t="shared" ref="Z5:Z25" si="3">+Y5/X5</f>
        <v>9.0572307692307685</v>
      </c>
      <c r="AC5" s="13">
        <v>103.139</v>
      </c>
      <c r="AD5">
        <v>77.17</v>
      </c>
    </row>
    <row r="6" spans="1:30" x14ac:dyDescent="0.35">
      <c r="A6" s="21" t="s">
        <v>22</v>
      </c>
      <c r="B6" s="21" t="s">
        <v>25</v>
      </c>
      <c r="C6" s="21">
        <v>0</v>
      </c>
      <c r="D6" s="21">
        <v>1</v>
      </c>
      <c r="E6" s="21">
        <v>2</v>
      </c>
      <c r="F6" s="21">
        <v>0</v>
      </c>
      <c r="G6" s="21">
        <v>2</v>
      </c>
      <c r="H6" s="21"/>
      <c r="I6" s="21"/>
      <c r="J6" s="79">
        <f t="shared" si="0"/>
        <v>1</v>
      </c>
      <c r="K6" s="21"/>
      <c r="L6" s="21">
        <v>2</v>
      </c>
      <c r="M6" s="29">
        <v>32.5</v>
      </c>
      <c r="N6">
        <v>4</v>
      </c>
      <c r="O6" s="13">
        <v>44.3</v>
      </c>
      <c r="P6" s="21">
        <v>2</v>
      </c>
      <c r="Q6" s="29">
        <v>27.1</v>
      </c>
      <c r="R6" s="21">
        <v>1</v>
      </c>
      <c r="S6" s="29">
        <v>10</v>
      </c>
      <c r="T6" s="21">
        <v>0</v>
      </c>
      <c r="U6" s="29">
        <v>0</v>
      </c>
      <c r="V6" s="21"/>
      <c r="W6" s="21"/>
      <c r="X6" s="21">
        <f t="shared" si="1"/>
        <v>1.8</v>
      </c>
      <c r="Y6" s="29">
        <f t="shared" si="2"/>
        <v>22.78</v>
      </c>
      <c r="Z6" s="29">
        <f t="shared" si="3"/>
        <v>12.655555555555555</v>
      </c>
      <c r="AC6" s="13">
        <v>91.3</v>
      </c>
      <c r="AD6">
        <v>88.23</v>
      </c>
    </row>
    <row r="7" spans="1:30" x14ac:dyDescent="0.35">
      <c r="A7" s="21" t="s">
        <v>22</v>
      </c>
      <c r="B7" s="21" t="s">
        <v>26</v>
      </c>
      <c r="C7" s="21">
        <v>1</v>
      </c>
      <c r="D7" s="21">
        <v>1</v>
      </c>
      <c r="E7" s="21">
        <v>3</v>
      </c>
      <c r="F7" s="21">
        <v>4</v>
      </c>
      <c r="G7" s="21">
        <v>0</v>
      </c>
      <c r="H7" s="21"/>
      <c r="I7" s="21"/>
      <c r="J7" s="29">
        <f t="shared" si="0"/>
        <v>1.8</v>
      </c>
      <c r="K7" s="21"/>
      <c r="L7" s="21">
        <v>2</v>
      </c>
      <c r="M7" s="29">
        <v>12.7</v>
      </c>
      <c r="N7">
        <v>1</v>
      </c>
      <c r="O7" s="13">
        <v>10</v>
      </c>
      <c r="P7" s="21">
        <v>0</v>
      </c>
      <c r="Q7" s="29">
        <v>0</v>
      </c>
      <c r="R7" s="21">
        <v>2</v>
      </c>
      <c r="S7" s="29">
        <v>5.15</v>
      </c>
      <c r="T7" s="21">
        <v>2</v>
      </c>
      <c r="U7" s="29">
        <v>4.21</v>
      </c>
      <c r="V7" s="21"/>
      <c r="W7" s="21"/>
      <c r="X7" s="21">
        <f t="shared" si="1"/>
        <v>1.4</v>
      </c>
      <c r="Y7" s="29">
        <f t="shared" si="2"/>
        <v>6.4120000000000008</v>
      </c>
      <c r="Z7" s="29">
        <f t="shared" si="3"/>
        <v>4.580000000000001</v>
      </c>
      <c r="AC7" s="13">
        <v>37</v>
      </c>
      <c r="AD7">
        <v>53.51</v>
      </c>
    </row>
    <row r="8" spans="1:30" x14ac:dyDescent="0.35">
      <c r="A8" s="21" t="s">
        <v>22</v>
      </c>
      <c r="B8" s="21" t="s">
        <v>27</v>
      </c>
      <c r="C8" s="21">
        <v>0</v>
      </c>
      <c r="D8" s="21">
        <v>1</v>
      </c>
      <c r="E8" s="21">
        <v>0</v>
      </c>
      <c r="F8" s="21">
        <v>0</v>
      </c>
      <c r="G8" s="21">
        <v>0</v>
      </c>
      <c r="H8" s="21"/>
      <c r="I8" s="21"/>
      <c r="J8" s="79">
        <f t="shared" si="0"/>
        <v>0.2</v>
      </c>
      <c r="K8" s="21"/>
      <c r="L8" s="21">
        <v>2</v>
      </c>
      <c r="M8" s="29">
        <v>26.5</v>
      </c>
      <c r="N8">
        <v>1</v>
      </c>
      <c r="O8" s="29">
        <v>7</v>
      </c>
      <c r="P8" s="21">
        <v>0</v>
      </c>
      <c r="Q8" s="29">
        <v>0</v>
      </c>
      <c r="R8" s="21">
        <v>0</v>
      </c>
      <c r="S8" s="29">
        <v>0</v>
      </c>
      <c r="T8" s="21">
        <v>0</v>
      </c>
      <c r="U8" s="29">
        <v>0</v>
      </c>
      <c r="V8" s="21"/>
      <c r="W8" s="21"/>
      <c r="X8" s="5">
        <f t="shared" si="1"/>
        <v>0.6</v>
      </c>
      <c r="Y8" s="79">
        <f t="shared" si="2"/>
        <v>6.7</v>
      </c>
      <c r="Z8" s="79">
        <f>+Y8</f>
        <v>6.7</v>
      </c>
      <c r="AC8" s="13">
        <v>33.6</v>
      </c>
      <c r="AD8">
        <v>97.12</v>
      </c>
    </row>
    <row r="9" spans="1:30" x14ac:dyDescent="0.35">
      <c r="A9" s="22" t="s">
        <v>28</v>
      </c>
      <c r="B9" s="22" t="s">
        <v>29</v>
      </c>
      <c r="C9" s="22">
        <v>3</v>
      </c>
      <c r="D9" s="22">
        <v>0</v>
      </c>
      <c r="E9" s="22">
        <v>3</v>
      </c>
      <c r="F9" s="22">
        <v>1</v>
      </c>
      <c r="G9" s="22">
        <v>1</v>
      </c>
      <c r="H9" s="22"/>
      <c r="I9" s="22"/>
      <c r="J9" s="76">
        <f>+AVERAGE(C9:G9)</f>
        <v>1.6</v>
      </c>
      <c r="K9" s="22"/>
      <c r="L9" s="22">
        <v>4</v>
      </c>
      <c r="M9" s="76">
        <v>24.3</v>
      </c>
      <c r="N9" s="22">
        <v>1</v>
      </c>
      <c r="O9" s="76">
        <v>4.5999999999999996</v>
      </c>
      <c r="P9" s="22">
        <v>0</v>
      </c>
      <c r="Q9" s="76">
        <v>0</v>
      </c>
      <c r="R9" s="22">
        <v>0</v>
      </c>
      <c r="S9" s="76">
        <v>0</v>
      </c>
      <c r="T9" s="22">
        <v>0</v>
      </c>
      <c r="U9" s="76">
        <v>0</v>
      </c>
      <c r="V9" s="22"/>
      <c r="W9" s="22"/>
      <c r="X9" s="5">
        <f t="shared" si="1"/>
        <v>1</v>
      </c>
      <c r="Y9" s="79">
        <f t="shared" si="2"/>
        <v>5.7799999999999994</v>
      </c>
      <c r="Z9" s="79">
        <f t="shared" si="3"/>
        <v>5.7799999999999994</v>
      </c>
      <c r="AC9" s="13">
        <v>73.2</v>
      </c>
      <c r="AD9">
        <v>119.09</v>
      </c>
    </row>
    <row r="10" spans="1:30" x14ac:dyDescent="0.35">
      <c r="A10" s="22" t="s">
        <v>28</v>
      </c>
      <c r="B10" s="22" t="s">
        <v>30</v>
      </c>
      <c r="C10" s="22">
        <v>1</v>
      </c>
      <c r="D10" s="22">
        <v>2</v>
      </c>
      <c r="E10" s="22">
        <v>2</v>
      </c>
      <c r="F10" s="22">
        <v>1</v>
      </c>
      <c r="G10" s="22">
        <v>2</v>
      </c>
      <c r="H10" s="22"/>
      <c r="I10" s="22"/>
      <c r="J10" s="76">
        <f t="shared" ref="J10:J14" si="4">+AVERAGE(C10:G10)</f>
        <v>1.6</v>
      </c>
      <c r="K10" s="22"/>
      <c r="L10" s="22">
        <v>0</v>
      </c>
      <c r="M10" s="76">
        <v>0</v>
      </c>
      <c r="N10" s="22">
        <v>1</v>
      </c>
      <c r="O10" s="76">
        <v>3.89</v>
      </c>
      <c r="P10" s="22">
        <v>1</v>
      </c>
      <c r="Q10" s="76">
        <v>10</v>
      </c>
      <c r="R10" s="22">
        <v>1</v>
      </c>
      <c r="S10" s="76">
        <v>6</v>
      </c>
      <c r="T10" s="22">
        <v>0</v>
      </c>
      <c r="U10" s="76">
        <v>0</v>
      </c>
      <c r="V10" s="22"/>
      <c r="W10" s="22"/>
      <c r="X10" s="5">
        <f t="shared" si="1"/>
        <v>0.6</v>
      </c>
      <c r="Y10" s="79">
        <f t="shared" si="2"/>
        <v>3.9780000000000002</v>
      </c>
      <c r="Z10" s="79">
        <f>+Y10</f>
        <v>3.9780000000000002</v>
      </c>
      <c r="AC10" s="13">
        <v>37.700000000000003</v>
      </c>
      <c r="AD10">
        <v>41</v>
      </c>
    </row>
    <row r="11" spans="1:30" x14ac:dyDescent="0.35">
      <c r="A11" s="22" t="s">
        <v>28</v>
      </c>
      <c r="B11" s="22" t="s">
        <v>31</v>
      </c>
      <c r="C11" s="22">
        <v>1</v>
      </c>
      <c r="D11" s="22">
        <v>3</v>
      </c>
      <c r="E11" s="22">
        <v>3</v>
      </c>
      <c r="F11" s="22">
        <v>3</v>
      </c>
      <c r="G11" s="22">
        <v>1</v>
      </c>
      <c r="H11" s="22"/>
      <c r="I11" s="22"/>
      <c r="J11" s="76">
        <f t="shared" si="4"/>
        <v>2.2000000000000002</v>
      </c>
      <c r="K11" s="22"/>
      <c r="L11" s="22">
        <v>3</v>
      </c>
      <c r="M11" s="76">
        <v>30</v>
      </c>
      <c r="N11" s="22">
        <v>1</v>
      </c>
      <c r="O11" s="76">
        <v>4</v>
      </c>
      <c r="P11" s="22">
        <v>2</v>
      </c>
      <c r="Q11" s="76">
        <v>27.2</v>
      </c>
      <c r="R11" s="22">
        <v>0</v>
      </c>
      <c r="S11" s="76">
        <v>0</v>
      </c>
      <c r="T11" s="22">
        <v>3</v>
      </c>
      <c r="U11" s="76">
        <v>28.556000000000001</v>
      </c>
      <c r="V11" s="22"/>
      <c r="W11" s="22"/>
      <c r="X11" s="22">
        <f t="shared" si="1"/>
        <v>1.8</v>
      </c>
      <c r="Y11" s="76">
        <f t="shared" si="2"/>
        <v>17.9512</v>
      </c>
      <c r="Z11" s="76">
        <f t="shared" si="3"/>
        <v>9.9728888888888889</v>
      </c>
      <c r="AC11" s="13">
        <v>51</v>
      </c>
      <c r="AD11">
        <v>99</v>
      </c>
    </row>
    <row r="12" spans="1:30" x14ac:dyDescent="0.35">
      <c r="A12" s="22" t="s">
        <v>28</v>
      </c>
      <c r="B12" s="22" t="s">
        <v>32</v>
      </c>
      <c r="C12" s="22">
        <v>0</v>
      </c>
      <c r="D12" s="22">
        <v>1</v>
      </c>
      <c r="E12" s="22">
        <v>2</v>
      </c>
      <c r="F12" s="22">
        <v>2</v>
      </c>
      <c r="G12" s="22">
        <v>1</v>
      </c>
      <c r="H12" s="22"/>
      <c r="I12" s="22"/>
      <c r="J12" s="79">
        <f t="shared" si="4"/>
        <v>1.2</v>
      </c>
      <c r="K12" s="22"/>
      <c r="L12" s="22">
        <v>1</v>
      </c>
      <c r="M12" s="76">
        <v>3.2</v>
      </c>
      <c r="N12" s="22">
        <v>1</v>
      </c>
      <c r="O12" s="76">
        <v>20</v>
      </c>
      <c r="P12" s="22">
        <v>1</v>
      </c>
      <c r="Q12" s="76">
        <v>14.3</v>
      </c>
      <c r="R12" s="22">
        <v>1</v>
      </c>
      <c r="S12" s="76">
        <v>2</v>
      </c>
      <c r="T12" s="22">
        <v>2</v>
      </c>
      <c r="U12" s="76">
        <v>17.626000000000001</v>
      </c>
      <c r="V12" s="22"/>
      <c r="W12" s="22"/>
      <c r="X12" s="22">
        <f t="shared" si="1"/>
        <v>1.2</v>
      </c>
      <c r="Y12" s="76">
        <f t="shared" si="2"/>
        <v>11.4252</v>
      </c>
      <c r="Z12" s="76">
        <f t="shared" si="3"/>
        <v>9.5210000000000008</v>
      </c>
      <c r="AC12" s="13">
        <v>65.3</v>
      </c>
      <c r="AD12">
        <v>135</v>
      </c>
    </row>
    <row r="13" spans="1:30" x14ac:dyDescent="0.35">
      <c r="A13" s="22" t="s">
        <v>28</v>
      </c>
      <c r="B13" s="22" t="s">
        <v>25</v>
      </c>
      <c r="C13" s="22">
        <v>2</v>
      </c>
      <c r="D13" s="22">
        <v>1</v>
      </c>
      <c r="E13" s="22">
        <v>2</v>
      </c>
      <c r="F13" s="22">
        <v>1</v>
      </c>
      <c r="G13" s="22">
        <v>0</v>
      </c>
      <c r="H13" s="22"/>
      <c r="I13" s="22"/>
      <c r="J13" s="79">
        <f t="shared" si="4"/>
        <v>1.2</v>
      </c>
      <c r="K13" s="22"/>
      <c r="L13" s="22">
        <v>1</v>
      </c>
      <c r="M13" s="76">
        <v>1</v>
      </c>
      <c r="N13" s="22">
        <v>2</v>
      </c>
      <c r="O13" s="76">
        <v>17</v>
      </c>
      <c r="P13" s="22">
        <v>0</v>
      </c>
      <c r="Q13" s="76">
        <v>0</v>
      </c>
      <c r="R13" s="22">
        <v>0</v>
      </c>
      <c r="S13" s="76">
        <v>0</v>
      </c>
      <c r="T13" s="22">
        <v>0</v>
      </c>
      <c r="U13" s="76">
        <v>0</v>
      </c>
      <c r="V13" s="22"/>
      <c r="W13" s="22"/>
      <c r="X13" s="5">
        <f t="shared" si="1"/>
        <v>0.6</v>
      </c>
      <c r="Y13" s="79">
        <f t="shared" si="2"/>
        <v>3.6</v>
      </c>
      <c r="Z13" s="79">
        <f>+Y13</f>
        <v>3.6</v>
      </c>
      <c r="AC13" s="13">
        <v>51.640999999999998</v>
      </c>
      <c r="AD13">
        <v>40</v>
      </c>
    </row>
    <row r="14" spans="1:30" x14ac:dyDescent="0.35">
      <c r="A14" s="22" t="s">
        <v>28</v>
      </c>
      <c r="B14" s="22" t="s">
        <v>33</v>
      </c>
      <c r="C14" s="22">
        <v>5</v>
      </c>
      <c r="D14" s="22">
        <v>6</v>
      </c>
      <c r="E14" s="22">
        <v>2</v>
      </c>
      <c r="F14" s="22">
        <v>3</v>
      </c>
      <c r="G14" s="22">
        <v>4</v>
      </c>
      <c r="H14" s="22"/>
      <c r="I14" s="22"/>
      <c r="J14" s="76">
        <f t="shared" si="4"/>
        <v>4</v>
      </c>
      <c r="K14" s="22"/>
      <c r="L14" s="22">
        <v>1</v>
      </c>
      <c r="M14" s="76">
        <v>10</v>
      </c>
      <c r="N14" s="22">
        <v>2</v>
      </c>
      <c r="O14" s="76">
        <v>20</v>
      </c>
      <c r="P14" s="22">
        <v>2</v>
      </c>
      <c r="Q14" s="76">
        <v>20</v>
      </c>
      <c r="R14" s="22">
        <v>2</v>
      </c>
      <c r="S14" s="76">
        <v>11</v>
      </c>
      <c r="T14" s="22">
        <v>1</v>
      </c>
      <c r="U14" s="76">
        <v>5</v>
      </c>
      <c r="V14" s="22"/>
      <c r="W14" s="22"/>
      <c r="X14" s="22">
        <f t="shared" si="1"/>
        <v>1.6</v>
      </c>
      <c r="Y14" s="76">
        <f t="shared" si="2"/>
        <v>13.2</v>
      </c>
      <c r="Z14" s="76">
        <f t="shared" si="3"/>
        <v>8.2499999999999982</v>
      </c>
      <c r="AC14" s="13">
        <v>41</v>
      </c>
      <c r="AD14">
        <v>40</v>
      </c>
    </row>
    <row r="15" spans="1:30" x14ac:dyDescent="0.35">
      <c r="A15" s="23" t="s">
        <v>34</v>
      </c>
      <c r="B15" s="23" t="s">
        <v>35</v>
      </c>
      <c r="C15" s="23">
        <v>0</v>
      </c>
      <c r="D15" s="23">
        <v>1</v>
      </c>
      <c r="E15" s="23">
        <v>3</v>
      </c>
      <c r="F15" s="23">
        <v>2</v>
      </c>
      <c r="G15" s="23">
        <v>2</v>
      </c>
      <c r="H15" s="23"/>
      <c r="I15" s="23"/>
      <c r="J15" s="77">
        <f>+AVERAGE(C15:G15)</f>
        <v>1.6</v>
      </c>
      <c r="K15" s="23"/>
      <c r="L15" s="23">
        <v>2</v>
      </c>
      <c r="M15" s="77">
        <v>20</v>
      </c>
      <c r="N15" s="23">
        <v>1</v>
      </c>
      <c r="O15" s="77">
        <v>4.99</v>
      </c>
      <c r="P15" s="23">
        <v>2</v>
      </c>
      <c r="Q15" s="77">
        <v>18.643000000000001</v>
      </c>
      <c r="R15" s="23">
        <v>0</v>
      </c>
      <c r="S15" s="77">
        <v>0</v>
      </c>
      <c r="T15" s="23">
        <v>1</v>
      </c>
      <c r="U15" s="77">
        <v>4</v>
      </c>
      <c r="V15" s="23"/>
      <c r="W15" s="23"/>
      <c r="X15" s="23">
        <f t="shared" si="1"/>
        <v>1.2</v>
      </c>
      <c r="Y15" s="77">
        <f t="shared" si="2"/>
        <v>9.5266000000000002</v>
      </c>
      <c r="Z15" s="77">
        <f t="shared" si="3"/>
        <v>7.9388333333333341</v>
      </c>
      <c r="AC15" s="13">
        <v>63.1</v>
      </c>
      <c r="AD15">
        <v>114</v>
      </c>
    </row>
    <row r="16" spans="1:30" x14ac:dyDescent="0.35">
      <c r="A16" s="23" t="s">
        <v>34</v>
      </c>
      <c r="B16" s="23" t="s">
        <v>37</v>
      </c>
      <c r="C16" s="23">
        <v>0</v>
      </c>
      <c r="D16" s="23">
        <v>1</v>
      </c>
      <c r="E16" s="23">
        <v>2</v>
      </c>
      <c r="F16" s="23">
        <v>2</v>
      </c>
      <c r="G16" s="23">
        <v>1</v>
      </c>
      <c r="H16" s="23"/>
      <c r="I16" s="23"/>
      <c r="J16" s="79">
        <f t="shared" ref="J16:J18" si="5">+AVERAGE(C16:G16)</f>
        <v>1.2</v>
      </c>
      <c r="K16" s="23"/>
      <c r="L16" s="23">
        <v>0</v>
      </c>
      <c r="M16" s="77">
        <v>0</v>
      </c>
      <c r="N16" s="23">
        <v>0</v>
      </c>
      <c r="O16" s="77">
        <v>0</v>
      </c>
      <c r="P16" s="23">
        <v>2</v>
      </c>
      <c r="Q16" s="77">
        <v>18.038</v>
      </c>
      <c r="R16" s="23">
        <v>2</v>
      </c>
      <c r="S16" s="77">
        <v>37.524999999999999</v>
      </c>
      <c r="T16" s="23">
        <v>2</v>
      </c>
      <c r="U16" s="77">
        <v>26.297000000000001</v>
      </c>
      <c r="V16" s="23"/>
      <c r="W16" s="23"/>
      <c r="X16" s="23">
        <f t="shared" si="1"/>
        <v>1.2</v>
      </c>
      <c r="Y16" s="77">
        <f t="shared" si="2"/>
        <v>16.372</v>
      </c>
      <c r="Z16" s="77">
        <f t="shared" si="3"/>
        <v>13.643333333333334</v>
      </c>
      <c r="AC16" s="13">
        <v>49.073999999999998</v>
      </c>
      <c r="AD16">
        <v>129</v>
      </c>
    </row>
    <row r="17" spans="1:30" x14ac:dyDescent="0.35">
      <c r="A17" s="23" t="s">
        <v>34</v>
      </c>
      <c r="B17" s="23" t="s">
        <v>36</v>
      </c>
      <c r="C17" s="23">
        <v>4</v>
      </c>
      <c r="D17" s="23">
        <v>1</v>
      </c>
      <c r="E17" s="23">
        <v>2</v>
      </c>
      <c r="F17" s="23">
        <v>3</v>
      </c>
      <c r="G17" s="23">
        <v>1</v>
      </c>
      <c r="H17" s="23"/>
      <c r="I17" s="23"/>
      <c r="J17" s="77">
        <f t="shared" si="5"/>
        <v>2.2000000000000002</v>
      </c>
      <c r="K17" s="23"/>
      <c r="L17" s="23">
        <v>0</v>
      </c>
      <c r="M17" s="77">
        <v>0</v>
      </c>
      <c r="N17" s="23">
        <v>2</v>
      </c>
      <c r="O17" s="77">
        <v>22.59</v>
      </c>
      <c r="P17" s="23">
        <v>1</v>
      </c>
      <c r="Q17" s="77">
        <v>17.25</v>
      </c>
      <c r="R17" s="23">
        <v>0</v>
      </c>
      <c r="S17" s="77">
        <v>0</v>
      </c>
      <c r="T17" s="23">
        <v>0</v>
      </c>
      <c r="U17" s="77">
        <v>0</v>
      </c>
      <c r="V17" s="23"/>
      <c r="W17" s="23"/>
      <c r="X17" s="5">
        <f t="shared" si="1"/>
        <v>0.6</v>
      </c>
      <c r="Y17" s="77">
        <f t="shared" si="2"/>
        <v>7.9680000000000009</v>
      </c>
      <c r="Z17" s="77">
        <f t="shared" si="3"/>
        <v>13.280000000000001</v>
      </c>
      <c r="AC17" s="13">
        <v>37.24</v>
      </c>
      <c r="AD17">
        <v>131</v>
      </c>
    </row>
    <row r="18" spans="1:30" x14ac:dyDescent="0.35">
      <c r="A18" s="23" t="s">
        <v>34</v>
      </c>
      <c r="B18" s="23" t="s">
        <v>38</v>
      </c>
      <c r="C18" s="23">
        <v>3</v>
      </c>
      <c r="D18" s="23">
        <v>1</v>
      </c>
      <c r="E18" s="23">
        <v>1</v>
      </c>
      <c r="F18" s="23">
        <v>0</v>
      </c>
      <c r="G18" s="23">
        <v>0</v>
      </c>
      <c r="H18" s="23"/>
      <c r="I18" s="23"/>
      <c r="J18" s="79">
        <f t="shared" si="5"/>
        <v>1</v>
      </c>
      <c r="K18" s="23"/>
      <c r="L18" s="23">
        <v>2</v>
      </c>
      <c r="M18" s="77">
        <v>40</v>
      </c>
      <c r="N18" s="23">
        <v>0</v>
      </c>
      <c r="O18" s="77">
        <v>0</v>
      </c>
      <c r="P18" s="23">
        <v>0</v>
      </c>
      <c r="Q18" s="77">
        <v>0</v>
      </c>
      <c r="R18" s="23">
        <v>4</v>
      </c>
      <c r="S18" s="77">
        <v>27.25</v>
      </c>
      <c r="T18" s="23">
        <v>0</v>
      </c>
      <c r="U18" s="77">
        <v>0</v>
      </c>
      <c r="V18" s="23"/>
      <c r="W18" s="23"/>
      <c r="X18" s="23">
        <f t="shared" si="1"/>
        <v>1.2</v>
      </c>
      <c r="Y18" s="77">
        <f t="shared" si="2"/>
        <v>13.45</v>
      </c>
      <c r="Z18" s="77">
        <f t="shared" si="3"/>
        <v>11.208333333333334</v>
      </c>
      <c r="AC18" s="13">
        <v>61.2</v>
      </c>
      <c r="AD18">
        <v>134</v>
      </c>
    </row>
    <row r="19" spans="1:30" x14ac:dyDescent="0.35">
      <c r="A19" s="24" t="s">
        <v>39</v>
      </c>
      <c r="B19" s="24" t="s">
        <v>46</v>
      </c>
      <c r="C19" s="24">
        <v>6</v>
      </c>
      <c r="D19" s="24">
        <v>2</v>
      </c>
      <c r="E19" s="24">
        <v>5</v>
      </c>
      <c r="F19" s="24">
        <v>5</v>
      </c>
      <c r="G19" s="24">
        <v>6</v>
      </c>
      <c r="H19" s="24"/>
      <c r="I19" s="24"/>
      <c r="J19" s="78">
        <f>+AVERAGE(C19:G19)</f>
        <v>4.8</v>
      </c>
      <c r="K19" s="24"/>
      <c r="L19" s="24">
        <v>1</v>
      </c>
      <c r="M19" s="78">
        <v>2</v>
      </c>
      <c r="N19" s="24">
        <v>1</v>
      </c>
      <c r="O19" s="78">
        <v>1.94</v>
      </c>
      <c r="P19" s="24">
        <v>2</v>
      </c>
      <c r="Q19" s="78">
        <v>5.2</v>
      </c>
      <c r="R19" s="24">
        <v>2</v>
      </c>
      <c r="S19" s="78">
        <v>4.3390000000000004</v>
      </c>
      <c r="T19" s="24">
        <v>2</v>
      </c>
      <c r="U19" s="78">
        <v>3.1739999999999999</v>
      </c>
      <c r="V19" s="24"/>
      <c r="W19" s="24"/>
      <c r="X19" s="24">
        <f t="shared" si="1"/>
        <v>1.6</v>
      </c>
      <c r="Y19" s="78">
        <f t="shared" si="2"/>
        <v>3.3306000000000004</v>
      </c>
      <c r="Z19" s="78">
        <f t="shared" si="3"/>
        <v>2.0816250000000003</v>
      </c>
      <c r="AC19" s="13">
        <v>15.8</v>
      </c>
      <c r="AD19">
        <v>47</v>
      </c>
    </row>
    <row r="20" spans="1:30" x14ac:dyDescent="0.35">
      <c r="A20" s="24" t="s">
        <v>39</v>
      </c>
      <c r="B20" s="24" t="s">
        <v>47</v>
      </c>
      <c r="C20" s="24">
        <v>3</v>
      </c>
      <c r="D20" s="24">
        <v>2</v>
      </c>
      <c r="E20" s="24">
        <v>2</v>
      </c>
      <c r="F20" s="24">
        <v>5</v>
      </c>
      <c r="G20" s="24">
        <v>2</v>
      </c>
      <c r="H20" s="24"/>
      <c r="I20" s="24"/>
      <c r="J20" s="78">
        <f t="shared" ref="J20:J25" si="6">+AVERAGE(C20:G20)</f>
        <v>2.8</v>
      </c>
      <c r="K20" s="24"/>
      <c r="L20" s="24">
        <v>0</v>
      </c>
      <c r="M20" s="78">
        <v>0</v>
      </c>
      <c r="N20" s="24">
        <v>1</v>
      </c>
      <c r="O20" s="78">
        <v>3.5</v>
      </c>
      <c r="P20" s="24">
        <v>0</v>
      </c>
      <c r="Q20" s="78">
        <v>0</v>
      </c>
      <c r="R20" s="24">
        <v>6</v>
      </c>
      <c r="S20" s="78">
        <v>44</v>
      </c>
      <c r="T20" s="24">
        <v>1</v>
      </c>
      <c r="U20" s="78">
        <v>4</v>
      </c>
      <c r="V20" s="24"/>
      <c r="W20" s="24"/>
      <c r="X20" s="24">
        <f t="shared" si="1"/>
        <v>1.6</v>
      </c>
      <c r="Y20" s="78">
        <f t="shared" si="2"/>
        <v>10.3</v>
      </c>
      <c r="Z20" s="78">
        <f t="shared" si="3"/>
        <v>6.4375</v>
      </c>
      <c r="AA20" t="s">
        <v>610</v>
      </c>
      <c r="AC20" s="13">
        <v>47.5</v>
      </c>
      <c r="AD20">
        <v>93</v>
      </c>
    </row>
    <row r="21" spans="1:30" x14ac:dyDescent="0.35">
      <c r="A21" s="24" t="s">
        <v>39</v>
      </c>
      <c r="B21" s="24" t="s">
        <v>48</v>
      </c>
      <c r="C21" s="24">
        <v>0</v>
      </c>
      <c r="D21" s="24">
        <v>2</v>
      </c>
      <c r="E21" s="24">
        <v>1</v>
      </c>
      <c r="F21" s="24">
        <v>2</v>
      </c>
      <c r="G21" s="24">
        <v>2</v>
      </c>
      <c r="H21" s="24"/>
      <c r="I21" s="24"/>
      <c r="J21" s="79">
        <f t="shared" si="6"/>
        <v>1.4</v>
      </c>
      <c r="K21" s="24"/>
      <c r="L21" s="24">
        <v>0</v>
      </c>
      <c r="M21" s="78">
        <v>0</v>
      </c>
      <c r="N21" s="24">
        <v>1</v>
      </c>
      <c r="O21" s="78">
        <v>11</v>
      </c>
      <c r="P21" s="24">
        <v>1</v>
      </c>
      <c r="Q21" s="78">
        <v>20</v>
      </c>
      <c r="R21" s="24">
        <v>0</v>
      </c>
      <c r="S21" s="78">
        <v>0</v>
      </c>
      <c r="T21" s="24"/>
      <c r="U21" s="78"/>
      <c r="V21" s="24"/>
      <c r="W21" s="24"/>
      <c r="X21" s="5">
        <f t="shared" si="1"/>
        <v>0.4</v>
      </c>
      <c r="Y21" s="79">
        <f t="shared" si="2"/>
        <v>6.2</v>
      </c>
      <c r="Z21" s="79">
        <f>+Y21</f>
        <v>6.2</v>
      </c>
      <c r="AC21" s="13">
        <v>51</v>
      </c>
      <c r="AD21">
        <v>95</v>
      </c>
    </row>
    <row r="22" spans="1:30" x14ac:dyDescent="0.35">
      <c r="A22" s="24" t="s">
        <v>39</v>
      </c>
      <c r="B22" s="24" t="s">
        <v>49</v>
      </c>
      <c r="C22" s="24">
        <v>0</v>
      </c>
      <c r="D22" s="24">
        <v>1</v>
      </c>
      <c r="E22" s="24">
        <v>2</v>
      </c>
      <c r="F22" s="24">
        <v>2</v>
      </c>
      <c r="G22" s="24">
        <v>2</v>
      </c>
      <c r="H22" s="24"/>
      <c r="I22" s="24"/>
      <c r="J22" s="79">
        <f t="shared" si="6"/>
        <v>1.4</v>
      </c>
      <c r="K22" s="24"/>
      <c r="L22" s="24">
        <v>0</v>
      </c>
      <c r="M22" s="78">
        <v>0</v>
      </c>
      <c r="N22" s="24">
        <v>0</v>
      </c>
      <c r="O22" s="78">
        <v>0</v>
      </c>
      <c r="P22" s="24">
        <v>2</v>
      </c>
      <c r="Q22" s="78">
        <v>21</v>
      </c>
      <c r="R22" s="24">
        <v>0</v>
      </c>
      <c r="S22" s="78">
        <v>0</v>
      </c>
      <c r="T22" s="24"/>
      <c r="U22" s="78"/>
      <c r="V22" s="24"/>
      <c r="W22" s="24"/>
      <c r="X22" s="5">
        <f t="shared" si="1"/>
        <v>0.4</v>
      </c>
      <c r="Y22" s="79">
        <f t="shared" si="2"/>
        <v>4.2</v>
      </c>
      <c r="Z22" s="79">
        <f>+Y22</f>
        <v>4.2</v>
      </c>
      <c r="AC22" s="13">
        <v>21</v>
      </c>
      <c r="AD22">
        <v>63</v>
      </c>
    </row>
    <row r="23" spans="1:30" x14ac:dyDescent="0.35">
      <c r="A23" s="24" t="s">
        <v>39</v>
      </c>
      <c r="B23" s="24" t="s">
        <v>50</v>
      </c>
      <c r="C23" s="24">
        <v>1</v>
      </c>
      <c r="D23" s="24">
        <v>2</v>
      </c>
      <c r="E23" s="24">
        <v>1</v>
      </c>
      <c r="F23" s="24">
        <v>1</v>
      </c>
      <c r="G23" s="24">
        <v>1</v>
      </c>
      <c r="H23" s="24"/>
      <c r="I23" s="24"/>
      <c r="J23" s="79">
        <f t="shared" si="6"/>
        <v>1.2</v>
      </c>
      <c r="K23" s="24"/>
      <c r="L23" s="24">
        <v>0</v>
      </c>
      <c r="M23" s="78">
        <v>0</v>
      </c>
      <c r="N23" s="24">
        <v>4</v>
      </c>
      <c r="O23" s="78">
        <v>49.75</v>
      </c>
      <c r="P23" s="24">
        <v>1</v>
      </c>
      <c r="Q23" s="78">
        <v>5</v>
      </c>
      <c r="R23" s="24">
        <v>1</v>
      </c>
      <c r="S23" s="78">
        <v>10</v>
      </c>
      <c r="T23" s="24">
        <v>2</v>
      </c>
      <c r="U23" s="78">
        <v>24</v>
      </c>
      <c r="V23" s="24"/>
      <c r="W23" s="24"/>
      <c r="X23" s="24">
        <f t="shared" si="1"/>
        <v>1.6</v>
      </c>
      <c r="Y23" s="78">
        <f t="shared" si="2"/>
        <v>17.75</v>
      </c>
      <c r="Z23" s="78">
        <f t="shared" si="3"/>
        <v>11.09375</v>
      </c>
      <c r="AC23" s="13">
        <v>47.5</v>
      </c>
      <c r="AD23">
        <v>115</v>
      </c>
    </row>
    <row r="24" spans="1:30" x14ac:dyDescent="0.35">
      <c r="A24" s="24" t="s">
        <v>39</v>
      </c>
      <c r="B24" s="24" t="s">
        <v>51</v>
      </c>
      <c r="C24" s="24">
        <v>0</v>
      </c>
      <c r="D24" s="24">
        <v>0</v>
      </c>
      <c r="E24" s="24">
        <v>1</v>
      </c>
      <c r="F24" s="24">
        <v>2</v>
      </c>
      <c r="G24" s="24">
        <v>0</v>
      </c>
      <c r="H24" s="24"/>
      <c r="I24" s="24"/>
      <c r="J24" s="79">
        <f t="shared" si="6"/>
        <v>0.6</v>
      </c>
      <c r="K24" s="24"/>
      <c r="L24" s="24">
        <v>0</v>
      </c>
      <c r="M24" s="78">
        <v>0</v>
      </c>
      <c r="N24" s="24">
        <v>1</v>
      </c>
      <c r="O24" s="78">
        <v>20</v>
      </c>
      <c r="P24" s="24">
        <v>0</v>
      </c>
      <c r="Q24" s="78">
        <v>0</v>
      </c>
      <c r="R24" s="24">
        <v>1</v>
      </c>
      <c r="S24" s="78">
        <v>8</v>
      </c>
      <c r="T24" s="24">
        <v>1</v>
      </c>
      <c r="U24" s="78">
        <v>20</v>
      </c>
      <c r="V24" s="24"/>
      <c r="W24" s="24"/>
      <c r="X24" s="5">
        <f t="shared" si="1"/>
        <v>0.6</v>
      </c>
      <c r="Y24" s="78">
        <f t="shared" si="2"/>
        <v>9.6</v>
      </c>
      <c r="Z24" s="78">
        <f>+Y24</f>
        <v>9.6</v>
      </c>
      <c r="AC24" s="13">
        <v>20</v>
      </c>
      <c r="AD24">
        <v>104</v>
      </c>
    </row>
    <row r="25" spans="1:30" x14ac:dyDescent="0.35">
      <c r="A25" s="24" t="s">
        <v>39</v>
      </c>
      <c r="B25" s="24" t="s">
        <v>52</v>
      </c>
      <c r="C25" s="24">
        <v>0</v>
      </c>
      <c r="D25" s="24">
        <v>1</v>
      </c>
      <c r="E25" s="24">
        <v>0</v>
      </c>
      <c r="F25" s="24">
        <v>3</v>
      </c>
      <c r="G25" s="24">
        <v>2</v>
      </c>
      <c r="H25" s="24"/>
      <c r="I25" s="24"/>
      <c r="J25" s="79">
        <f t="shared" si="6"/>
        <v>1.2</v>
      </c>
      <c r="K25" s="24"/>
      <c r="L25" s="24">
        <v>0</v>
      </c>
      <c r="M25" s="78">
        <v>0</v>
      </c>
      <c r="N25" s="24">
        <v>2</v>
      </c>
      <c r="O25" s="78">
        <v>22</v>
      </c>
      <c r="P25" s="24">
        <v>1</v>
      </c>
      <c r="Q25" s="78">
        <v>3.9</v>
      </c>
      <c r="R25" s="24">
        <v>1</v>
      </c>
      <c r="S25" s="78">
        <v>20</v>
      </c>
      <c r="T25" s="24">
        <v>1</v>
      </c>
      <c r="U25" s="78">
        <v>4</v>
      </c>
      <c r="V25" s="24"/>
      <c r="W25" s="24"/>
      <c r="X25" s="24">
        <f t="shared" si="1"/>
        <v>1</v>
      </c>
      <c r="Y25" s="78">
        <f t="shared" si="2"/>
        <v>9.98</v>
      </c>
      <c r="Z25" s="78">
        <f t="shared" si="3"/>
        <v>9.98</v>
      </c>
      <c r="AC25" s="13">
        <v>79.997</v>
      </c>
      <c r="AD25">
        <v>99</v>
      </c>
    </row>
    <row r="26" spans="1:30" x14ac:dyDescent="0.35">
      <c r="A26" s="24" t="s">
        <v>39</v>
      </c>
      <c r="B26" s="24" t="s">
        <v>386</v>
      </c>
      <c r="P26" s="21"/>
      <c r="AD26">
        <v>76</v>
      </c>
    </row>
  </sheetData>
  <autoFilter ref="A3:M26" xr:uid="{C61E3E55-7E9A-4FB9-9186-71D34C6B392F}">
    <sortState xmlns:xlrd2="http://schemas.microsoft.com/office/spreadsheetml/2017/richdata2" ref="A4:M25">
      <sortCondition ref="A3"/>
    </sortState>
  </autoFilter>
  <mergeCells count="2">
    <mergeCell ref="L2:M2"/>
    <mergeCell ref="N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D3D5-94C5-464F-AAA5-13FCEF40C9CB}">
  <dimension ref="A1:K58"/>
  <sheetViews>
    <sheetView workbookViewId="0">
      <selection activeCell="B60" sqref="B60"/>
    </sheetView>
  </sheetViews>
  <sheetFormatPr baseColWidth="10" defaultColWidth="11.453125" defaultRowHeight="14.5" x14ac:dyDescent="0.35"/>
  <cols>
    <col min="1" max="1" width="8.08984375" customWidth="1"/>
    <col min="2" max="2" width="20.36328125" customWidth="1"/>
    <col min="3" max="3" width="12.81640625" customWidth="1"/>
    <col min="4" max="4" width="14" bestFit="1" customWidth="1"/>
    <col min="5" max="5" width="5.26953125" customWidth="1"/>
    <col min="6" max="6" width="8.54296875" customWidth="1"/>
    <col min="8" max="8" width="16.26953125" bestFit="1" customWidth="1"/>
    <col min="10" max="10" width="14" customWidth="1"/>
    <col min="11" max="11" width="36.54296875" bestFit="1" customWidth="1"/>
  </cols>
  <sheetData>
    <row r="1" spans="1:11" x14ac:dyDescent="0.35">
      <c r="A1" t="s">
        <v>53</v>
      </c>
      <c r="B1" t="s">
        <v>54</v>
      </c>
      <c r="C1" t="s">
        <v>364</v>
      </c>
      <c r="D1" t="s">
        <v>44</v>
      </c>
      <c r="E1" t="s">
        <v>55</v>
      </c>
      <c r="F1" t="s">
        <v>399</v>
      </c>
      <c r="G1" t="s">
        <v>56</v>
      </c>
      <c r="H1" t="s">
        <v>57</v>
      </c>
      <c r="I1" t="s">
        <v>58</v>
      </c>
      <c r="K1" t="s">
        <v>59</v>
      </c>
    </row>
    <row r="2" spans="1:11" ht="29" x14ac:dyDescent="0.35">
      <c r="A2" t="s">
        <v>34</v>
      </c>
      <c r="B2" t="s">
        <v>99</v>
      </c>
      <c r="C2">
        <v>100</v>
      </c>
      <c r="D2" t="s">
        <v>100</v>
      </c>
      <c r="E2" t="s">
        <v>62</v>
      </c>
      <c r="G2" s="1">
        <v>46142</v>
      </c>
      <c r="H2" t="s">
        <v>67</v>
      </c>
      <c r="I2">
        <v>21</v>
      </c>
      <c r="K2" s="8" t="s">
        <v>551</v>
      </c>
    </row>
    <row r="3" spans="1:11" x14ac:dyDescent="0.35">
      <c r="A3" t="s">
        <v>28</v>
      </c>
      <c r="B3" t="s">
        <v>83</v>
      </c>
      <c r="C3" s="38">
        <v>81</v>
      </c>
      <c r="D3" t="s">
        <v>84</v>
      </c>
      <c r="E3" t="s">
        <v>62</v>
      </c>
      <c r="G3" s="1">
        <v>46142</v>
      </c>
      <c r="H3" t="s">
        <v>67</v>
      </c>
      <c r="I3">
        <v>28</v>
      </c>
      <c r="K3" t="s">
        <v>85</v>
      </c>
    </row>
    <row r="4" spans="1:11" ht="43.5" x14ac:dyDescent="0.35">
      <c r="A4" t="s">
        <v>39</v>
      </c>
      <c r="B4" t="s">
        <v>106</v>
      </c>
      <c r="C4" s="38">
        <v>65</v>
      </c>
      <c r="D4" t="s">
        <v>50</v>
      </c>
      <c r="E4" t="s">
        <v>62</v>
      </c>
      <c r="F4" t="s">
        <v>403</v>
      </c>
      <c r="G4" s="1">
        <v>46112</v>
      </c>
      <c r="H4" t="s">
        <v>67</v>
      </c>
      <c r="I4">
        <v>94</v>
      </c>
      <c r="K4" s="8" t="s">
        <v>409</v>
      </c>
    </row>
    <row r="5" spans="1:11" x14ac:dyDescent="0.35">
      <c r="A5" t="s">
        <v>22</v>
      </c>
      <c r="B5" t="s">
        <v>369</v>
      </c>
      <c r="C5" s="3">
        <v>60</v>
      </c>
      <c r="D5" t="s">
        <v>66</v>
      </c>
      <c r="E5" t="s">
        <v>62</v>
      </c>
      <c r="G5" s="1">
        <v>46142</v>
      </c>
      <c r="H5" t="s">
        <v>74</v>
      </c>
      <c r="I5">
        <v>14</v>
      </c>
      <c r="J5" t="s">
        <v>630</v>
      </c>
      <c r="K5" t="s">
        <v>397</v>
      </c>
    </row>
    <row r="6" spans="1:11" x14ac:dyDescent="0.35">
      <c r="A6" t="s">
        <v>22</v>
      </c>
      <c r="B6" t="s">
        <v>73</v>
      </c>
      <c r="C6" s="3">
        <v>55</v>
      </c>
      <c r="D6" t="s">
        <v>61</v>
      </c>
      <c r="E6" t="s">
        <v>62</v>
      </c>
      <c r="G6" s="1">
        <v>46142</v>
      </c>
      <c r="H6" t="s">
        <v>74</v>
      </c>
      <c r="I6">
        <v>34</v>
      </c>
      <c r="J6" t="s">
        <v>629</v>
      </c>
      <c r="K6" t="s">
        <v>629</v>
      </c>
    </row>
    <row r="7" spans="1:11" x14ac:dyDescent="0.35">
      <c r="A7" t="s">
        <v>39</v>
      </c>
      <c r="B7" t="s">
        <v>372</v>
      </c>
      <c r="C7">
        <v>50</v>
      </c>
      <c r="D7" t="s">
        <v>48</v>
      </c>
      <c r="E7" t="s">
        <v>62</v>
      </c>
      <c r="F7" t="s">
        <v>403</v>
      </c>
      <c r="G7" s="1">
        <v>46112</v>
      </c>
      <c r="H7" t="s">
        <v>74</v>
      </c>
      <c r="I7">
        <v>14</v>
      </c>
      <c r="K7" t="s">
        <v>410</v>
      </c>
    </row>
    <row r="8" spans="1:11" x14ac:dyDescent="0.35">
      <c r="A8" t="s">
        <v>28</v>
      </c>
      <c r="B8" t="s">
        <v>612</v>
      </c>
      <c r="C8">
        <v>42</v>
      </c>
      <c r="D8" t="s">
        <v>33</v>
      </c>
      <c r="E8" t="s">
        <v>62</v>
      </c>
      <c r="G8" s="1">
        <v>46111</v>
      </c>
      <c r="H8" t="s">
        <v>67</v>
      </c>
      <c r="I8">
        <v>14</v>
      </c>
      <c r="K8" t="s">
        <v>639</v>
      </c>
    </row>
    <row r="9" spans="1:11" x14ac:dyDescent="0.35">
      <c r="A9" t="s">
        <v>22</v>
      </c>
      <c r="B9" t="s">
        <v>60</v>
      </c>
      <c r="C9">
        <v>40</v>
      </c>
      <c r="D9" t="s">
        <v>61</v>
      </c>
      <c r="E9" t="s">
        <v>62</v>
      </c>
      <c r="G9" s="1">
        <v>46142</v>
      </c>
      <c r="H9" t="s">
        <v>63</v>
      </c>
      <c r="I9">
        <v>32</v>
      </c>
      <c r="J9" t="s">
        <v>631</v>
      </c>
      <c r="K9" t="s">
        <v>64</v>
      </c>
    </row>
    <row r="10" spans="1:11" ht="58" x14ac:dyDescent="0.35">
      <c r="A10" t="s">
        <v>34</v>
      </c>
      <c r="B10" t="s">
        <v>91</v>
      </c>
      <c r="C10" s="3">
        <v>40</v>
      </c>
      <c r="D10" t="s">
        <v>92</v>
      </c>
      <c r="E10" t="s">
        <v>62</v>
      </c>
      <c r="F10" t="s">
        <v>403</v>
      </c>
      <c r="G10" s="1">
        <v>46142</v>
      </c>
      <c r="H10" t="s">
        <v>74</v>
      </c>
      <c r="I10">
        <v>26</v>
      </c>
      <c r="K10" s="8" t="s">
        <v>443</v>
      </c>
    </row>
    <row r="11" spans="1:11" x14ac:dyDescent="0.35">
      <c r="A11" t="s">
        <v>39</v>
      </c>
      <c r="B11" t="s">
        <v>103</v>
      </c>
      <c r="C11">
        <v>35</v>
      </c>
      <c r="D11" t="s">
        <v>52</v>
      </c>
      <c r="E11" t="s">
        <v>62</v>
      </c>
      <c r="G11" s="1">
        <v>46162</v>
      </c>
      <c r="H11" t="s">
        <v>93</v>
      </c>
      <c r="I11">
        <v>159</v>
      </c>
      <c r="K11" t="s">
        <v>448</v>
      </c>
    </row>
    <row r="12" spans="1:11" x14ac:dyDescent="0.35">
      <c r="A12" t="s">
        <v>28</v>
      </c>
      <c r="B12" s="23" t="s">
        <v>80</v>
      </c>
      <c r="C12" s="3">
        <v>33</v>
      </c>
      <c r="D12" t="s">
        <v>81</v>
      </c>
      <c r="E12" t="s">
        <v>62</v>
      </c>
      <c r="G12" s="1">
        <v>46142</v>
      </c>
      <c r="H12" t="s">
        <v>82</v>
      </c>
      <c r="I12">
        <v>45</v>
      </c>
      <c r="K12" t="s">
        <v>640</v>
      </c>
    </row>
    <row r="13" spans="1:11" x14ac:dyDescent="0.35">
      <c r="A13" t="s">
        <v>34</v>
      </c>
      <c r="B13" t="s">
        <v>472</v>
      </c>
      <c r="C13">
        <v>30</v>
      </c>
      <c r="D13" t="s">
        <v>92</v>
      </c>
      <c r="E13" t="s">
        <v>62</v>
      </c>
      <c r="G13" s="1">
        <v>46142</v>
      </c>
      <c r="H13" t="s">
        <v>93</v>
      </c>
      <c r="I13">
        <v>28</v>
      </c>
      <c r="K13" t="s">
        <v>94</v>
      </c>
    </row>
    <row r="14" spans="1:11" x14ac:dyDescent="0.35">
      <c r="A14" t="s">
        <v>28</v>
      </c>
      <c r="B14" t="s">
        <v>86</v>
      </c>
      <c r="C14" s="3">
        <v>24</v>
      </c>
      <c r="D14" t="s">
        <v>87</v>
      </c>
      <c r="E14" t="s">
        <v>62</v>
      </c>
      <c r="G14" s="1">
        <v>46142</v>
      </c>
      <c r="H14" t="s">
        <v>63</v>
      </c>
      <c r="I14">
        <v>21</v>
      </c>
      <c r="K14" t="s">
        <v>641</v>
      </c>
    </row>
    <row r="15" spans="1:11" x14ac:dyDescent="0.35">
      <c r="A15" t="s">
        <v>34</v>
      </c>
      <c r="B15" t="s">
        <v>95</v>
      </c>
      <c r="C15">
        <v>23</v>
      </c>
      <c r="D15" t="s">
        <v>92</v>
      </c>
      <c r="E15" t="s">
        <v>62</v>
      </c>
      <c r="G15" s="1">
        <v>46142</v>
      </c>
      <c r="H15" t="s">
        <v>67</v>
      </c>
      <c r="I15">
        <v>70</v>
      </c>
      <c r="K15" s="8" t="s">
        <v>362</v>
      </c>
    </row>
    <row r="16" spans="1:11" x14ac:dyDescent="0.35">
      <c r="A16" t="s">
        <v>28</v>
      </c>
      <c r="B16" s="24" t="s">
        <v>118</v>
      </c>
      <c r="C16" s="3">
        <v>20.7</v>
      </c>
      <c r="D16" t="s">
        <v>84</v>
      </c>
      <c r="E16" t="s">
        <v>62</v>
      </c>
      <c r="F16" t="s">
        <v>403</v>
      </c>
      <c r="G16" s="1">
        <v>46111</v>
      </c>
      <c r="H16" t="s">
        <v>74</v>
      </c>
      <c r="I16">
        <v>16.8</v>
      </c>
      <c r="K16" t="s">
        <v>642</v>
      </c>
    </row>
    <row r="17" spans="1:11" x14ac:dyDescent="0.35">
      <c r="A17" t="s">
        <v>22</v>
      </c>
      <c r="B17" t="s">
        <v>65</v>
      </c>
      <c r="C17">
        <v>20</v>
      </c>
      <c r="D17" t="s">
        <v>66</v>
      </c>
      <c r="E17" t="s">
        <v>62</v>
      </c>
      <c r="G17" s="1">
        <v>46142</v>
      </c>
      <c r="H17" t="s">
        <v>67</v>
      </c>
      <c r="I17">
        <v>92</v>
      </c>
      <c r="J17" t="s">
        <v>632</v>
      </c>
      <c r="K17" t="s">
        <v>68</v>
      </c>
    </row>
    <row r="18" spans="1:11" x14ac:dyDescent="0.35">
      <c r="A18" t="s">
        <v>22</v>
      </c>
      <c r="B18" t="s">
        <v>69</v>
      </c>
      <c r="C18">
        <v>20</v>
      </c>
      <c r="D18" t="s">
        <v>66</v>
      </c>
      <c r="E18" t="s">
        <v>62</v>
      </c>
      <c r="G18" s="1">
        <v>46142</v>
      </c>
      <c r="H18" t="s">
        <v>67</v>
      </c>
      <c r="I18">
        <v>78</v>
      </c>
      <c r="J18" t="s">
        <v>72</v>
      </c>
      <c r="K18" t="s">
        <v>398</v>
      </c>
    </row>
    <row r="19" spans="1:11" x14ac:dyDescent="0.35">
      <c r="A19" t="s">
        <v>22</v>
      </c>
      <c r="B19" t="s">
        <v>70</v>
      </c>
      <c r="C19">
        <v>20</v>
      </c>
      <c r="D19" t="s">
        <v>71</v>
      </c>
      <c r="E19" t="s">
        <v>62</v>
      </c>
      <c r="G19" s="1">
        <v>46142</v>
      </c>
      <c r="H19" t="s">
        <v>63</v>
      </c>
      <c r="I19">
        <v>95</v>
      </c>
      <c r="J19" t="s">
        <v>72</v>
      </c>
      <c r="K19" t="s">
        <v>72</v>
      </c>
    </row>
    <row r="20" spans="1:11" ht="29" x14ac:dyDescent="0.35">
      <c r="A20" t="s">
        <v>22</v>
      </c>
      <c r="B20" t="s">
        <v>78</v>
      </c>
      <c r="C20">
        <v>20</v>
      </c>
      <c r="D20" t="s">
        <v>61</v>
      </c>
      <c r="E20" t="s">
        <v>62</v>
      </c>
      <c r="G20" s="1">
        <v>46142</v>
      </c>
      <c r="H20" t="s">
        <v>63</v>
      </c>
      <c r="I20">
        <v>25</v>
      </c>
      <c r="J20" s="28" t="s">
        <v>633</v>
      </c>
      <c r="K20" t="s">
        <v>371</v>
      </c>
    </row>
    <row r="21" spans="1:11" x14ac:dyDescent="0.35">
      <c r="A21" t="s">
        <v>22</v>
      </c>
      <c r="B21" t="s">
        <v>120</v>
      </c>
      <c r="C21" s="3">
        <v>20</v>
      </c>
      <c r="D21" t="s">
        <v>66</v>
      </c>
      <c r="E21" t="s">
        <v>62</v>
      </c>
      <c r="G21" s="1">
        <v>46142</v>
      </c>
      <c r="H21" t="s">
        <v>74</v>
      </c>
      <c r="I21">
        <v>15</v>
      </c>
      <c r="J21" t="s">
        <v>634</v>
      </c>
      <c r="K21" t="s">
        <v>370</v>
      </c>
    </row>
    <row r="22" spans="1:11" x14ac:dyDescent="0.35">
      <c r="A22" t="s">
        <v>28</v>
      </c>
      <c r="B22" t="s">
        <v>368</v>
      </c>
      <c r="C22">
        <v>20</v>
      </c>
      <c r="D22" t="s">
        <v>33</v>
      </c>
      <c r="E22" t="s">
        <v>62</v>
      </c>
      <c r="G22" s="1">
        <v>46111</v>
      </c>
      <c r="H22" t="s">
        <v>74</v>
      </c>
      <c r="I22">
        <v>14</v>
      </c>
      <c r="K22" t="s">
        <v>390</v>
      </c>
    </row>
    <row r="23" spans="1:11" x14ac:dyDescent="0.35">
      <c r="A23" t="s">
        <v>28</v>
      </c>
      <c r="B23" s="24" t="s">
        <v>388</v>
      </c>
      <c r="C23" s="3">
        <v>20</v>
      </c>
      <c r="D23" t="s">
        <v>389</v>
      </c>
      <c r="E23" t="s">
        <v>62</v>
      </c>
      <c r="F23" t="s">
        <v>403</v>
      </c>
      <c r="G23" s="1">
        <v>46111</v>
      </c>
      <c r="H23" t="s">
        <v>67</v>
      </c>
      <c r="I23">
        <v>7</v>
      </c>
      <c r="K23" t="s">
        <v>643</v>
      </c>
    </row>
    <row r="24" spans="1:11" x14ac:dyDescent="0.35">
      <c r="A24" t="s">
        <v>34</v>
      </c>
      <c r="B24" t="s">
        <v>96</v>
      </c>
      <c r="C24">
        <v>20</v>
      </c>
      <c r="D24" t="s">
        <v>90</v>
      </c>
      <c r="E24" t="s">
        <v>62</v>
      </c>
      <c r="G24" s="1">
        <v>46142</v>
      </c>
      <c r="H24" t="s">
        <v>67</v>
      </c>
      <c r="I24">
        <v>27</v>
      </c>
      <c r="K24" s="8" t="s">
        <v>626</v>
      </c>
    </row>
    <row r="25" spans="1:11" x14ac:dyDescent="0.35">
      <c r="A25" t="s">
        <v>34</v>
      </c>
      <c r="B25" t="s">
        <v>97</v>
      </c>
      <c r="C25">
        <v>20</v>
      </c>
      <c r="D25" t="s">
        <v>90</v>
      </c>
      <c r="E25" t="s">
        <v>62</v>
      </c>
      <c r="G25" s="1">
        <v>46142</v>
      </c>
      <c r="H25" t="s">
        <v>67</v>
      </c>
      <c r="I25">
        <v>87</v>
      </c>
      <c r="K25" s="8" t="s">
        <v>547</v>
      </c>
    </row>
    <row r="26" spans="1:11" ht="29" x14ac:dyDescent="0.35">
      <c r="A26" t="s">
        <v>34</v>
      </c>
      <c r="B26" t="s">
        <v>474</v>
      </c>
      <c r="C26">
        <v>20</v>
      </c>
      <c r="D26" t="s">
        <v>90</v>
      </c>
      <c r="E26" t="s">
        <v>62</v>
      </c>
      <c r="G26" s="1">
        <v>46142</v>
      </c>
      <c r="H26" t="s">
        <v>74</v>
      </c>
      <c r="I26">
        <v>77</v>
      </c>
      <c r="K26" s="8" t="s">
        <v>627</v>
      </c>
    </row>
    <row r="27" spans="1:11" x14ac:dyDescent="0.35">
      <c r="A27" t="s">
        <v>34</v>
      </c>
      <c r="B27" t="s">
        <v>98</v>
      </c>
      <c r="C27">
        <v>20</v>
      </c>
      <c r="D27" t="s">
        <v>90</v>
      </c>
      <c r="E27" t="s">
        <v>62</v>
      </c>
      <c r="G27" s="1">
        <v>46142</v>
      </c>
      <c r="H27" t="s">
        <v>67</v>
      </c>
      <c r="I27">
        <v>13</v>
      </c>
      <c r="K27" s="8" t="s">
        <v>378</v>
      </c>
    </row>
    <row r="28" spans="1:11" ht="29" x14ac:dyDescent="0.35">
      <c r="A28" t="s">
        <v>39</v>
      </c>
      <c r="B28" t="s">
        <v>104</v>
      </c>
      <c r="C28" s="38">
        <v>20</v>
      </c>
      <c r="D28" t="s">
        <v>50</v>
      </c>
      <c r="E28" t="s">
        <v>105</v>
      </c>
      <c r="G28" s="1">
        <v>46112</v>
      </c>
      <c r="H28" t="s">
        <v>74</v>
      </c>
      <c r="I28">
        <v>94</v>
      </c>
      <c r="K28" s="8" t="s">
        <v>379</v>
      </c>
    </row>
    <row r="29" spans="1:11" x14ac:dyDescent="0.35">
      <c r="A29" t="s">
        <v>39</v>
      </c>
      <c r="B29" t="s">
        <v>107</v>
      </c>
      <c r="C29">
        <v>20</v>
      </c>
      <c r="D29" t="s">
        <v>52</v>
      </c>
      <c r="E29" t="s">
        <v>62</v>
      </c>
      <c r="G29" s="1">
        <v>46112</v>
      </c>
      <c r="H29" t="s">
        <v>63</v>
      </c>
      <c r="I29">
        <v>24</v>
      </c>
      <c r="K29" t="s">
        <v>391</v>
      </c>
    </row>
    <row r="30" spans="1:11" x14ac:dyDescent="0.35">
      <c r="A30" t="s">
        <v>39</v>
      </c>
      <c r="B30" t="s">
        <v>108</v>
      </c>
      <c r="C30" s="4">
        <v>20</v>
      </c>
      <c r="D30" t="s">
        <v>48</v>
      </c>
      <c r="E30" t="s">
        <v>62</v>
      </c>
      <c r="G30" s="1">
        <v>46081</v>
      </c>
      <c r="H30" t="s">
        <v>67</v>
      </c>
      <c r="I30">
        <v>14</v>
      </c>
      <c r="K30" s="8" t="s">
        <v>392</v>
      </c>
    </row>
    <row r="31" spans="1:11" ht="29" x14ac:dyDescent="0.35">
      <c r="A31" t="s">
        <v>39</v>
      </c>
      <c r="B31" t="s">
        <v>117</v>
      </c>
      <c r="C31">
        <v>20</v>
      </c>
      <c r="D31" t="s">
        <v>50</v>
      </c>
      <c r="E31" t="s">
        <v>62</v>
      </c>
      <c r="G31" s="1">
        <v>46112</v>
      </c>
      <c r="H31" t="s">
        <v>67</v>
      </c>
      <c r="I31">
        <v>14</v>
      </c>
      <c r="K31" s="8" t="s">
        <v>393</v>
      </c>
    </row>
    <row r="32" spans="1:11" x14ac:dyDescent="0.35">
      <c r="A32" t="s">
        <v>39</v>
      </c>
      <c r="B32" t="s">
        <v>373</v>
      </c>
      <c r="C32">
        <v>20</v>
      </c>
      <c r="D32" t="s">
        <v>112</v>
      </c>
      <c r="E32" t="s">
        <v>62</v>
      </c>
      <c r="G32" s="1">
        <v>46112</v>
      </c>
      <c r="H32" t="s">
        <v>74</v>
      </c>
      <c r="I32">
        <v>14</v>
      </c>
      <c r="K32" t="s">
        <v>378</v>
      </c>
    </row>
    <row r="33" spans="1:11" x14ac:dyDescent="0.35">
      <c r="A33" t="s">
        <v>39</v>
      </c>
      <c r="B33" t="s">
        <v>411</v>
      </c>
      <c r="C33">
        <v>20</v>
      </c>
      <c r="D33" t="s">
        <v>48</v>
      </c>
      <c r="E33" t="s">
        <v>62</v>
      </c>
      <c r="F33" t="s">
        <v>403</v>
      </c>
      <c r="G33" s="1">
        <v>46162</v>
      </c>
      <c r="H33" t="s">
        <v>67</v>
      </c>
      <c r="I33">
        <v>14</v>
      </c>
      <c r="K33" t="s">
        <v>412</v>
      </c>
    </row>
    <row r="34" spans="1:11" ht="72.5" x14ac:dyDescent="0.35">
      <c r="A34" t="s">
        <v>22</v>
      </c>
      <c r="B34" t="s">
        <v>384</v>
      </c>
      <c r="C34" s="3">
        <v>16</v>
      </c>
      <c r="D34" t="s">
        <v>61</v>
      </c>
      <c r="E34" t="s">
        <v>62</v>
      </c>
      <c r="F34" t="s">
        <v>403</v>
      </c>
      <c r="G34" s="1"/>
      <c r="I34">
        <v>7</v>
      </c>
      <c r="J34" s="28" t="s">
        <v>635</v>
      </c>
      <c r="K34" t="s">
        <v>611</v>
      </c>
    </row>
    <row r="35" spans="1:11" x14ac:dyDescent="0.35">
      <c r="A35" t="s">
        <v>22</v>
      </c>
      <c r="B35" t="s">
        <v>75</v>
      </c>
      <c r="C35">
        <v>16</v>
      </c>
      <c r="D35" t="s">
        <v>76</v>
      </c>
      <c r="E35" t="s">
        <v>62</v>
      </c>
      <c r="G35" s="1">
        <v>46142</v>
      </c>
      <c r="H35" t="s">
        <v>67</v>
      </c>
      <c r="I35">
        <v>62</v>
      </c>
      <c r="J35" t="s">
        <v>636</v>
      </c>
      <c r="K35" t="s">
        <v>636</v>
      </c>
    </row>
    <row r="36" spans="1:11" x14ac:dyDescent="0.35">
      <c r="A36" t="s">
        <v>28</v>
      </c>
      <c r="B36" t="s">
        <v>413</v>
      </c>
      <c r="C36" s="3">
        <v>16</v>
      </c>
      <c r="D36" t="s">
        <v>87</v>
      </c>
      <c r="E36" t="s">
        <v>62</v>
      </c>
      <c r="F36" t="s">
        <v>403</v>
      </c>
      <c r="G36" s="1">
        <v>46111</v>
      </c>
      <c r="H36" t="s">
        <v>67</v>
      </c>
      <c r="I36">
        <v>14</v>
      </c>
      <c r="K36" t="s">
        <v>644</v>
      </c>
    </row>
    <row r="37" spans="1:11" ht="29" x14ac:dyDescent="0.35">
      <c r="A37" t="s">
        <v>39</v>
      </c>
      <c r="B37" t="s">
        <v>111</v>
      </c>
      <c r="C37">
        <v>16</v>
      </c>
      <c r="D37" t="s">
        <v>112</v>
      </c>
      <c r="E37" t="s">
        <v>62</v>
      </c>
      <c r="G37" s="1">
        <v>46081</v>
      </c>
      <c r="H37" t="s">
        <v>82</v>
      </c>
      <c r="I37">
        <v>60</v>
      </c>
      <c r="K37" s="8" t="s">
        <v>380</v>
      </c>
    </row>
    <row r="38" spans="1:11" x14ac:dyDescent="0.35">
      <c r="A38" t="s">
        <v>34</v>
      </c>
      <c r="B38" t="s">
        <v>473</v>
      </c>
      <c r="C38">
        <v>16</v>
      </c>
      <c r="D38" t="s">
        <v>100</v>
      </c>
      <c r="E38" t="s">
        <v>62</v>
      </c>
      <c r="G38" s="1">
        <v>46112</v>
      </c>
      <c r="H38" t="s">
        <v>82</v>
      </c>
      <c r="I38">
        <v>13</v>
      </c>
      <c r="K38" s="8" t="s">
        <v>628</v>
      </c>
    </row>
    <row r="39" spans="1:11" x14ac:dyDescent="0.35">
      <c r="A39" t="s">
        <v>22</v>
      </c>
      <c r="B39" t="s">
        <v>77</v>
      </c>
      <c r="C39">
        <v>15</v>
      </c>
      <c r="D39" t="s">
        <v>61</v>
      </c>
      <c r="E39" t="s">
        <v>62</v>
      </c>
      <c r="G39" s="1">
        <v>46142</v>
      </c>
      <c r="H39" t="s">
        <v>67</v>
      </c>
      <c r="I39">
        <v>81</v>
      </c>
      <c r="J39" t="s">
        <v>400</v>
      </c>
      <c r="K39" t="s">
        <v>400</v>
      </c>
    </row>
    <row r="40" spans="1:11" x14ac:dyDescent="0.35">
      <c r="A40" t="s">
        <v>34</v>
      </c>
      <c r="B40" t="s">
        <v>365</v>
      </c>
      <c r="C40">
        <v>15</v>
      </c>
      <c r="D40" t="s">
        <v>100</v>
      </c>
      <c r="E40" t="s">
        <v>62</v>
      </c>
      <c r="G40" s="1">
        <v>46142</v>
      </c>
      <c r="H40" t="s">
        <v>67</v>
      </c>
      <c r="I40">
        <v>24</v>
      </c>
      <c r="K40" s="8" t="s">
        <v>550</v>
      </c>
    </row>
    <row r="41" spans="1:11" x14ac:dyDescent="0.35">
      <c r="A41" t="s">
        <v>39</v>
      </c>
      <c r="B41" t="s">
        <v>113</v>
      </c>
      <c r="C41">
        <v>15</v>
      </c>
      <c r="D41" t="s">
        <v>112</v>
      </c>
      <c r="E41" t="s">
        <v>114</v>
      </c>
      <c r="G41" s="1">
        <v>46112</v>
      </c>
      <c r="H41" t="s">
        <v>63</v>
      </c>
      <c r="I41">
        <v>25</v>
      </c>
      <c r="K41" t="s">
        <v>394</v>
      </c>
    </row>
    <row r="42" spans="1:11" x14ac:dyDescent="0.35">
      <c r="A42" t="s">
        <v>28</v>
      </c>
      <c r="B42" t="s">
        <v>366</v>
      </c>
      <c r="C42">
        <v>14</v>
      </c>
      <c r="D42" t="s">
        <v>87</v>
      </c>
      <c r="E42" t="s">
        <v>62</v>
      </c>
      <c r="G42" s="1">
        <v>46111</v>
      </c>
      <c r="H42" t="s">
        <v>63</v>
      </c>
      <c r="I42">
        <v>14</v>
      </c>
      <c r="K42" t="s">
        <v>645</v>
      </c>
    </row>
    <row r="43" spans="1:11" x14ac:dyDescent="0.35">
      <c r="A43" t="s">
        <v>28</v>
      </c>
      <c r="B43" t="s">
        <v>88</v>
      </c>
      <c r="C43" s="5">
        <v>13</v>
      </c>
      <c r="D43" t="s">
        <v>81</v>
      </c>
      <c r="E43" t="s">
        <v>62</v>
      </c>
      <c r="G43" s="1">
        <v>46142</v>
      </c>
      <c r="H43" t="s">
        <v>63</v>
      </c>
      <c r="I43">
        <v>14</v>
      </c>
      <c r="K43" t="s">
        <v>72</v>
      </c>
    </row>
    <row r="44" spans="1:11" ht="58" x14ac:dyDescent="0.35">
      <c r="A44" t="s">
        <v>22</v>
      </c>
      <c r="B44" t="s">
        <v>121</v>
      </c>
      <c r="C44">
        <v>12</v>
      </c>
      <c r="D44" t="s">
        <v>66</v>
      </c>
      <c r="E44" t="s">
        <v>62</v>
      </c>
      <c r="G44" s="1">
        <v>46142</v>
      </c>
      <c r="H44" t="s">
        <v>74</v>
      </c>
      <c r="I44">
        <v>15</v>
      </c>
      <c r="J44" s="28" t="s">
        <v>637</v>
      </c>
      <c r="K44" t="s">
        <v>401</v>
      </c>
    </row>
    <row r="45" spans="1:11" x14ac:dyDescent="0.35">
      <c r="A45" t="s">
        <v>28</v>
      </c>
      <c r="B45" t="s">
        <v>367</v>
      </c>
      <c r="C45" s="3">
        <v>12</v>
      </c>
      <c r="D45" t="s">
        <v>291</v>
      </c>
      <c r="E45" t="s">
        <v>62</v>
      </c>
      <c r="G45" s="1">
        <v>46111</v>
      </c>
      <c r="H45" t="s">
        <v>63</v>
      </c>
      <c r="I45">
        <v>14</v>
      </c>
      <c r="K45" t="s">
        <v>648</v>
      </c>
    </row>
    <row r="46" spans="1:11" x14ac:dyDescent="0.35">
      <c r="A46" t="s">
        <v>39</v>
      </c>
      <c r="B46" t="s">
        <v>115</v>
      </c>
      <c r="C46" s="4">
        <v>11.5</v>
      </c>
      <c r="D46" t="s">
        <v>52</v>
      </c>
      <c r="E46" t="s">
        <v>62</v>
      </c>
      <c r="G46" s="1">
        <v>46112</v>
      </c>
      <c r="H46" t="s">
        <v>82</v>
      </c>
      <c r="I46">
        <v>147</v>
      </c>
      <c r="K46" t="s">
        <v>72</v>
      </c>
    </row>
    <row r="47" spans="1:11" ht="29" x14ac:dyDescent="0.35">
      <c r="A47" t="s">
        <v>39</v>
      </c>
      <c r="B47" t="s">
        <v>116</v>
      </c>
      <c r="C47" s="3">
        <v>11.5</v>
      </c>
      <c r="D47" t="s">
        <v>110</v>
      </c>
      <c r="E47" t="s">
        <v>62</v>
      </c>
      <c r="G47" s="1">
        <v>46112</v>
      </c>
      <c r="H47" t="s">
        <v>74</v>
      </c>
      <c r="I47">
        <v>56</v>
      </c>
      <c r="K47" s="8" t="s">
        <v>381</v>
      </c>
    </row>
    <row r="48" spans="1:11" x14ac:dyDescent="0.35">
      <c r="A48" t="s">
        <v>22</v>
      </c>
      <c r="B48" t="s">
        <v>79</v>
      </c>
      <c r="C48" s="3">
        <v>11</v>
      </c>
      <c r="D48" t="s">
        <v>76</v>
      </c>
      <c r="E48" t="s">
        <v>62</v>
      </c>
      <c r="G48" s="1">
        <v>46142</v>
      </c>
      <c r="H48" t="s">
        <v>74</v>
      </c>
      <c r="I48">
        <v>18</v>
      </c>
      <c r="J48" t="s">
        <v>378</v>
      </c>
      <c r="K48" t="s">
        <v>402</v>
      </c>
    </row>
    <row r="49" spans="1:11" x14ac:dyDescent="0.35">
      <c r="A49" t="s">
        <v>28</v>
      </c>
      <c r="B49" t="s">
        <v>89</v>
      </c>
      <c r="C49" s="5">
        <v>11</v>
      </c>
      <c r="D49" t="s">
        <v>81</v>
      </c>
      <c r="E49" t="s">
        <v>62</v>
      </c>
      <c r="G49" s="1">
        <v>46142</v>
      </c>
      <c r="H49" t="s">
        <v>67</v>
      </c>
      <c r="I49">
        <v>21</v>
      </c>
      <c r="K49" t="s">
        <v>72</v>
      </c>
    </row>
    <row r="50" spans="1:11" x14ac:dyDescent="0.35">
      <c r="A50" t="s">
        <v>34</v>
      </c>
      <c r="B50" t="s">
        <v>363</v>
      </c>
      <c r="C50">
        <v>10</v>
      </c>
      <c r="D50" t="s">
        <v>92</v>
      </c>
      <c r="E50" t="s">
        <v>62</v>
      </c>
      <c r="G50" s="1">
        <v>46080</v>
      </c>
      <c r="H50" t="s">
        <v>93</v>
      </c>
      <c r="K50" s="8" t="s">
        <v>549</v>
      </c>
    </row>
    <row r="51" spans="1:11" x14ac:dyDescent="0.35">
      <c r="A51" t="s">
        <v>39</v>
      </c>
      <c r="B51" t="s">
        <v>109</v>
      </c>
      <c r="C51" s="38">
        <v>10</v>
      </c>
      <c r="D51" t="s">
        <v>110</v>
      </c>
      <c r="E51" t="s">
        <v>62</v>
      </c>
      <c r="G51" s="1">
        <v>46112</v>
      </c>
      <c r="H51" t="s">
        <v>67</v>
      </c>
      <c r="I51">
        <v>25</v>
      </c>
      <c r="K51" t="s">
        <v>395</v>
      </c>
    </row>
    <row r="52" spans="1:11" x14ac:dyDescent="0.35">
      <c r="A52" t="s">
        <v>22</v>
      </c>
      <c r="B52" t="s">
        <v>404</v>
      </c>
      <c r="C52" s="3">
        <v>6</v>
      </c>
      <c r="D52" t="s">
        <v>61</v>
      </c>
      <c r="E52" t="s">
        <v>405</v>
      </c>
      <c r="F52" t="s">
        <v>403</v>
      </c>
      <c r="G52" s="1"/>
      <c r="J52" t="s">
        <v>4</v>
      </c>
      <c r="K52" t="s">
        <v>408</v>
      </c>
    </row>
    <row r="53" spans="1:11" x14ac:dyDescent="0.35">
      <c r="A53" t="s">
        <v>22</v>
      </c>
      <c r="B53" t="s">
        <v>406</v>
      </c>
      <c r="C53" s="3">
        <v>5.5</v>
      </c>
      <c r="D53" t="s">
        <v>76</v>
      </c>
      <c r="E53" t="s">
        <v>405</v>
      </c>
      <c r="F53" t="s">
        <v>403</v>
      </c>
      <c r="G53" s="1"/>
      <c r="J53" t="s">
        <v>638</v>
      </c>
      <c r="K53" t="s">
        <v>407</v>
      </c>
    </row>
    <row r="54" spans="1:11" x14ac:dyDescent="0.35">
      <c r="A54" t="s">
        <v>28</v>
      </c>
      <c r="B54" s="24" t="s">
        <v>119</v>
      </c>
      <c r="C54">
        <v>5</v>
      </c>
      <c r="D54" t="s">
        <v>87</v>
      </c>
      <c r="E54" t="s">
        <v>62</v>
      </c>
      <c r="G54" s="1">
        <v>46111</v>
      </c>
      <c r="H54" t="s">
        <v>74</v>
      </c>
      <c r="I54">
        <v>7</v>
      </c>
      <c r="K54" t="s">
        <v>649</v>
      </c>
    </row>
    <row r="55" spans="1:11" x14ac:dyDescent="0.35">
      <c r="A55" t="s">
        <v>39</v>
      </c>
      <c r="B55" t="s">
        <v>101</v>
      </c>
      <c r="C55" s="4"/>
      <c r="D55" t="s">
        <v>102</v>
      </c>
      <c r="E55" t="s">
        <v>62</v>
      </c>
      <c r="G55" s="1">
        <v>46112</v>
      </c>
      <c r="H55" t="s">
        <v>67</v>
      </c>
      <c r="I55">
        <v>18</v>
      </c>
      <c r="K55" t="s">
        <v>378</v>
      </c>
    </row>
    <row r="56" spans="1:11" ht="29" x14ac:dyDescent="0.35">
      <c r="A56" t="s">
        <v>34</v>
      </c>
      <c r="B56" t="s">
        <v>548</v>
      </c>
      <c r="C56">
        <v>11</v>
      </c>
      <c r="D56" t="s">
        <v>100</v>
      </c>
      <c r="E56" t="s">
        <v>62</v>
      </c>
      <c r="G56" s="1">
        <v>46112</v>
      </c>
      <c r="H56" t="s">
        <v>82</v>
      </c>
      <c r="I56">
        <v>1</v>
      </c>
      <c r="K56" s="8" t="s">
        <v>650</v>
      </c>
    </row>
    <row r="57" spans="1:11" x14ac:dyDescent="0.35">
      <c r="A57" t="s">
        <v>28</v>
      </c>
      <c r="B57" t="s">
        <v>646</v>
      </c>
      <c r="C57">
        <v>50</v>
      </c>
      <c r="D57" t="s">
        <v>33</v>
      </c>
      <c r="E57" t="s">
        <v>62</v>
      </c>
      <c r="G57" s="1">
        <v>46111</v>
      </c>
      <c r="H57" t="s">
        <v>74</v>
      </c>
      <c r="I57">
        <v>1</v>
      </c>
      <c r="K57" t="s">
        <v>647</v>
      </c>
    </row>
    <row r="58" spans="1:11" x14ac:dyDescent="0.35">
      <c r="A58" t="s">
        <v>34</v>
      </c>
      <c r="B58" t="s">
        <v>365</v>
      </c>
      <c r="C58">
        <v>18</v>
      </c>
      <c r="D58" t="s">
        <v>100</v>
      </c>
      <c r="E58" t="s">
        <v>62</v>
      </c>
      <c r="G58" s="1">
        <v>46112</v>
      </c>
      <c r="H58" t="s">
        <v>82</v>
      </c>
      <c r="I58">
        <v>7</v>
      </c>
      <c r="K58" s="8" t="s">
        <v>651</v>
      </c>
    </row>
  </sheetData>
  <autoFilter ref="A1:K58" xr:uid="{F781D3D5-94C5-464F-AAA5-13FCEF40C9CB}">
    <sortState xmlns:xlrd2="http://schemas.microsoft.com/office/spreadsheetml/2017/richdata2" ref="A2:K55">
      <sortCondition descending="1" ref="C1:C55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65D4B-93DF-4BE8-A4A9-0B66C656F3A8}">
  <sheetPr filterMode="1"/>
  <dimension ref="A1:J94"/>
  <sheetViews>
    <sheetView workbookViewId="0">
      <selection activeCell="J53" sqref="J53"/>
    </sheetView>
  </sheetViews>
  <sheetFormatPr baseColWidth="10" defaultRowHeight="14.5" x14ac:dyDescent="0.35"/>
  <cols>
    <col min="1" max="1" width="35.7265625" customWidth="1"/>
    <col min="6" max="6" width="3.36328125" customWidth="1"/>
    <col min="7" max="7" width="17.81640625" customWidth="1"/>
    <col min="8" max="8" width="23" customWidth="1"/>
  </cols>
  <sheetData>
    <row r="1" spans="1:10" x14ac:dyDescent="0.35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613</v>
      </c>
      <c r="J1" t="s">
        <v>667</v>
      </c>
    </row>
    <row r="2" spans="1:10" hidden="1" x14ac:dyDescent="0.35">
      <c r="A2" t="s">
        <v>283</v>
      </c>
      <c r="B2" t="s">
        <v>203</v>
      </c>
      <c r="C2" t="s">
        <v>204</v>
      </c>
      <c r="D2" t="s">
        <v>205</v>
      </c>
      <c r="G2" t="s">
        <v>284</v>
      </c>
      <c r="H2" t="s">
        <v>285</v>
      </c>
      <c r="I2">
        <v>3</v>
      </c>
    </row>
    <row r="3" spans="1:10" hidden="1" x14ac:dyDescent="0.35">
      <c r="A3" t="s">
        <v>230</v>
      </c>
      <c r="B3" t="s">
        <v>203</v>
      </c>
      <c r="C3" t="s">
        <v>204</v>
      </c>
      <c r="D3" t="s">
        <v>205</v>
      </c>
      <c r="G3" t="s">
        <v>284</v>
      </c>
      <c r="H3" t="s">
        <v>285</v>
      </c>
      <c r="I3">
        <v>3</v>
      </c>
    </row>
    <row r="4" spans="1:10" hidden="1" x14ac:dyDescent="0.35">
      <c r="A4" t="s">
        <v>286</v>
      </c>
      <c r="B4" t="s">
        <v>203</v>
      </c>
      <c r="C4" t="s">
        <v>204</v>
      </c>
      <c r="D4" t="s">
        <v>205</v>
      </c>
      <c r="G4" t="s">
        <v>284</v>
      </c>
      <c r="H4" t="s">
        <v>285</v>
      </c>
      <c r="I4">
        <v>3</v>
      </c>
    </row>
    <row r="5" spans="1:10" hidden="1" x14ac:dyDescent="0.35">
      <c r="A5" t="s">
        <v>287</v>
      </c>
      <c r="B5" t="s">
        <v>203</v>
      </c>
      <c r="C5" t="s">
        <v>204</v>
      </c>
      <c r="D5" t="s">
        <v>205</v>
      </c>
      <c r="G5" t="s">
        <v>284</v>
      </c>
      <c r="H5" t="s">
        <v>285</v>
      </c>
      <c r="I5">
        <v>3</v>
      </c>
    </row>
    <row r="6" spans="1:10" hidden="1" x14ac:dyDescent="0.35">
      <c r="A6" t="s">
        <v>264</v>
      </c>
      <c r="B6" t="s">
        <v>203</v>
      </c>
      <c r="C6" t="s">
        <v>204</v>
      </c>
      <c r="D6" t="s">
        <v>205</v>
      </c>
      <c r="G6" t="s">
        <v>284</v>
      </c>
      <c r="H6" t="s">
        <v>285</v>
      </c>
      <c r="I6">
        <v>3</v>
      </c>
    </row>
    <row r="7" spans="1:10" hidden="1" x14ac:dyDescent="0.35">
      <c r="A7" t="s">
        <v>233</v>
      </c>
      <c r="B7" t="s">
        <v>203</v>
      </c>
      <c r="C7" t="s">
        <v>204</v>
      </c>
      <c r="D7" t="s">
        <v>205</v>
      </c>
      <c r="G7" t="s">
        <v>284</v>
      </c>
      <c r="H7" t="s">
        <v>614</v>
      </c>
      <c r="I7">
        <v>3</v>
      </c>
    </row>
    <row r="8" spans="1:10" hidden="1" x14ac:dyDescent="0.35">
      <c r="A8" t="s">
        <v>245</v>
      </c>
      <c r="B8" t="s">
        <v>203</v>
      </c>
      <c r="C8" t="s">
        <v>204</v>
      </c>
      <c r="D8" t="s">
        <v>205</v>
      </c>
      <c r="G8" t="s">
        <v>284</v>
      </c>
      <c r="H8" t="s">
        <v>614</v>
      </c>
      <c r="I8">
        <v>3</v>
      </c>
    </row>
    <row r="9" spans="1:10" hidden="1" x14ac:dyDescent="0.35">
      <c r="A9" t="s">
        <v>277</v>
      </c>
      <c r="B9" t="s">
        <v>203</v>
      </c>
      <c r="C9" t="s">
        <v>204</v>
      </c>
      <c r="D9" t="s">
        <v>205</v>
      </c>
      <c r="G9" t="s">
        <v>284</v>
      </c>
      <c r="H9" t="s">
        <v>614</v>
      </c>
      <c r="I9">
        <v>3</v>
      </c>
    </row>
    <row r="10" spans="1:10" hidden="1" x14ac:dyDescent="0.35">
      <c r="A10" t="s">
        <v>238</v>
      </c>
      <c r="B10" t="s">
        <v>203</v>
      </c>
      <c r="C10" t="s">
        <v>204</v>
      </c>
      <c r="D10" t="s">
        <v>205</v>
      </c>
      <c r="G10" t="s">
        <v>284</v>
      </c>
      <c r="H10" t="s">
        <v>289</v>
      </c>
      <c r="I10">
        <v>3</v>
      </c>
    </row>
    <row r="11" spans="1:10" hidden="1" x14ac:dyDescent="0.35">
      <c r="A11" t="s">
        <v>242</v>
      </c>
      <c r="B11" t="s">
        <v>203</v>
      </c>
      <c r="C11" t="s">
        <v>204</v>
      </c>
      <c r="D11" t="s">
        <v>205</v>
      </c>
      <c r="G11" t="s">
        <v>284</v>
      </c>
      <c r="H11" t="s">
        <v>289</v>
      </c>
      <c r="I11">
        <v>3</v>
      </c>
    </row>
    <row r="12" spans="1:10" hidden="1" x14ac:dyDescent="0.35">
      <c r="A12" t="s">
        <v>247</v>
      </c>
      <c r="B12" t="s">
        <v>203</v>
      </c>
      <c r="C12" t="s">
        <v>204</v>
      </c>
      <c r="D12" t="s">
        <v>205</v>
      </c>
      <c r="G12" t="s">
        <v>284</v>
      </c>
      <c r="H12" t="s">
        <v>289</v>
      </c>
      <c r="I12">
        <v>3</v>
      </c>
    </row>
    <row r="13" spans="1:10" hidden="1" x14ac:dyDescent="0.35">
      <c r="A13" t="s">
        <v>261</v>
      </c>
      <c r="B13" t="s">
        <v>203</v>
      </c>
      <c r="C13" t="s">
        <v>204</v>
      </c>
      <c r="D13" t="s">
        <v>205</v>
      </c>
      <c r="G13" t="s">
        <v>284</v>
      </c>
      <c r="H13" t="s">
        <v>289</v>
      </c>
      <c r="I13">
        <v>3</v>
      </c>
    </row>
    <row r="14" spans="1:10" hidden="1" x14ac:dyDescent="0.35">
      <c r="A14" t="s">
        <v>262</v>
      </c>
      <c r="B14" t="s">
        <v>203</v>
      </c>
      <c r="C14" t="s">
        <v>204</v>
      </c>
      <c r="D14" t="s">
        <v>205</v>
      </c>
      <c r="G14" t="s">
        <v>284</v>
      </c>
      <c r="H14" t="s">
        <v>289</v>
      </c>
      <c r="I14">
        <v>3</v>
      </c>
    </row>
    <row r="15" spans="1:10" hidden="1" x14ac:dyDescent="0.35">
      <c r="A15" t="s">
        <v>288</v>
      </c>
      <c r="B15" t="s">
        <v>203</v>
      </c>
      <c r="C15" t="s">
        <v>615</v>
      </c>
      <c r="D15" t="s">
        <v>205</v>
      </c>
      <c r="E15" t="s">
        <v>616</v>
      </c>
      <c r="F15" t="s">
        <v>616</v>
      </c>
      <c r="G15" t="s">
        <v>284</v>
      </c>
      <c r="H15" t="s">
        <v>289</v>
      </c>
      <c r="I15">
        <v>3</v>
      </c>
    </row>
    <row r="16" spans="1:10" hidden="1" x14ac:dyDescent="0.35">
      <c r="A16" t="s">
        <v>290</v>
      </c>
      <c r="B16" t="s">
        <v>203</v>
      </c>
      <c r="C16" t="s">
        <v>615</v>
      </c>
      <c r="D16" t="s">
        <v>205</v>
      </c>
      <c r="E16" t="s">
        <v>617</v>
      </c>
      <c r="F16" t="s">
        <v>617</v>
      </c>
      <c r="G16" t="s">
        <v>284</v>
      </c>
      <c r="H16" t="s">
        <v>291</v>
      </c>
      <c r="I16">
        <v>3</v>
      </c>
    </row>
    <row r="17" spans="1:9" hidden="1" x14ac:dyDescent="0.35">
      <c r="A17" t="s">
        <v>251</v>
      </c>
      <c r="B17" t="s">
        <v>203</v>
      </c>
      <c r="C17" t="s">
        <v>204</v>
      </c>
      <c r="D17" t="s">
        <v>205</v>
      </c>
      <c r="G17" t="s">
        <v>284</v>
      </c>
      <c r="H17" t="s">
        <v>291</v>
      </c>
      <c r="I17">
        <v>3</v>
      </c>
    </row>
    <row r="18" spans="1:9" hidden="1" x14ac:dyDescent="0.35">
      <c r="A18" t="s">
        <v>292</v>
      </c>
      <c r="B18" t="s">
        <v>203</v>
      </c>
      <c r="C18" t="s">
        <v>615</v>
      </c>
      <c r="D18" t="s">
        <v>205</v>
      </c>
      <c r="E18" t="s">
        <v>618</v>
      </c>
      <c r="F18" t="s">
        <v>618</v>
      </c>
      <c r="G18" t="s">
        <v>284</v>
      </c>
      <c r="H18" t="s">
        <v>293</v>
      </c>
      <c r="I18">
        <v>3</v>
      </c>
    </row>
    <row r="19" spans="1:9" hidden="1" x14ac:dyDescent="0.35">
      <c r="A19" t="s">
        <v>273</v>
      </c>
      <c r="B19" t="s">
        <v>203</v>
      </c>
      <c r="C19" t="s">
        <v>204</v>
      </c>
      <c r="D19" t="s">
        <v>205</v>
      </c>
      <c r="G19" t="s">
        <v>284</v>
      </c>
      <c r="H19" t="s">
        <v>293</v>
      </c>
      <c r="I19">
        <v>3</v>
      </c>
    </row>
    <row r="20" spans="1:9" hidden="1" x14ac:dyDescent="0.35">
      <c r="A20" t="s">
        <v>274</v>
      </c>
      <c r="B20" t="s">
        <v>203</v>
      </c>
      <c r="C20" t="s">
        <v>204</v>
      </c>
      <c r="D20" t="s">
        <v>205</v>
      </c>
      <c r="G20" t="s">
        <v>284</v>
      </c>
      <c r="H20" t="s">
        <v>293</v>
      </c>
      <c r="I20">
        <v>3</v>
      </c>
    </row>
    <row r="21" spans="1:9" hidden="1" x14ac:dyDescent="0.35">
      <c r="A21" t="s">
        <v>276</v>
      </c>
      <c r="B21" t="s">
        <v>203</v>
      </c>
      <c r="C21" t="s">
        <v>204</v>
      </c>
      <c r="D21" t="s">
        <v>205</v>
      </c>
      <c r="G21" t="s">
        <v>284</v>
      </c>
      <c r="H21" t="s">
        <v>293</v>
      </c>
      <c r="I21">
        <v>3</v>
      </c>
    </row>
    <row r="22" spans="1:9" hidden="1" x14ac:dyDescent="0.35">
      <c r="A22" t="s">
        <v>280</v>
      </c>
      <c r="B22" t="s">
        <v>203</v>
      </c>
      <c r="C22" t="s">
        <v>204</v>
      </c>
      <c r="D22" t="s">
        <v>205</v>
      </c>
      <c r="G22" t="s">
        <v>284</v>
      </c>
      <c r="H22" t="s">
        <v>293</v>
      </c>
      <c r="I22">
        <v>3</v>
      </c>
    </row>
    <row r="23" spans="1:9" hidden="1" x14ac:dyDescent="0.35">
      <c r="A23" t="s">
        <v>226</v>
      </c>
      <c r="B23" t="s">
        <v>203</v>
      </c>
      <c r="C23" t="s">
        <v>204</v>
      </c>
      <c r="D23" t="s">
        <v>205</v>
      </c>
      <c r="G23" t="s">
        <v>284</v>
      </c>
      <c r="H23" t="s">
        <v>478</v>
      </c>
      <c r="I23">
        <v>3</v>
      </c>
    </row>
    <row r="24" spans="1:9" hidden="1" x14ac:dyDescent="0.35">
      <c r="A24" t="s">
        <v>240</v>
      </c>
      <c r="B24" t="s">
        <v>203</v>
      </c>
      <c r="C24" t="s">
        <v>204</v>
      </c>
      <c r="D24" t="s">
        <v>205</v>
      </c>
      <c r="G24" t="s">
        <v>284</v>
      </c>
      <c r="H24" t="s">
        <v>478</v>
      </c>
      <c r="I24">
        <v>3</v>
      </c>
    </row>
    <row r="25" spans="1:9" hidden="1" x14ac:dyDescent="0.35">
      <c r="A25" t="s">
        <v>241</v>
      </c>
      <c r="B25" t="s">
        <v>203</v>
      </c>
      <c r="C25" t="s">
        <v>204</v>
      </c>
      <c r="D25" t="s">
        <v>205</v>
      </c>
      <c r="G25" t="s">
        <v>284</v>
      </c>
      <c r="H25" t="s">
        <v>478</v>
      </c>
      <c r="I25">
        <v>3</v>
      </c>
    </row>
    <row r="26" spans="1:9" hidden="1" x14ac:dyDescent="0.35">
      <c r="A26" t="s">
        <v>231</v>
      </c>
      <c r="B26" t="s">
        <v>203</v>
      </c>
      <c r="C26" t="s">
        <v>204</v>
      </c>
      <c r="D26" t="s">
        <v>205</v>
      </c>
      <c r="G26" t="s">
        <v>295</v>
      </c>
      <c r="H26" t="s">
        <v>71</v>
      </c>
      <c r="I26">
        <v>1</v>
      </c>
    </row>
    <row r="27" spans="1:9" hidden="1" x14ac:dyDescent="0.35">
      <c r="A27" t="s">
        <v>239</v>
      </c>
      <c r="B27" t="s">
        <v>203</v>
      </c>
      <c r="C27" t="s">
        <v>204</v>
      </c>
      <c r="D27" t="s">
        <v>205</v>
      </c>
      <c r="G27" t="s">
        <v>295</v>
      </c>
      <c r="H27" t="s">
        <v>71</v>
      </c>
      <c r="I27">
        <v>1</v>
      </c>
    </row>
    <row r="28" spans="1:9" hidden="1" x14ac:dyDescent="0.35">
      <c r="A28" t="s">
        <v>279</v>
      </c>
      <c r="B28" t="s">
        <v>203</v>
      </c>
      <c r="C28" t="s">
        <v>204</v>
      </c>
      <c r="D28" t="s">
        <v>205</v>
      </c>
      <c r="G28" t="s">
        <v>295</v>
      </c>
      <c r="H28" t="s">
        <v>71</v>
      </c>
      <c r="I28">
        <v>1</v>
      </c>
    </row>
    <row r="29" spans="1:9" hidden="1" x14ac:dyDescent="0.35">
      <c r="A29" t="s">
        <v>229</v>
      </c>
      <c r="B29" t="s">
        <v>203</v>
      </c>
      <c r="C29" t="s">
        <v>204</v>
      </c>
      <c r="D29" t="s">
        <v>205</v>
      </c>
      <c r="G29" t="s">
        <v>295</v>
      </c>
      <c r="H29" t="s">
        <v>619</v>
      </c>
      <c r="I29">
        <v>1</v>
      </c>
    </row>
    <row r="30" spans="1:9" hidden="1" x14ac:dyDescent="0.35">
      <c r="A30" t="s">
        <v>232</v>
      </c>
      <c r="B30" t="s">
        <v>203</v>
      </c>
      <c r="C30" t="s">
        <v>204</v>
      </c>
      <c r="D30" t="s">
        <v>205</v>
      </c>
      <c r="G30" t="s">
        <v>295</v>
      </c>
      <c r="H30" t="s">
        <v>619</v>
      </c>
      <c r="I30">
        <v>1</v>
      </c>
    </row>
    <row r="31" spans="1:9" hidden="1" x14ac:dyDescent="0.35">
      <c r="A31" t="s">
        <v>265</v>
      </c>
      <c r="B31" t="s">
        <v>203</v>
      </c>
      <c r="C31" t="s">
        <v>204</v>
      </c>
      <c r="D31" t="s">
        <v>205</v>
      </c>
      <c r="G31" t="s">
        <v>295</v>
      </c>
      <c r="H31" t="s">
        <v>619</v>
      </c>
      <c r="I31">
        <v>1</v>
      </c>
    </row>
    <row r="32" spans="1:9" hidden="1" x14ac:dyDescent="0.35">
      <c r="A32" t="s">
        <v>234</v>
      </c>
      <c r="B32" t="s">
        <v>203</v>
      </c>
      <c r="C32" t="s">
        <v>204</v>
      </c>
      <c r="D32" t="s">
        <v>205</v>
      </c>
      <c r="G32" t="s">
        <v>295</v>
      </c>
      <c r="H32" t="s">
        <v>620</v>
      </c>
      <c r="I32">
        <v>1</v>
      </c>
    </row>
    <row r="33" spans="1:10" hidden="1" x14ac:dyDescent="0.35">
      <c r="A33" t="s">
        <v>236</v>
      </c>
      <c r="B33" t="s">
        <v>203</v>
      </c>
      <c r="C33" t="s">
        <v>204</v>
      </c>
      <c r="D33" t="s">
        <v>205</v>
      </c>
      <c r="G33" t="s">
        <v>295</v>
      </c>
      <c r="H33" t="s">
        <v>66</v>
      </c>
      <c r="I33">
        <v>1</v>
      </c>
    </row>
    <row r="34" spans="1:10" hidden="1" x14ac:dyDescent="0.35">
      <c r="A34" t="s">
        <v>266</v>
      </c>
      <c r="B34" t="s">
        <v>203</v>
      </c>
      <c r="C34" t="s">
        <v>204</v>
      </c>
      <c r="D34" t="s">
        <v>205</v>
      </c>
      <c r="G34" t="s">
        <v>295</v>
      </c>
      <c r="H34" t="s">
        <v>66</v>
      </c>
      <c r="I34">
        <v>1</v>
      </c>
    </row>
    <row r="35" spans="1:10" hidden="1" x14ac:dyDescent="0.35">
      <c r="A35" t="s">
        <v>269</v>
      </c>
      <c r="B35" t="s">
        <v>203</v>
      </c>
      <c r="C35" t="s">
        <v>204</v>
      </c>
      <c r="D35" t="s">
        <v>205</v>
      </c>
      <c r="G35" t="s">
        <v>295</v>
      </c>
      <c r="H35" t="s">
        <v>66</v>
      </c>
      <c r="I35">
        <v>1</v>
      </c>
    </row>
    <row r="36" spans="1:10" hidden="1" x14ac:dyDescent="0.35">
      <c r="A36" t="s">
        <v>294</v>
      </c>
      <c r="B36" t="s">
        <v>203</v>
      </c>
      <c r="C36" t="s">
        <v>204</v>
      </c>
      <c r="D36" t="s">
        <v>205</v>
      </c>
      <c r="G36" t="s">
        <v>295</v>
      </c>
      <c r="H36" t="s">
        <v>76</v>
      </c>
      <c r="I36">
        <v>1</v>
      </c>
    </row>
    <row r="37" spans="1:10" hidden="1" x14ac:dyDescent="0.35">
      <c r="A37" t="s">
        <v>228</v>
      </c>
      <c r="B37" t="s">
        <v>203</v>
      </c>
      <c r="C37" t="s">
        <v>204</v>
      </c>
      <c r="D37" t="s">
        <v>205</v>
      </c>
      <c r="G37" t="s">
        <v>295</v>
      </c>
      <c r="H37" t="s">
        <v>76</v>
      </c>
      <c r="I37">
        <v>1</v>
      </c>
    </row>
    <row r="38" spans="1:10" hidden="1" x14ac:dyDescent="0.35">
      <c r="A38" t="s">
        <v>237</v>
      </c>
      <c r="B38" t="s">
        <v>203</v>
      </c>
      <c r="C38" t="s">
        <v>204</v>
      </c>
      <c r="D38" t="s">
        <v>205</v>
      </c>
      <c r="G38" t="s">
        <v>295</v>
      </c>
      <c r="H38" t="s">
        <v>76</v>
      </c>
      <c r="I38">
        <v>1</v>
      </c>
    </row>
    <row r="39" spans="1:10" hidden="1" x14ac:dyDescent="0.35">
      <c r="A39" t="s">
        <v>243</v>
      </c>
      <c r="B39" t="s">
        <v>203</v>
      </c>
      <c r="C39" t="s">
        <v>204</v>
      </c>
      <c r="D39" t="s">
        <v>205</v>
      </c>
      <c r="G39" t="s">
        <v>295</v>
      </c>
      <c r="H39" t="s">
        <v>76</v>
      </c>
      <c r="I39">
        <v>1</v>
      </c>
    </row>
    <row r="40" spans="1:10" hidden="1" x14ac:dyDescent="0.35">
      <c r="A40" t="s">
        <v>256</v>
      </c>
      <c r="B40" t="s">
        <v>203</v>
      </c>
      <c r="C40" t="s">
        <v>204</v>
      </c>
      <c r="D40" t="s">
        <v>205</v>
      </c>
      <c r="G40" t="s">
        <v>295</v>
      </c>
      <c r="H40" t="s">
        <v>76</v>
      </c>
      <c r="I40">
        <v>1</v>
      </c>
    </row>
    <row r="41" spans="1:10" x14ac:dyDescent="0.35">
      <c r="A41" t="s">
        <v>304</v>
      </c>
      <c r="B41" t="s">
        <v>203</v>
      </c>
      <c r="C41" t="s">
        <v>204</v>
      </c>
      <c r="D41" t="s">
        <v>205</v>
      </c>
      <c r="G41" t="s">
        <v>305</v>
      </c>
      <c r="H41" t="s">
        <v>100</v>
      </c>
      <c r="I41">
        <v>4</v>
      </c>
      <c r="J41" s="2">
        <v>46087</v>
      </c>
    </row>
    <row r="42" spans="1:10" x14ac:dyDescent="0.35">
      <c r="A42" t="s">
        <v>282</v>
      </c>
      <c r="B42" t="s">
        <v>203</v>
      </c>
      <c r="C42" t="s">
        <v>204</v>
      </c>
      <c r="D42" t="s">
        <v>205</v>
      </c>
      <c r="G42" t="s">
        <v>305</v>
      </c>
      <c r="H42" t="s">
        <v>100</v>
      </c>
      <c r="I42">
        <v>4</v>
      </c>
      <c r="J42" s="2">
        <v>46087</v>
      </c>
    </row>
    <row r="43" spans="1:10" x14ac:dyDescent="0.35">
      <c r="A43" t="s">
        <v>246</v>
      </c>
      <c r="B43" t="s">
        <v>203</v>
      </c>
      <c r="C43" t="s">
        <v>204</v>
      </c>
      <c r="D43" t="s">
        <v>205</v>
      </c>
      <c r="G43" t="s">
        <v>305</v>
      </c>
      <c r="H43" t="s">
        <v>307</v>
      </c>
      <c r="I43">
        <v>4</v>
      </c>
      <c r="J43" t="s">
        <v>668</v>
      </c>
    </row>
    <row r="44" spans="1:10" x14ac:dyDescent="0.35">
      <c r="A44" t="s">
        <v>306</v>
      </c>
      <c r="B44" t="s">
        <v>203</v>
      </c>
      <c r="C44" t="s">
        <v>204</v>
      </c>
      <c r="D44" t="s">
        <v>205</v>
      </c>
      <c r="G44" t="s">
        <v>305</v>
      </c>
      <c r="H44" t="s">
        <v>307</v>
      </c>
      <c r="I44">
        <v>4</v>
      </c>
      <c r="J44" s="2">
        <v>46083</v>
      </c>
    </row>
    <row r="45" spans="1:10" x14ac:dyDescent="0.35">
      <c r="A45" t="s">
        <v>308</v>
      </c>
      <c r="B45" t="s">
        <v>203</v>
      </c>
      <c r="C45" t="s">
        <v>204</v>
      </c>
      <c r="D45" t="s">
        <v>205</v>
      </c>
      <c r="G45" t="s">
        <v>305</v>
      </c>
      <c r="H45" t="s">
        <v>307</v>
      </c>
      <c r="I45">
        <v>4</v>
      </c>
      <c r="J45" t="s">
        <v>669</v>
      </c>
    </row>
    <row r="46" spans="1:10" x14ac:dyDescent="0.35">
      <c r="A46" t="s">
        <v>250</v>
      </c>
      <c r="B46" t="s">
        <v>203</v>
      </c>
      <c r="C46" t="s">
        <v>204</v>
      </c>
      <c r="D46" t="s">
        <v>205</v>
      </c>
      <c r="G46" t="s">
        <v>305</v>
      </c>
      <c r="H46" t="s">
        <v>621</v>
      </c>
      <c r="I46">
        <v>4</v>
      </c>
      <c r="J46" s="2">
        <v>46087</v>
      </c>
    </row>
    <row r="47" spans="1:10" x14ac:dyDescent="0.35">
      <c r="A47" t="s">
        <v>253</v>
      </c>
      <c r="B47" t="s">
        <v>203</v>
      </c>
      <c r="C47" t="s">
        <v>204</v>
      </c>
      <c r="D47" t="s">
        <v>205</v>
      </c>
      <c r="G47" t="s">
        <v>305</v>
      </c>
      <c r="H47" t="s">
        <v>621</v>
      </c>
      <c r="I47">
        <v>4</v>
      </c>
      <c r="J47" s="2">
        <v>46087</v>
      </c>
    </row>
    <row r="48" spans="1:10" x14ac:dyDescent="0.35">
      <c r="A48" t="s">
        <v>254</v>
      </c>
      <c r="B48" t="s">
        <v>203</v>
      </c>
      <c r="C48" t="s">
        <v>204</v>
      </c>
      <c r="D48" t="s">
        <v>205</v>
      </c>
      <c r="G48" t="s">
        <v>305</v>
      </c>
      <c r="H48" t="s">
        <v>621</v>
      </c>
      <c r="I48">
        <v>4</v>
      </c>
      <c r="J48" s="2">
        <v>46087</v>
      </c>
    </row>
    <row r="49" spans="1:10" x14ac:dyDescent="0.35">
      <c r="A49" t="s">
        <v>258</v>
      </c>
      <c r="B49" t="s">
        <v>203</v>
      </c>
      <c r="C49" t="s">
        <v>204</v>
      </c>
      <c r="D49" t="s">
        <v>205</v>
      </c>
      <c r="G49" t="s">
        <v>305</v>
      </c>
      <c r="H49" t="s">
        <v>621</v>
      </c>
      <c r="I49">
        <v>4</v>
      </c>
      <c r="J49" s="2">
        <v>46087</v>
      </c>
    </row>
    <row r="50" spans="1:10" x14ac:dyDescent="0.35">
      <c r="A50" t="s">
        <v>278</v>
      </c>
      <c r="B50" t="s">
        <v>203</v>
      </c>
      <c r="C50" t="s">
        <v>204</v>
      </c>
      <c r="D50" t="s">
        <v>205</v>
      </c>
      <c r="G50" t="s">
        <v>305</v>
      </c>
      <c r="H50" t="s">
        <v>621</v>
      </c>
      <c r="I50">
        <v>4</v>
      </c>
      <c r="J50" s="2">
        <v>46087</v>
      </c>
    </row>
    <row r="51" spans="1:10" x14ac:dyDescent="0.35">
      <c r="A51" t="s">
        <v>281</v>
      </c>
      <c r="B51" t="s">
        <v>203</v>
      </c>
      <c r="C51" t="s">
        <v>204</v>
      </c>
      <c r="D51" t="s">
        <v>205</v>
      </c>
      <c r="G51" t="s">
        <v>305</v>
      </c>
      <c r="H51" t="s">
        <v>621</v>
      </c>
      <c r="I51">
        <v>4</v>
      </c>
      <c r="J51" s="2">
        <v>46087</v>
      </c>
    </row>
    <row r="52" spans="1:10" x14ac:dyDescent="0.35">
      <c r="A52" t="s">
        <v>225</v>
      </c>
      <c r="B52" t="s">
        <v>203</v>
      </c>
      <c r="C52" t="s">
        <v>204</v>
      </c>
      <c r="D52" t="s">
        <v>205</v>
      </c>
      <c r="G52" t="s">
        <v>305</v>
      </c>
      <c r="H52" t="s">
        <v>90</v>
      </c>
      <c r="I52">
        <v>4</v>
      </c>
      <c r="J52" s="2">
        <v>46087</v>
      </c>
    </row>
    <row r="53" spans="1:10" x14ac:dyDescent="0.35">
      <c r="A53" t="s">
        <v>252</v>
      </c>
      <c r="B53" t="s">
        <v>203</v>
      </c>
      <c r="C53" t="s">
        <v>204</v>
      </c>
      <c r="D53" t="s">
        <v>205</v>
      </c>
      <c r="G53" t="s">
        <v>305</v>
      </c>
      <c r="H53" t="s">
        <v>90</v>
      </c>
      <c r="I53">
        <v>4</v>
      </c>
      <c r="J53" t="s">
        <v>671</v>
      </c>
    </row>
    <row r="54" spans="1:10" x14ac:dyDescent="0.35">
      <c r="A54" t="s">
        <v>622</v>
      </c>
      <c r="B54" t="s">
        <v>203</v>
      </c>
      <c r="C54" t="s">
        <v>204</v>
      </c>
      <c r="D54" t="s">
        <v>205</v>
      </c>
      <c r="G54" t="s">
        <v>305</v>
      </c>
      <c r="H54" t="s">
        <v>90</v>
      </c>
      <c r="I54">
        <v>4</v>
      </c>
      <c r="J54" t="s">
        <v>670</v>
      </c>
    </row>
    <row r="55" spans="1:10" hidden="1" x14ac:dyDescent="0.35">
      <c r="A55" t="s">
        <v>255</v>
      </c>
      <c r="B55" t="s">
        <v>203</v>
      </c>
      <c r="C55" t="s">
        <v>204</v>
      </c>
      <c r="D55" t="s">
        <v>205</v>
      </c>
      <c r="G55" t="s">
        <v>311</v>
      </c>
      <c r="H55" t="s">
        <v>623</v>
      </c>
      <c r="I55">
        <v>5</v>
      </c>
    </row>
    <row r="56" spans="1:10" hidden="1" x14ac:dyDescent="0.35">
      <c r="A56" t="s">
        <v>235</v>
      </c>
      <c r="B56" t="s">
        <v>203</v>
      </c>
      <c r="C56" t="s">
        <v>204</v>
      </c>
      <c r="D56" t="s">
        <v>205</v>
      </c>
      <c r="G56" t="s">
        <v>311</v>
      </c>
      <c r="H56" t="s">
        <v>49</v>
      </c>
      <c r="I56">
        <v>5</v>
      </c>
    </row>
    <row r="57" spans="1:10" hidden="1" x14ac:dyDescent="0.35">
      <c r="A57" t="s">
        <v>257</v>
      </c>
      <c r="B57" t="s">
        <v>203</v>
      </c>
      <c r="C57" t="s">
        <v>204</v>
      </c>
      <c r="D57" t="s">
        <v>205</v>
      </c>
      <c r="G57" t="s">
        <v>311</v>
      </c>
      <c r="H57" t="s">
        <v>49</v>
      </c>
      <c r="I57">
        <v>5</v>
      </c>
    </row>
    <row r="58" spans="1:10" hidden="1" x14ac:dyDescent="0.35">
      <c r="A58" t="s">
        <v>310</v>
      </c>
      <c r="B58" t="s">
        <v>203</v>
      </c>
      <c r="C58" t="s">
        <v>204</v>
      </c>
      <c r="D58" t="s">
        <v>205</v>
      </c>
      <c r="G58" t="s">
        <v>311</v>
      </c>
      <c r="H58" t="s">
        <v>49</v>
      </c>
      <c r="I58">
        <v>5</v>
      </c>
    </row>
    <row r="59" spans="1:10" hidden="1" x14ac:dyDescent="0.35">
      <c r="A59" t="s">
        <v>312</v>
      </c>
      <c r="B59" t="s">
        <v>203</v>
      </c>
      <c r="C59" t="s">
        <v>204</v>
      </c>
      <c r="D59" t="s">
        <v>205</v>
      </c>
      <c r="G59" t="s">
        <v>311</v>
      </c>
      <c r="H59" t="s">
        <v>110</v>
      </c>
      <c r="I59">
        <v>5</v>
      </c>
    </row>
    <row r="60" spans="1:10" hidden="1" x14ac:dyDescent="0.35">
      <c r="A60" t="s">
        <v>313</v>
      </c>
      <c r="B60" t="s">
        <v>203</v>
      </c>
      <c r="C60" t="s">
        <v>204</v>
      </c>
      <c r="D60" t="s">
        <v>205</v>
      </c>
      <c r="G60" t="s">
        <v>311</v>
      </c>
      <c r="H60" t="s">
        <v>110</v>
      </c>
      <c r="I60">
        <v>5</v>
      </c>
    </row>
    <row r="61" spans="1:10" hidden="1" x14ac:dyDescent="0.35">
      <c r="A61" t="s">
        <v>314</v>
      </c>
      <c r="B61" t="s">
        <v>203</v>
      </c>
      <c r="C61" t="s">
        <v>204</v>
      </c>
      <c r="D61" t="s">
        <v>205</v>
      </c>
      <c r="G61" t="s">
        <v>311</v>
      </c>
      <c r="H61" t="s">
        <v>110</v>
      </c>
      <c r="I61">
        <v>5</v>
      </c>
    </row>
    <row r="62" spans="1:10" hidden="1" x14ac:dyDescent="0.35">
      <c r="A62" t="s">
        <v>315</v>
      </c>
      <c r="B62" t="s">
        <v>203</v>
      </c>
      <c r="C62" t="s">
        <v>204</v>
      </c>
      <c r="D62" t="s">
        <v>205</v>
      </c>
      <c r="G62" t="s">
        <v>311</v>
      </c>
      <c r="H62" t="s">
        <v>316</v>
      </c>
      <c r="I62">
        <v>5</v>
      </c>
    </row>
    <row r="63" spans="1:10" hidden="1" x14ac:dyDescent="0.35">
      <c r="A63" t="s">
        <v>317</v>
      </c>
      <c r="B63" t="s">
        <v>203</v>
      </c>
      <c r="C63" t="s">
        <v>204</v>
      </c>
      <c r="D63" t="s">
        <v>205</v>
      </c>
      <c r="G63" t="s">
        <v>311</v>
      </c>
      <c r="H63" t="s">
        <v>316</v>
      </c>
      <c r="I63">
        <v>5</v>
      </c>
    </row>
    <row r="64" spans="1:10" hidden="1" x14ac:dyDescent="0.35">
      <c r="A64" t="s">
        <v>318</v>
      </c>
      <c r="B64" t="s">
        <v>203</v>
      </c>
      <c r="C64" t="s">
        <v>204</v>
      </c>
      <c r="D64" t="s">
        <v>205</v>
      </c>
      <c r="G64" t="s">
        <v>311</v>
      </c>
      <c r="H64" t="s">
        <v>316</v>
      </c>
      <c r="I64">
        <v>5</v>
      </c>
    </row>
    <row r="65" spans="1:9" hidden="1" x14ac:dyDescent="0.35">
      <c r="A65" t="s">
        <v>319</v>
      </c>
      <c r="B65" t="s">
        <v>203</v>
      </c>
      <c r="C65" t="s">
        <v>204</v>
      </c>
      <c r="D65" t="s">
        <v>205</v>
      </c>
      <c r="G65" t="s">
        <v>311</v>
      </c>
      <c r="H65" t="s">
        <v>316</v>
      </c>
      <c r="I65">
        <v>5</v>
      </c>
    </row>
    <row r="66" spans="1:9" hidden="1" x14ac:dyDescent="0.35">
      <c r="A66" t="s">
        <v>320</v>
      </c>
      <c r="B66" t="s">
        <v>203</v>
      </c>
      <c r="C66" t="s">
        <v>204</v>
      </c>
      <c r="D66" t="s">
        <v>205</v>
      </c>
      <c r="G66" t="s">
        <v>311</v>
      </c>
      <c r="H66" t="s">
        <v>316</v>
      </c>
      <c r="I66">
        <v>5</v>
      </c>
    </row>
    <row r="67" spans="1:9" hidden="1" x14ac:dyDescent="0.35">
      <c r="A67" t="s">
        <v>321</v>
      </c>
      <c r="B67" t="s">
        <v>203</v>
      </c>
      <c r="C67" t="s">
        <v>204</v>
      </c>
      <c r="D67" t="s">
        <v>205</v>
      </c>
      <c r="G67" t="s">
        <v>311</v>
      </c>
      <c r="H67" t="s">
        <v>316</v>
      </c>
      <c r="I67">
        <v>5</v>
      </c>
    </row>
    <row r="68" spans="1:9" hidden="1" x14ac:dyDescent="0.35">
      <c r="A68" t="s">
        <v>322</v>
      </c>
      <c r="B68" t="s">
        <v>203</v>
      </c>
      <c r="C68" t="s">
        <v>204</v>
      </c>
      <c r="D68" t="s">
        <v>205</v>
      </c>
      <c r="G68" t="s">
        <v>311</v>
      </c>
      <c r="H68" t="s">
        <v>316</v>
      </c>
      <c r="I68">
        <v>5</v>
      </c>
    </row>
    <row r="69" spans="1:9" hidden="1" x14ac:dyDescent="0.35">
      <c r="A69" t="s">
        <v>323</v>
      </c>
      <c r="B69" t="s">
        <v>203</v>
      </c>
      <c r="C69" t="s">
        <v>204</v>
      </c>
      <c r="D69" t="s">
        <v>205</v>
      </c>
      <c r="G69" t="s">
        <v>311</v>
      </c>
      <c r="H69" t="s">
        <v>316</v>
      </c>
      <c r="I69">
        <v>5</v>
      </c>
    </row>
    <row r="70" spans="1:9" hidden="1" x14ac:dyDescent="0.35">
      <c r="A70" t="s">
        <v>324</v>
      </c>
      <c r="B70" t="s">
        <v>203</v>
      </c>
      <c r="C70" t="s">
        <v>204</v>
      </c>
      <c r="D70" t="s">
        <v>205</v>
      </c>
      <c r="G70" t="s">
        <v>311</v>
      </c>
      <c r="H70" t="s">
        <v>316</v>
      </c>
      <c r="I70">
        <v>5</v>
      </c>
    </row>
    <row r="71" spans="1:9" hidden="1" x14ac:dyDescent="0.35">
      <c r="A71" t="s">
        <v>326</v>
      </c>
      <c r="B71" t="s">
        <v>203</v>
      </c>
      <c r="C71" t="s">
        <v>204</v>
      </c>
      <c r="D71" t="s">
        <v>205</v>
      </c>
      <c r="G71" t="s">
        <v>311</v>
      </c>
      <c r="H71" t="s">
        <v>316</v>
      </c>
      <c r="I71">
        <v>5</v>
      </c>
    </row>
    <row r="72" spans="1:9" hidden="1" x14ac:dyDescent="0.35">
      <c r="A72" t="s">
        <v>327</v>
      </c>
      <c r="B72" t="s">
        <v>203</v>
      </c>
      <c r="C72" t="s">
        <v>204</v>
      </c>
      <c r="D72" t="s">
        <v>205</v>
      </c>
      <c r="G72" t="s">
        <v>311</v>
      </c>
      <c r="H72" t="s">
        <v>316</v>
      </c>
      <c r="I72">
        <v>5</v>
      </c>
    </row>
    <row r="73" spans="1:9" hidden="1" x14ac:dyDescent="0.35">
      <c r="A73" t="s">
        <v>328</v>
      </c>
      <c r="B73" t="s">
        <v>203</v>
      </c>
      <c r="C73" t="s">
        <v>204</v>
      </c>
      <c r="D73" t="s">
        <v>205</v>
      </c>
      <c r="G73" t="s">
        <v>311</v>
      </c>
      <c r="H73" t="s">
        <v>316</v>
      </c>
      <c r="I73">
        <v>5</v>
      </c>
    </row>
    <row r="74" spans="1:9" hidden="1" x14ac:dyDescent="0.35">
      <c r="A74" t="s">
        <v>329</v>
      </c>
      <c r="B74" t="s">
        <v>203</v>
      </c>
      <c r="C74" t="s">
        <v>204</v>
      </c>
      <c r="D74" t="s">
        <v>205</v>
      </c>
      <c r="G74" t="s">
        <v>311</v>
      </c>
      <c r="H74" t="s">
        <v>316</v>
      </c>
      <c r="I74">
        <v>5</v>
      </c>
    </row>
    <row r="75" spans="1:9" hidden="1" x14ac:dyDescent="0.35">
      <c r="A75" t="s">
        <v>330</v>
      </c>
      <c r="B75" t="s">
        <v>203</v>
      </c>
      <c r="C75" t="s">
        <v>204</v>
      </c>
      <c r="D75" t="s">
        <v>205</v>
      </c>
      <c r="G75" t="s">
        <v>311</v>
      </c>
      <c r="H75" t="s">
        <v>316</v>
      </c>
      <c r="I75">
        <v>5</v>
      </c>
    </row>
    <row r="76" spans="1:9" hidden="1" x14ac:dyDescent="0.35">
      <c r="A76" t="s">
        <v>331</v>
      </c>
      <c r="B76" t="s">
        <v>203</v>
      </c>
      <c r="C76" t="s">
        <v>204</v>
      </c>
      <c r="D76" t="s">
        <v>205</v>
      </c>
      <c r="G76" t="s">
        <v>311</v>
      </c>
      <c r="H76" t="s">
        <v>316</v>
      </c>
      <c r="I76">
        <v>5</v>
      </c>
    </row>
    <row r="77" spans="1:9" hidden="1" x14ac:dyDescent="0.35">
      <c r="A77" t="s">
        <v>333</v>
      </c>
      <c r="B77" t="s">
        <v>203</v>
      </c>
      <c r="C77" t="s">
        <v>204</v>
      </c>
      <c r="D77" t="s">
        <v>205</v>
      </c>
      <c r="G77" t="s">
        <v>311</v>
      </c>
      <c r="H77" t="s">
        <v>316</v>
      </c>
      <c r="I77">
        <v>5</v>
      </c>
    </row>
    <row r="78" spans="1:9" hidden="1" x14ac:dyDescent="0.35">
      <c r="A78" t="s">
        <v>334</v>
      </c>
      <c r="B78" t="s">
        <v>203</v>
      </c>
      <c r="C78" t="s">
        <v>204</v>
      </c>
      <c r="D78" t="s">
        <v>205</v>
      </c>
      <c r="G78" t="s">
        <v>311</v>
      </c>
      <c r="H78" t="s">
        <v>316</v>
      </c>
      <c r="I78">
        <v>5</v>
      </c>
    </row>
    <row r="79" spans="1:9" hidden="1" x14ac:dyDescent="0.35">
      <c r="A79" t="s">
        <v>335</v>
      </c>
      <c r="B79" t="s">
        <v>203</v>
      </c>
      <c r="C79" t="s">
        <v>204</v>
      </c>
      <c r="D79" t="s">
        <v>205</v>
      </c>
      <c r="G79" t="s">
        <v>311</v>
      </c>
      <c r="H79" t="s">
        <v>316</v>
      </c>
      <c r="I79">
        <v>5</v>
      </c>
    </row>
    <row r="80" spans="1:9" hidden="1" x14ac:dyDescent="0.35">
      <c r="A80" t="s">
        <v>336</v>
      </c>
      <c r="B80" t="s">
        <v>203</v>
      </c>
      <c r="C80" t="s">
        <v>204</v>
      </c>
      <c r="D80" t="s">
        <v>205</v>
      </c>
      <c r="G80" t="s">
        <v>311</v>
      </c>
      <c r="H80" t="s">
        <v>316</v>
      </c>
      <c r="I80">
        <v>5</v>
      </c>
    </row>
    <row r="81" spans="1:9" hidden="1" x14ac:dyDescent="0.35">
      <c r="A81" t="s">
        <v>337</v>
      </c>
      <c r="B81" t="s">
        <v>203</v>
      </c>
      <c r="C81" t="s">
        <v>204</v>
      </c>
      <c r="D81" t="s">
        <v>205</v>
      </c>
      <c r="G81" t="s">
        <v>311</v>
      </c>
      <c r="H81" t="s">
        <v>316</v>
      </c>
      <c r="I81">
        <v>5</v>
      </c>
    </row>
    <row r="82" spans="1:9" hidden="1" x14ac:dyDescent="0.35">
      <c r="A82" t="s">
        <v>338</v>
      </c>
      <c r="B82" t="s">
        <v>203</v>
      </c>
      <c r="C82" t="s">
        <v>204</v>
      </c>
      <c r="D82" t="s">
        <v>205</v>
      </c>
      <c r="G82" t="s">
        <v>311</v>
      </c>
      <c r="H82" t="s">
        <v>316</v>
      </c>
      <c r="I82">
        <v>5</v>
      </c>
    </row>
    <row r="83" spans="1:9" hidden="1" x14ac:dyDescent="0.35">
      <c r="A83" t="s">
        <v>260</v>
      </c>
      <c r="B83" t="s">
        <v>203</v>
      </c>
      <c r="C83" t="s">
        <v>204</v>
      </c>
      <c r="D83" t="s">
        <v>205</v>
      </c>
      <c r="G83" t="s">
        <v>311</v>
      </c>
      <c r="H83" t="s">
        <v>112</v>
      </c>
      <c r="I83">
        <v>5</v>
      </c>
    </row>
    <row r="84" spans="1:9" hidden="1" x14ac:dyDescent="0.35">
      <c r="A84" t="s">
        <v>268</v>
      </c>
      <c r="B84" t="s">
        <v>203</v>
      </c>
      <c r="C84" t="s">
        <v>204</v>
      </c>
      <c r="D84" t="s">
        <v>205</v>
      </c>
      <c r="G84" t="s">
        <v>311</v>
      </c>
      <c r="H84" t="s">
        <v>112</v>
      </c>
      <c r="I84">
        <v>5</v>
      </c>
    </row>
    <row r="85" spans="1:9" hidden="1" x14ac:dyDescent="0.35">
      <c r="A85" t="s">
        <v>270</v>
      </c>
      <c r="B85" t="s">
        <v>203</v>
      </c>
      <c r="C85" t="s">
        <v>204</v>
      </c>
      <c r="D85" t="s">
        <v>205</v>
      </c>
      <c r="G85" t="s">
        <v>311</v>
      </c>
      <c r="H85" t="s">
        <v>112</v>
      </c>
      <c r="I85">
        <v>5</v>
      </c>
    </row>
    <row r="86" spans="1:9" hidden="1" x14ac:dyDescent="0.35">
      <c r="A86" t="s">
        <v>271</v>
      </c>
      <c r="B86" t="s">
        <v>203</v>
      </c>
      <c r="C86" t="s">
        <v>204</v>
      </c>
      <c r="D86" t="s">
        <v>205</v>
      </c>
      <c r="G86" t="s">
        <v>311</v>
      </c>
      <c r="H86" t="s">
        <v>112</v>
      </c>
      <c r="I86">
        <v>5</v>
      </c>
    </row>
    <row r="87" spans="1:9" hidden="1" x14ac:dyDescent="0.35">
      <c r="A87" t="s">
        <v>272</v>
      </c>
      <c r="B87" t="s">
        <v>203</v>
      </c>
      <c r="C87" t="s">
        <v>204</v>
      </c>
      <c r="D87" t="s">
        <v>205</v>
      </c>
      <c r="G87" t="s">
        <v>311</v>
      </c>
      <c r="H87" t="s">
        <v>112</v>
      </c>
      <c r="I87">
        <v>5</v>
      </c>
    </row>
    <row r="88" spans="1:9" hidden="1" x14ac:dyDescent="0.35">
      <c r="A88" t="s">
        <v>248</v>
      </c>
      <c r="B88" t="s">
        <v>203</v>
      </c>
      <c r="C88" t="s">
        <v>204</v>
      </c>
      <c r="D88" t="s">
        <v>205</v>
      </c>
      <c r="G88" t="s">
        <v>311</v>
      </c>
      <c r="H88" t="s">
        <v>624</v>
      </c>
      <c r="I88">
        <v>5</v>
      </c>
    </row>
    <row r="89" spans="1:9" hidden="1" x14ac:dyDescent="0.35">
      <c r="A89" t="s">
        <v>263</v>
      </c>
      <c r="B89" t="s">
        <v>203</v>
      </c>
      <c r="C89" t="s">
        <v>204</v>
      </c>
      <c r="D89" t="s">
        <v>205</v>
      </c>
      <c r="G89" t="s">
        <v>311</v>
      </c>
      <c r="H89" t="s">
        <v>624</v>
      </c>
      <c r="I89">
        <v>5</v>
      </c>
    </row>
    <row r="90" spans="1:9" hidden="1" x14ac:dyDescent="0.35">
      <c r="A90" t="s">
        <v>267</v>
      </c>
      <c r="B90" t="s">
        <v>203</v>
      </c>
      <c r="C90" t="s">
        <v>204</v>
      </c>
      <c r="D90" t="s">
        <v>205</v>
      </c>
      <c r="G90" t="s">
        <v>311</v>
      </c>
      <c r="H90" t="s">
        <v>624</v>
      </c>
      <c r="I90">
        <v>5</v>
      </c>
    </row>
    <row r="91" spans="1:9" hidden="1" x14ac:dyDescent="0.35">
      <c r="A91" t="s">
        <v>259</v>
      </c>
      <c r="B91" t="s">
        <v>203</v>
      </c>
      <c r="C91" t="s">
        <v>204</v>
      </c>
      <c r="D91" t="s">
        <v>205</v>
      </c>
      <c r="G91" t="s">
        <v>311</v>
      </c>
      <c r="H91" t="s">
        <v>625</v>
      </c>
      <c r="I91">
        <v>5</v>
      </c>
    </row>
    <row r="92" spans="1:9" hidden="1" x14ac:dyDescent="0.35">
      <c r="A92" t="s">
        <v>275</v>
      </c>
      <c r="B92" t="s">
        <v>203</v>
      </c>
      <c r="C92" t="s">
        <v>204</v>
      </c>
      <c r="D92" t="s">
        <v>205</v>
      </c>
      <c r="G92" t="s">
        <v>311</v>
      </c>
      <c r="H92" t="s">
        <v>625</v>
      </c>
      <c r="I92">
        <v>5</v>
      </c>
    </row>
    <row r="93" spans="1:9" hidden="1" x14ac:dyDescent="0.35">
      <c r="A93" t="s">
        <v>344</v>
      </c>
      <c r="B93" t="s">
        <v>203</v>
      </c>
      <c r="C93" t="s">
        <v>204</v>
      </c>
      <c r="D93" t="s">
        <v>205</v>
      </c>
      <c r="G93" t="s">
        <v>340</v>
      </c>
      <c r="H93" t="s">
        <v>345</v>
      </c>
      <c r="I93">
        <v>5</v>
      </c>
    </row>
    <row r="94" spans="1:9" hidden="1" x14ac:dyDescent="0.35">
      <c r="A94" t="s">
        <v>346</v>
      </c>
      <c r="B94" t="s">
        <v>203</v>
      </c>
      <c r="C94" t="s">
        <v>204</v>
      </c>
      <c r="D94" t="s">
        <v>205</v>
      </c>
      <c r="G94" t="s">
        <v>340</v>
      </c>
      <c r="H94" t="s">
        <v>345</v>
      </c>
      <c r="I94">
        <v>5</v>
      </c>
    </row>
  </sheetData>
  <autoFilter ref="A1:I94" xr:uid="{8D565D4B-93DF-4BE8-A4A9-0B66C656F3A8}">
    <filterColumn colId="8">
      <filters>
        <filter val="4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5E17-0B08-4AA0-9D57-498C7C957CCA}">
  <dimension ref="A1:M66"/>
  <sheetViews>
    <sheetView workbookViewId="0">
      <pane ySplit="1" topLeftCell="A2" activePane="bottomLeft" state="frozen"/>
      <selection pane="bottomLeft" activeCell="E57" sqref="E57"/>
    </sheetView>
  </sheetViews>
  <sheetFormatPr baseColWidth="10" defaultColWidth="11.453125" defaultRowHeight="14.5" x14ac:dyDescent="0.35"/>
  <cols>
    <col min="2" max="2" width="24.26953125" customWidth="1"/>
    <col min="5" max="5" width="14.54296875" bestFit="1" customWidth="1"/>
    <col min="6" max="6" width="12.7265625" bestFit="1" customWidth="1"/>
  </cols>
  <sheetData>
    <row r="1" spans="1:13" x14ac:dyDescent="0.35">
      <c r="A1" s="43" t="s">
        <v>53</v>
      </c>
      <c r="B1" s="43" t="s">
        <v>122</v>
      </c>
      <c r="C1" s="43" t="s">
        <v>123</v>
      </c>
      <c r="D1" s="43" t="s">
        <v>124</v>
      </c>
      <c r="E1" s="43" t="s">
        <v>125</v>
      </c>
      <c r="F1" s="43" t="s">
        <v>126</v>
      </c>
      <c r="G1" s="43" t="s">
        <v>127</v>
      </c>
      <c r="H1" s="43" t="s">
        <v>555</v>
      </c>
      <c r="I1" s="43" t="s">
        <v>556</v>
      </c>
      <c r="J1" s="43" t="s">
        <v>563</v>
      </c>
      <c r="K1" s="43" t="s">
        <v>558</v>
      </c>
      <c r="L1" s="43" t="s">
        <v>559</v>
      </c>
      <c r="M1" s="43" t="s">
        <v>561</v>
      </c>
    </row>
    <row r="2" spans="1:13" x14ac:dyDescent="0.35">
      <c r="A2" t="s">
        <v>39</v>
      </c>
      <c r="B2" t="s">
        <v>128</v>
      </c>
      <c r="C2" s="2" t="s">
        <v>129</v>
      </c>
      <c r="D2" s="2" t="s">
        <v>3</v>
      </c>
      <c r="E2" t="s">
        <v>130</v>
      </c>
      <c r="F2" t="s">
        <v>131</v>
      </c>
      <c r="G2" t="s">
        <v>132</v>
      </c>
    </row>
    <row r="3" spans="1:13" x14ac:dyDescent="0.35">
      <c r="A3" t="s">
        <v>39</v>
      </c>
      <c r="B3" t="s">
        <v>128</v>
      </c>
      <c r="C3" s="2" t="s">
        <v>133</v>
      </c>
      <c r="D3" s="2" t="s">
        <v>3</v>
      </c>
      <c r="E3" t="s">
        <v>130</v>
      </c>
      <c r="F3" t="s">
        <v>131</v>
      </c>
    </row>
    <row r="4" spans="1:13" x14ac:dyDescent="0.35">
      <c r="A4" t="s">
        <v>39</v>
      </c>
      <c r="B4" t="s">
        <v>134</v>
      </c>
      <c r="C4" s="2" t="s">
        <v>135</v>
      </c>
      <c r="D4" s="2" t="s">
        <v>3</v>
      </c>
      <c r="E4" t="s">
        <v>136</v>
      </c>
      <c r="F4" t="s">
        <v>131</v>
      </c>
    </row>
    <row r="5" spans="1:13" x14ac:dyDescent="0.35">
      <c r="A5" t="s">
        <v>39</v>
      </c>
      <c r="B5" t="s">
        <v>137</v>
      </c>
      <c r="C5" s="2" t="s">
        <v>138</v>
      </c>
      <c r="D5" s="2" t="s">
        <v>3</v>
      </c>
      <c r="E5" t="s">
        <v>139</v>
      </c>
      <c r="F5" t="s">
        <v>131</v>
      </c>
    </row>
    <row r="6" spans="1:13" x14ac:dyDescent="0.35">
      <c r="A6" t="s">
        <v>34</v>
      </c>
      <c r="B6" t="s">
        <v>140</v>
      </c>
      <c r="C6" s="2" t="s">
        <v>447</v>
      </c>
      <c r="D6" s="2" t="s">
        <v>3</v>
      </c>
      <c r="E6" t="s">
        <v>141</v>
      </c>
      <c r="F6" t="s">
        <v>142</v>
      </c>
    </row>
    <row r="7" spans="1:13" x14ac:dyDescent="0.35">
      <c r="A7" t="s">
        <v>22</v>
      </c>
      <c r="B7" t="s">
        <v>143</v>
      </c>
      <c r="C7" t="s">
        <v>144</v>
      </c>
      <c r="D7" t="s">
        <v>1</v>
      </c>
      <c r="E7" t="s">
        <v>145</v>
      </c>
      <c r="F7" t="s">
        <v>146</v>
      </c>
    </row>
    <row r="8" spans="1:13" x14ac:dyDescent="0.35">
      <c r="A8" t="s">
        <v>39</v>
      </c>
      <c r="B8" t="s">
        <v>147</v>
      </c>
      <c r="C8" s="40">
        <v>19</v>
      </c>
      <c r="D8" s="2" t="s">
        <v>1</v>
      </c>
      <c r="E8" t="s">
        <v>130</v>
      </c>
      <c r="F8" t="s">
        <v>131</v>
      </c>
    </row>
    <row r="9" spans="1:13" x14ac:dyDescent="0.35">
      <c r="A9" t="s">
        <v>39</v>
      </c>
      <c r="B9" t="s">
        <v>128</v>
      </c>
      <c r="C9" s="3" t="s">
        <v>148</v>
      </c>
      <c r="D9" s="2" t="s">
        <v>1</v>
      </c>
      <c r="E9" t="s">
        <v>130</v>
      </c>
      <c r="F9" t="s">
        <v>131</v>
      </c>
    </row>
    <row r="10" spans="1:13" x14ac:dyDescent="0.35">
      <c r="A10" t="s">
        <v>34</v>
      </c>
      <c r="B10" t="s">
        <v>149</v>
      </c>
      <c r="C10" s="25" t="s">
        <v>150</v>
      </c>
      <c r="D10" s="2" t="s">
        <v>1</v>
      </c>
      <c r="E10" t="s">
        <v>151</v>
      </c>
      <c r="F10" t="s">
        <v>142</v>
      </c>
    </row>
    <row r="11" spans="1:13" x14ac:dyDescent="0.35">
      <c r="A11" t="s">
        <v>34</v>
      </c>
      <c r="B11" t="s">
        <v>154</v>
      </c>
      <c r="C11" s="25" t="s">
        <v>155</v>
      </c>
      <c r="D11" s="2" t="s">
        <v>1</v>
      </c>
      <c r="E11" t="s">
        <v>156</v>
      </c>
      <c r="F11" t="s">
        <v>142</v>
      </c>
      <c r="H11" t="s">
        <v>568</v>
      </c>
      <c r="I11">
        <v>98</v>
      </c>
      <c r="K11" t="s">
        <v>569</v>
      </c>
    </row>
    <row r="12" spans="1:13" x14ac:dyDescent="0.35">
      <c r="A12" t="s">
        <v>34</v>
      </c>
      <c r="B12" t="s">
        <v>570</v>
      </c>
      <c r="C12" s="25" t="s">
        <v>155</v>
      </c>
      <c r="D12" s="2" t="s">
        <v>1</v>
      </c>
      <c r="E12" t="s">
        <v>571</v>
      </c>
      <c r="F12" t="s">
        <v>142</v>
      </c>
    </row>
    <row r="13" spans="1:13" x14ac:dyDescent="0.35">
      <c r="A13" t="s">
        <v>34</v>
      </c>
      <c r="B13" t="s">
        <v>444</v>
      </c>
      <c r="C13" s="2" t="s">
        <v>445</v>
      </c>
      <c r="D13" s="2" t="s">
        <v>2</v>
      </c>
      <c r="E13" t="s">
        <v>446</v>
      </c>
      <c r="F13" t="s">
        <v>142</v>
      </c>
    </row>
    <row r="14" spans="1:13" x14ac:dyDescent="0.35">
      <c r="A14" t="s">
        <v>34</v>
      </c>
      <c r="B14" t="s">
        <v>152</v>
      </c>
      <c r="C14" s="2" t="s">
        <v>157</v>
      </c>
      <c r="D14" s="2" t="s">
        <v>2</v>
      </c>
      <c r="E14" t="s">
        <v>153</v>
      </c>
      <c r="F14" t="s">
        <v>142</v>
      </c>
    </row>
    <row r="15" spans="1:13" x14ac:dyDescent="0.35">
      <c r="A15" t="s">
        <v>39</v>
      </c>
      <c r="B15" t="s">
        <v>134</v>
      </c>
      <c r="C15" s="2" t="s">
        <v>157</v>
      </c>
      <c r="D15" s="2" t="s">
        <v>2</v>
      </c>
      <c r="E15" t="s">
        <v>136</v>
      </c>
      <c r="F15" t="s">
        <v>131</v>
      </c>
    </row>
    <row r="16" spans="1:13" x14ac:dyDescent="0.35">
      <c r="A16" t="s">
        <v>39</v>
      </c>
      <c r="B16" t="s">
        <v>128</v>
      </c>
      <c r="C16" s="2" t="s">
        <v>158</v>
      </c>
      <c r="D16" s="2" t="s">
        <v>2</v>
      </c>
      <c r="E16" t="s">
        <v>130</v>
      </c>
      <c r="F16" t="s">
        <v>131</v>
      </c>
    </row>
    <row r="17" spans="1:6" x14ac:dyDescent="0.35">
      <c r="A17" t="s">
        <v>39</v>
      </c>
      <c r="B17" t="s">
        <v>137</v>
      </c>
      <c r="C17" s="2" t="s">
        <v>159</v>
      </c>
      <c r="D17" s="2" t="s">
        <v>2</v>
      </c>
      <c r="E17" t="s">
        <v>139</v>
      </c>
      <c r="F17" t="s">
        <v>131</v>
      </c>
    </row>
    <row r="18" spans="1:6" x14ac:dyDescent="0.35">
      <c r="A18" t="s">
        <v>39</v>
      </c>
      <c r="B18" t="s">
        <v>128</v>
      </c>
      <c r="C18" s="2" t="s">
        <v>160</v>
      </c>
      <c r="D18" s="2" t="s">
        <v>2</v>
      </c>
      <c r="E18" t="s">
        <v>130</v>
      </c>
      <c r="F18" t="s">
        <v>131</v>
      </c>
    </row>
    <row r="19" spans="1:6" x14ac:dyDescent="0.35">
      <c r="A19" t="s">
        <v>34</v>
      </c>
      <c r="B19" t="s">
        <v>161</v>
      </c>
      <c r="C19" s="39">
        <v>19</v>
      </c>
      <c r="D19" s="2" t="s">
        <v>2</v>
      </c>
      <c r="E19" t="s">
        <v>162</v>
      </c>
      <c r="F19" t="s">
        <v>142</v>
      </c>
    </row>
    <row r="20" spans="1:6" x14ac:dyDescent="0.35">
      <c r="A20" t="s">
        <v>34</v>
      </c>
      <c r="B20" t="s">
        <v>163</v>
      </c>
      <c r="C20" s="2" t="s">
        <v>164</v>
      </c>
      <c r="D20" s="2" t="s">
        <v>2</v>
      </c>
      <c r="E20" t="s">
        <v>162</v>
      </c>
      <c r="F20" t="s">
        <v>142</v>
      </c>
    </row>
    <row r="21" spans="1:6" x14ac:dyDescent="0.35">
      <c r="A21" t="s">
        <v>34</v>
      </c>
      <c r="B21" t="s">
        <v>165</v>
      </c>
      <c r="C21" t="s">
        <v>158</v>
      </c>
      <c r="D21" s="2" t="s">
        <v>2</v>
      </c>
      <c r="E21" t="s">
        <v>166</v>
      </c>
      <c r="F21" t="s">
        <v>142</v>
      </c>
    </row>
    <row r="22" spans="1:6" x14ac:dyDescent="0.35">
      <c r="A22" t="s">
        <v>22</v>
      </c>
      <c r="B22" t="s">
        <v>167</v>
      </c>
      <c r="C22" s="2" t="s">
        <v>168</v>
      </c>
      <c r="D22" s="2" t="s">
        <v>1</v>
      </c>
      <c r="E22" t="s">
        <v>169</v>
      </c>
      <c r="F22" t="s">
        <v>76</v>
      </c>
    </row>
    <row r="23" spans="1:6" x14ac:dyDescent="0.35">
      <c r="A23" t="s">
        <v>22</v>
      </c>
      <c r="B23" t="s">
        <v>170</v>
      </c>
      <c r="C23">
        <v>19</v>
      </c>
      <c r="D23" s="2" t="s">
        <v>1</v>
      </c>
      <c r="E23" t="s">
        <v>171</v>
      </c>
      <c r="F23" t="s">
        <v>27</v>
      </c>
    </row>
    <row r="24" spans="1:6" x14ac:dyDescent="0.35">
      <c r="A24" t="s">
        <v>22</v>
      </c>
      <c r="B24" t="s">
        <v>172</v>
      </c>
      <c r="C24">
        <v>18</v>
      </c>
      <c r="D24" s="2" t="s">
        <v>1</v>
      </c>
      <c r="E24" t="s">
        <v>173</v>
      </c>
      <c r="F24" t="s">
        <v>174</v>
      </c>
    </row>
    <row r="25" spans="1:6" x14ac:dyDescent="0.35">
      <c r="A25" t="s">
        <v>22</v>
      </c>
      <c r="B25" t="s">
        <v>175</v>
      </c>
      <c r="C25" t="s">
        <v>144</v>
      </c>
      <c r="D25" s="2" t="s">
        <v>1</v>
      </c>
      <c r="E25" t="s">
        <v>176</v>
      </c>
      <c r="F25" t="s">
        <v>24</v>
      </c>
    </row>
    <row r="26" spans="1:6" x14ac:dyDescent="0.35">
      <c r="A26" t="s">
        <v>22</v>
      </c>
      <c r="B26" t="s">
        <v>177</v>
      </c>
      <c r="C26" t="s">
        <v>178</v>
      </c>
      <c r="D26" s="2" t="s">
        <v>1</v>
      </c>
      <c r="E26" t="s">
        <v>179</v>
      </c>
      <c r="F26" t="s">
        <v>180</v>
      </c>
    </row>
    <row r="27" spans="1:6" x14ac:dyDescent="0.35">
      <c r="A27" t="s">
        <v>22</v>
      </c>
      <c r="B27" t="s">
        <v>552</v>
      </c>
      <c r="C27">
        <v>25</v>
      </c>
      <c r="D27" s="2" t="s">
        <v>1</v>
      </c>
    </row>
    <row r="28" spans="1:6" x14ac:dyDescent="0.35">
      <c r="A28" t="s">
        <v>22</v>
      </c>
      <c r="B28" t="s">
        <v>167</v>
      </c>
      <c r="C28" s="2" t="s">
        <v>181</v>
      </c>
      <c r="D28" s="2" t="s">
        <v>2</v>
      </c>
      <c r="E28" t="s">
        <v>169</v>
      </c>
      <c r="F28" t="s">
        <v>76</v>
      </c>
    </row>
    <row r="29" spans="1:6" x14ac:dyDescent="0.35">
      <c r="A29" t="s">
        <v>22</v>
      </c>
      <c r="B29" t="s">
        <v>170</v>
      </c>
      <c r="C29">
        <v>19</v>
      </c>
      <c r="D29" s="2" t="s">
        <v>2</v>
      </c>
      <c r="E29" t="s">
        <v>171</v>
      </c>
      <c r="F29" t="s">
        <v>27</v>
      </c>
    </row>
    <row r="30" spans="1:6" x14ac:dyDescent="0.35">
      <c r="A30" t="s">
        <v>22</v>
      </c>
      <c r="B30" t="s">
        <v>172</v>
      </c>
      <c r="C30" t="s">
        <v>178</v>
      </c>
      <c r="D30" s="2" t="s">
        <v>2</v>
      </c>
      <c r="E30" t="s">
        <v>173</v>
      </c>
      <c r="F30" t="s">
        <v>66</v>
      </c>
    </row>
    <row r="31" spans="1:6" x14ac:dyDescent="0.35">
      <c r="A31" t="s">
        <v>22</v>
      </c>
      <c r="B31" t="s">
        <v>182</v>
      </c>
      <c r="C31" t="s">
        <v>144</v>
      </c>
      <c r="D31" s="2" t="s">
        <v>2</v>
      </c>
      <c r="E31" t="s">
        <v>183</v>
      </c>
      <c r="F31" t="s">
        <v>24</v>
      </c>
    </row>
    <row r="32" spans="1:6" x14ac:dyDescent="0.35">
      <c r="A32" t="s">
        <v>22</v>
      </c>
      <c r="B32" t="s">
        <v>177</v>
      </c>
      <c r="C32" t="s">
        <v>178</v>
      </c>
      <c r="D32" s="2" t="s">
        <v>2</v>
      </c>
      <c r="E32" t="s">
        <v>179</v>
      </c>
      <c r="F32" t="s">
        <v>180</v>
      </c>
    </row>
    <row r="33" spans="1:13" x14ac:dyDescent="0.35">
      <c r="A33" t="s">
        <v>22</v>
      </c>
      <c r="B33" t="s">
        <v>184</v>
      </c>
      <c r="C33">
        <v>3</v>
      </c>
      <c r="D33" s="2" t="s">
        <v>2</v>
      </c>
      <c r="E33" t="s">
        <v>185</v>
      </c>
      <c r="F33" t="s">
        <v>66</v>
      </c>
    </row>
    <row r="34" spans="1:13" x14ac:dyDescent="0.35">
      <c r="A34" t="s">
        <v>22</v>
      </c>
      <c r="B34" t="s">
        <v>167</v>
      </c>
      <c r="C34" s="2" t="s">
        <v>186</v>
      </c>
      <c r="D34" s="2" t="s">
        <v>3</v>
      </c>
      <c r="E34" t="s">
        <v>169</v>
      </c>
      <c r="F34" t="s">
        <v>76</v>
      </c>
    </row>
    <row r="35" spans="1:13" x14ac:dyDescent="0.35">
      <c r="A35" t="s">
        <v>22</v>
      </c>
      <c r="B35" t="s">
        <v>170</v>
      </c>
      <c r="C35">
        <v>14</v>
      </c>
      <c r="D35" s="2" t="s">
        <v>3</v>
      </c>
      <c r="E35" t="s">
        <v>171</v>
      </c>
      <c r="F35" t="s">
        <v>27</v>
      </c>
    </row>
    <row r="36" spans="1:13" x14ac:dyDescent="0.35">
      <c r="A36" t="s">
        <v>22</v>
      </c>
      <c r="B36" t="s">
        <v>172</v>
      </c>
      <c r="C36" t="s">
        <v>187</v>
      </c>
      <c r="D36" s="2" t="s">
        <v>3</v>
      </c>
      <c r="E36" t="s">
        <v>173</v>
      </c>
      <c r="F36" t="s">
        <v>66</v>
      </c>
    </row>
    <row r="37" spans="1:13" x14ac:dyDescent="0.35">
      <c r="A37" t="s">
        <v>22</v>
      </c>
      <c r="B37" t="s">
        <v>175</v>
      </c>
      <c r="C37" t="s">
        <v>187</v>
      </c>
      <c r="D37" s="2" t="s">
        <v>3</v>
      </c>
      <c r="E37" t="s">
        <v>176</v>
      </c>
      <c r="F37" t="s">
        <v>24</v>
      </c>
    </row>
    <row r="38" spans="1:13" x14ac:dyDescent="0.35">
      <c r="A38" t="s">
        <v>22</v>
      </c>
      <c r="B38" t="s">
        <v>177</v>
      </c>
      <c r="C38" t="s">
        <v>188</v>
      </c>
      <c r="D38" s="2" t="s">
        <v>3</v>
      </c>
      <c r="E38" t="s">
        <v>179</v>
      </c>
      <c r="F38" t="s">
        <v>180</v>
      </c>
    </row>
    <row r="39" spans="1:13" x14ac:dyDescent="0.35">
      <c r="A39" t="s">
        <v>475</v>
      </c>
      <c r="B39" t="s">
        <v>523</v>
      </c>
      <c r="C39" t="s">
        <v>524</v>
      </c>
      <c r="D39" s="2" t="s">
        <v>1</v>
      </c>
      <c r="E39" t="s">
        <v>525</v>
      </c>
      <c r="F39" t="s">
        <v>478</v>
      </c>
      <c r="H39" t="s">
        <v>554</v>
      </c>
      <c r="J39" t="s">
        <v>565</v>
      </c>
      <c r="K39" t="s">
        <v>403</v>
      </c>
      <c r="M39" t="s">
        <v>403</v>
      </c>
    </row>
    <row r="40" spans="1:13" x14ac:dyDescent="0.35">
      <c r="A40" t="s">
        <v>475</v>
      </c>
      <c r="B40" t="s">
        <v>526</v>
      </c>
      <c r="C40" s="39">
        <v>26</v>
      </c>
      <c r="D40" s="2" t="s">
        <v>1</v>
      </c>
      <c r="E40" t="s">
        <v>525</v>
      </c>
      <c r="F40" t="s">
        <v>478</v>
      </c>
    </row>
    <row r="41" spans="1:13" x14ac:dyDescent="0.35">
      <c r="A41" t="s">
        <v>475</v>
      </c>
      <c r="B41" t="s">
        <v>479</v>
      </c>
      <c r="C41" s="39">
        <v>26</v>
      </c>
      <c r="D41" s="2" t="s">
        <v>1</v>
      </c>
      <c r="E41" t="s">
        <v>480</v>
      </c>
      <c r="H41" t="s">
        <v>566</v>
      </c>
      <c r="I41" t="s">
        <v>566</v>
      </c>
      <c r="J41">
        <v>10</v>
      </c>
      <c r="L41" t="s">
        <v>567</v>
      </c>
    </row>
    <row r="42" spans="1:13" x14ac:dyDescent="0.35">
      <c r="A42" t="s">
        <v>475</v>
      </c>
      <c r="B42" t="s">
        <v>481</v>
      </c>
      <c r="C42" s="39">
        <v>26</v>
      </c>
      <c r="D42" s="2" t="s">
        <v>1</v>
      </c>
      <c r="E42" t="s">
        <v>553</v>
      </c>
      <c r="F42" t="s">
        <v>30</v>
      </c>
      <c r="H42" t="s">
        <v>557</v>
      </c>
      <c r="I42" t="s">
        <v>562</v>
      </c>
      <c r="J42" t="s">
        <v>564</v>
      </c>
      <c r="K42" t="s">
        <v>403</v>
      </c>
      <c r="L42" t="s">
        <v>560</v>
      </c>
      <c r="M42" t="s">
        <v>403</v>
      </c>
    </row>
    <row r="43" spans="1:13" x14ac:dyDescent="0.35">
      <c r="A43" t="s">
        <v>475</v>
      </c>
      <c r="B43" t="s">
        <v>527</v>
      </c>
      <c r="C43" t="s">
        <v>476</v>
      </c>
      <c r="D43" s="2" t="s">
        <v>2</v>
      </c>
      <c r="E43" t="s">
        <v>477</v>
      </c>
      <c r="F43" t="s">
        <v>284</v>
      </c>
      <c r="G43" t="s">
        <v>478</v>
      </c>
    </row>
    <row r="44" spans="1:13" x14ac:dyDescent="0.35">
      <c r="A44" t="s">
        <v>475</v>
      </c>
      <c r="B44" t="s">
        <v>479</v>
      </c>
      <c r="C44" t="s">
        <v>159</v>
      </c>
      <c r="D44" s="2" t="s">
        <v>2</v>
      </c>
      <c r="E44" t="s">
        <v>480</v>
      </c>
      <c r="F44" t="s">
        <v>284</v>
      </c>
      <c r="G44" t="s">
        <v>521</v>
      </c>
    </row>
    <row r="45" spans="1:13" x14ac:dyDescent="0.35">
      <c r="A45" t="s">
        <v>475</v>
      </c>
      <c r="B45" t="s">
        <v>479</v>
      </c>
      <c r="C45" t="s">
        <v>159</v>
      </c>
      <c r="D45" s="2" t="s">
        <v>2</v>
      </c>
      <c r="E45" t="s">
        <v>480</v>
      </c>
      <c r="F45" t="s">
        <v>284</v>
      </c>
      <c r="G45" t="s">
        <v>521</v>
      </c>
    </row>
    <row r="46" spans="1:13" x14ac:dyDescent="0.35">
      <c r="A46" t="s">
        <v>475</v>
      </c>
      <c r="B46" t="s">
        <v>520</v>
      </c>
      <c r="C46" s="39">
        <v>3</v>
      </c>
      <c r="D46" s="2" t="s">
        <v>2</v>
      </c>
      <c r="E46" t="s">
        <v>491</v>
      </c>
      <c r="F46" t="s">
        <v>284</v>
      </c>
      <c r="G46" t="s">
        <v>522</v>
      </c>
    </row>
    <row r="47" spans="1:13" x14ac:dyDescent="0.35">
      <c r="A47" t="s">
        <v>475</v>
      </c>
      <c r="B47" t="s">
        <v>528</v>
      </c>
      <c r="C47" s="39">
        <v>5</v>
      </c>
      <c r="D47" s="2" t="s">
        <v>2</v>
      </c>
      <c r="E47" t="s">
        <v>529</v>
      </c>
      <c r="F47" t="s">
        <v>284</v>
      </c>
      <c r="G47" t="s">
        <v>530</v>
      </c>
    </row>
    <row r="48" spans="1:13" x14ac:dyDescent="0.35">
      <c r="A48" t="s">
        <v>475</v>
      </c>
      <c r="B48" t="s">
        <v>531</v>
      </c>
      <c r="C48" s="39">
        <v>6</v>
      </c>
      <c r="D48" s="2" t="s">
        <v>2</v>
      </c>
      <c r="E48" t="s">
        <v>532</v>
      </c>
      <c r="F48" t="s">
        <v>284</v>
      </c>
      <c r="G48" t="s">
        <v>530</v>
      </c>
    </row>
    <row r="49" spans="1:6" x14ac:dyDescent="0.35">
      <c r="A49" t="s">
        <v>39</v>
      </c>
      <c r="B49" t="s">
        <v>572</v>
      </c>
      <c r="C49" s="2" t="s">
        <v>160</v>
      </c>
      <c r="D49" s="2" t="s">
        <v>1</v>
      </c>
      <c r="E49" t="s">
        <v>130</v>
      </c>
      <c r="F49" t="s">
        <v>131</v>
      </c>
    </row>
    <row r="51" spans="1:6" x14ac:dyDescent="0.35">
      <c r="A51" t="s">
        <v>591</v>
      </c>
      <c r="B51" t="s">
        <v>592</v>
      </c>
      <c r="C51" t="s">
        <v>593</v>
      </c>
      <c r="D51" s="2" t="s">
        <v>594</v>
      </c>
    </row>
    <row r="52" spans="1:6" x14ac:dyDescent="0.35">
      <c r="B52" t="s">
        <v>595</v>
      </c>
      <c r="C52" t="s">
        <v>596</v>
      </c>
    </row>
    <row r="53" spans="1:6" x14ac:dyDescent="0.35">
      <c r="B53" t="s">
        <v>597</v>
      </c>
    </row>
    <row r="54" spans="1:6" x14ac:dyDescent="0.35">
      <c r="B54" t="s">
        <v>598</v>
      </c>
    </row>
    <row r="55" spans="1:6" x14ac:dyDescent="0.35">
      <c r="B55" t="s">
        <v>599</v>
      </c>
    </row>
    <row r="56" spans="1:6" x14ac:dyDescent="0.35">
      <c r="B56" t="s">
        <v>600</v>
      </c>
    </row>
    <row r="57" spans="1:6" x14ac:dyDescent="0.35">
      <c r="B57" t="s">
        <v>601</v>
      </c>
    </row>
    <row r="58" spans="1:6" x14ac:dyDescent="0.35">
      <c r="B58" t="s">
        <v>602</v>
      </c>
    </row>
    <row r="59" spans="1:6" x14ac:dyDescent="0.35">
      <c r="B59" t="s">
        <v>603</v>
      </c>
    </row>
    <row r="60" spans="1:6" x14ac:dyDescent="0.35">
      <c r="B60" t="s">
        <v>604</v>
      </c>
    </row>
    <row r="61" spans="1:6" x14ac:dyDescent="0.35">
      <c r="B61" t="s">
        <v>605</v>
      </c>
    </row>
    <row r="63" spans="1:6" x14ac:dyDescent="0.35">
      <c r="B63" t="s">
        <v>606</v>
      </c>
    </row>
    <row r="64" spans="1:6" x14ac:dyDescent="0.35">
      <c r="B64" t="s">
        <v>607</v>
      </c>
    </row>
    <row r="65" spans="2:2" x14ac:dyDescent="0.35">
      <c r="B65" t="s">
        <v>608</v>
      </c>
    </row>
    <row r="66" spans="2:2" x14ac:dyDescent="0.35">
      <c r="B66" t="s">
        <v>609</v>
      </c>
    </row>
  </sheetData>
  <autoFilter ref="A1:G49" xr:uid="{FCA55E17-0B08-4AA0-9D57-498C7C957CCA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F8DCD-E369-4F1A-A197-AD7A8C87CA34}">
  <dimension ref="A4:D18"/>
  <sheetViews>
    <sheetView workbookViewId="0">
      <selection activeCell="F11" sqref="F11"/>
    </sheetView>
  </sheetViews>
  <sheetFormatPr baseColWidth="10" defaultRowHeight="14.5" x14ac:dyDescent="0.35"/>
  <cols>
    <col min="1" max="1" width="24.6328125" customWidth="1"/>
    <col min="4" max="4" width="15.08984375" customWidth="1"/>
  </cols>
  <sheetData>
    <row r="4" spans="1:4" x14ac:dyDescent="0.35">
      <c r="A4" s="43" t="s">
        <v>430</v>
      </c>
      <c r="B4" s="43" t="s">
        <v>519</v>
      </c>
      <c r="C4" s="43" t="s">
        <v>124</v>
      </c>
      <c r="D4" s="43" t="s">
        <v>125</v>
      </c>
    </row>
    <row r="5" spans="1:4" hidden="1" x14ac:dyDescent="0.35">
      <c r="A5" t="s">
        <v>511</v>
      </c>
      <c r="B5" t="s">
        <v>515</v>
      </c>
      <c r="C5" t="s">
        <v>1</v>
      </c>
      <c r="D5" t="s">
        <v>495</v>
      </c>
    </row>
    <row r="6" spans="1:4" x14ac:dyDescent="0.35">
      <c r="A6" t="s">
        <v>512</v>
      </c>
      <c r="B6" t="s">
        <v>445</v>
      </c>
      <c r="C6" t="s">
        <v>2</v>
      </c>
      <c r="D6" t="s">
        <v>518</v>
      </c>
    </row>
    <row r="7" spans="1:4" x14ac:dyDescent="0.35">
      <c r="A7" t="s">
        <v>513</v>
      </c>
      <c r="B7" t="s">
        <v>514</v>
      </c>
      <c r="C7" t="s">
        <v>2</v>
      </c>
      <c r="D7" t="s">
        <v>517</v>
      </c>
    </row>
    <row r="8" spans="1:4" x14ac:dyDescent="0.35">
      <c r="A8" t="s">
        <v>516</v>
      </c>
      <c r="B8" t="s">
        <v>187</v>
      </c>
      <c r="C8" t="s">
        <v>3</v>
      </c>
      <c r="D8" t="s">
        <v>495</v>
      </c>
    </row>
    <row r="9" spans="1:4" ht="29" x14ac:dyDescent="0.35">
      <c r="A9" s="8" t="s">
        <v>535</v>
      </c>
      <c r="B9">
        <v>23</v>
      </c>
      <c r="C9" t="s">
        <v>3</v>
      </c>
      <c r="D9" t="s">
        <v>156</v>
      </c>
    </row>
    <row r="10" spans="1:4" x14ac:dyDescent="0.35">
      <c r="A10" t="s">
        <v>505</v>
      </c>
      <c r="B10" t="s">
        <v>507</v>
      </c>
      <c r="C10" t="s">
        <v>4</v>
      </c>
      <c r="D10" t="s">
        <v>517</v>
      </c>
    </row>
    <row r="11" spans="1:4" x14ac:dyDescent="0.35">
      <c r="A11" t="s">
        <v>506</v>
      </c>
      <c r="B11" s="42" t="s">
        <v>508</v>
      </c>
      <c r="C11" t="s">
        <v>4</v>
      </c>
      <c r="D11" t="s">
        <v>156</v>
      </c>
    </row>
    <row r="12" spans="1:4" x14ac:dyDescent="0.35">
      <c r="A12" t="s">
        <v>509</v>
      </c>
      <c r="B12" t="s">
        <v>510</v>
      </c>
      <c r="C12" t="s">
        <v>4</v>
      </c>
      <c r="D12" t="s">
        <v>517</v>
      </c>
    </row>
    <row r="13" spans="1:4" ht="29" x14ac:dyDescent="0.35">
      <c r="A13" s="8" t="s">
        <v>536</v>
      </c>
      <c r="B13" t="s">
        <v>537</v>
      </c>
      <c r="C13" t="s">
        <v>4</v>
      </c>
      <c r="D13" t="s">
        <v>156</v>
      </c>
    </row>
    <row r="14" spans="1:4" ht="29" x14ac:dyDescent="0.35">
      <c r="A14" s="8" t="s">
        <v>538</v>
      </c>
      <c r="B14" t="s">
        <v>539</v>
      </c>
      <c r="C14" t="s">
        <v>4</v>
      </c>
      <c r="D14" t="s">
        <v>156</v>
      </c>
    </row>
    <row r="15" spans="1:4" x14ac:dyDescent="0.35">
      <c r="A15" t="s">
        <v>540</v>
      </c>
      <c r="B15" t="s">
        <v>445</v>
      </c>
      <c r="C15" t="s">
        <v>541</v>
      </c>
      <c r="D15" t="s">
        <v>156</v>
      </c>
    </row>
    <row r="16" spans="1:4" ht="29" x14ac:dyDescent="0.35">
      <c r="A16" s="8" t="s">
        <v>542</v>
      </c>
      <c r="B16">
        <v>20</v>
      </c>
      <c r="C16" t="s">
        <v>7</v>
      </c>
      <c r="D16" t="s">
        <v>153</v>
      </c>
    </row>
    <row r="17" spans="1:4" x14ac:dyDescent="0.35">
      <c r="A17" t="s">
        <v>543</v>
      </c>
      <c r="B17" t="s">
        <v>544</v>
      </c>
      <c r="C17" t="s">
        <v>9</v>
      </c>
      <c r="D17" t="s">
        <v>153</v>
      </c>
    </row>
    <row r="18" spans="1:4" ht="29" x14ac:dyDescent="0.35">
      <c r="A18" s="8" t="s">
        <v>545</v>
      </c>
      <c r="B18" t="s">
        <v>546</v>
      </c>
      <c r="C18" t="s">
        <v>9</v>
      </c>
      <c r="D18" t="s">
        <v>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4F3E-D8C4-4F49-B011-09A1507B31BA}">
  <dimension ref="A1:L12"/>
  <sheetViews>
    <sheetView tabSelected="1" workbookViewId="0">
      <selection activeCell="G10" sqref="G10"/>
    </sheetView>
  </sheetViews>
  <sheetFormatPr baseColWidth="10" defaultRowHeight="14.5" x14ac:dyDescent="0.35"/>
  <cols>
    <col min="1" max="1" width="8.26953125" customWidth="1"/>
    <col min="3" max="3" width="5.36328125" customWidth="1"/>
    <col min="5" max="5" width="13.08984375" customWidth="1"/>
    <col min="9" max="9" width="14.453125" customWidth="1"/>
    <col min="12" max="12" width="13.90625" customWidth="1"/>
  </cols>
  <sheetData>
    <row r="1" spans="1:12" x14ac:dyDescent="0.35">
      <c r="A1" t="s">
        <v>382</v>
      </c>
      <c r="B1" t="s">
        <v>496</v>
      </c>
      <c r="D1" t="s">
        <v>382</v>
      </c>
      <c r="E1" t="s">
        <v>496</v>
      </c>
      <c r="H1" t="s">
        <v>382</v>
      </c>
      <c r="I1" t="s">
        <v>497</v>
      </c>
      <c r="K1" t="s">
        <v>382</v>
      </c>
      <c r="L1" t="s">
        <v>497</v>
      </c>
    </row>
    <row r="2" spans="1:12" x14ac:dyDescent="0.35">
      <c r="A2" t="s">
        <v>22</v>
      </c>
      <c r="B2" t="s">
        <v>173</v>
      </c>
      <c r="D2" t="s">
        <v>34</v>
      </c>
      <c r="E2" t="s">
        <v>492</v>
      </c>
      <c r="H2" t="s">
        <v>22</v>
      </c>
      <c r="I2" t="s">
        <v>417</v>
      </c>
      <c r="K2" t="s">
        <v>34</v>
      </c>
      <c r="L2" t="s">
        <v>501</v>
      </c>
    </row>
    <row r="3" spans="1:12" x14ac:dyDescent="0.35">
      <c r="B3" t="s">
        <v>487</v>
      </c>
      <c r="E3" t="s">
        <v>493</v>
      </c>
      <c r="I3" t="s">
        <v>422</v>
      </c>
      <c r="L3" t="s">
        <v>498</v>
      </c>
    </row>
    <row r="4" spans="1:12" x14ac:dyDescent="0.35">
      <c r="B4" t="s">
        <v>185</v>
      </c>
      <c r="E4" t="s">
        <v>153</v>
      </c>
      <c r="I4" t="s">
        <v>498</v>
      </c>
      <c r="L4" t="s">
        <v>422</v>
      </c>
    </row>
    <row r="5" spans="1:12" x14ac:dyDescent="0.35">
      <c r="B5" t="s">
        <v>488</v>
      </c>
      <c r="E5" t="s">
        <v>166</v>
      </c>
      <c r="I5" t="s">
        <v>499</v>
      </c>
      <c r="L5" t="s">
        <v>502</v>
      </c>
    </row>
    <row r="6" spans="1:12" x14ac:dyDescent="0.35">
      <c r="E6" t="s">
        <v>494</v>
      </c>
      <c r="I6" s="44" t="s">
        <v>583</v>
      </c>
      <c r="L6" s="44" t="s">
        <v>417</v>
      </c>
    </row>
    <row r="7" spans="1:12" x14ac:dyDescent="0.35">
      <c r="A7" t="s">
        <v>28</v>
      </c>
      <c r="B7" t="s">
        <v>489</v>
      </c>
    </row>
    <row r="8" spans="1:12" x14ac:dyDescent="0.35">
      <c r="B8" t="s">
        <v>490</v>
      </c>
      <c r="D8" t="s">
        <v>39</v>
      </c>
      <c r="E8" t="s">
        <v>136</v>
      </c>
      <c r="H8" t="s">
        <v>28</v>
      </c>
      <c r="I8" t="s">
        <v>500</v>
      </c>
    </row>
    <row r="9" spans="1:12" x14ac:dyDescent="0.35">
      <c r="B9" t="s">
        <v>491</v>
      </c>
      <c r="E9" t="s">
        <v>489</v>
      </c>
      <c r="I9" t="s">
        <v>417</v>
      </c>
      <c r="K9" t="s">
        <v>39</v>
      </c>
      <c r="L9" t="s">
        <v>503</v>
      </c>
    </row>
    <row r="10" spans="1:12" x14ac:dyDescent="0.35">
      <c r="B10" t="s">
        <v>477</v>
      </c>
      <c r="E10" t="s">
        <v>495</v>
      </c>
      <c r="I10" t="s">
        <v>422</v>
      </c>
      <c r="L10" t="s">
        <v>504</v>
      </c>
    </row>
    <row r="11" spans="1:12" x14ac:dyDescent="0.35">
      <c r="I11" t="s">
        <v>498</v>
      </c>
      <c r="L11" t="s">
        <v>498</v>
      </c>
    </row>
    <row r="12" spans="1:12" x14ac:dyDescent="0.35">
      <c r="L12" t="s">
        <v>422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945EB-F265-4210-B6F9-892EE88C81F0}">
  <dimension ref="A1:K6"/>
  <sheetViews>
    <sheetView workbookViewId="0">
      <selection activeCell="I1" sqref="I1:J6"/>
    </sheetView>
  </sheetViews>
  <sheetFormatPr baseColWidth="10" defaultColWidth="11.453125" defaultRowHeight="14.5" x14ac:dyDescent="0.35"/>
  <cols>
    <col min="2" max="2" width="6.54296875" customWidth="1"/>
  </cols>
  <sheetData>
    <row r="1" spans="1:11" x14ac:dyDescent="0.35">
      <c r="B1" t="s">
        <v>189</v>
      </c>
      <c r="I1" t="s">
        <v>190</v>
      </c>
    </row>
    <row r="2" spans="1:11" x14ac:dyDescent="0.35">
      <c r="B2" t="s">
        <v>191</v>
      </c>
      <c r="C2" t="s">
        <v>374</v>
      </c>
      <c r="I2" t="s">
        <v>192</v>
      </c>
      <c r="J2" t="s">
        <v>374</v>
      </c>
      <c r="K2" t="s">
        <v>377</v>
      </c>
    </row>
    <row r="3" spans="1:11" x14ac:dyDescent="0.35">
      <c r="A3" t="s">
        <v>39</v>
      </c>
      <c r="B3">
        <v>0</v>
      </c>
      <c r="C3">
        <v>0</v>
      </c>
      <c r="I3">
        <v>0</v>
      </c>
      <c r="J3">
        <v>0</v>
      </c>
      <c r="K3">
        <v>3</v>
      </c>
    </row>
    <row r="4" spans="1:11" x14ac:dyDescent="0.35">
      <c r="A4" t="s">
        <v>22</v>
      </c>
      <c r="B4">
        <v>0</v>
      </c>
      <c r="C4">
        <v>0</v>
      </c>
      <c r="I4">
        <v>0</v>
      </c>
      <c r="J4">
        <v>0</v>
      </c>
    </row>
    <row r="5" spans="1:11" x14ac:dyDescent="0.35">
      <c r="A5" t="s">
        <v>28</v>
      </c>
      <c r="B5">
        <v>0</v>
      </c>
      <c r="C5">
        <v>0</v>
      </c>
      <c r="I5">
        <v>2</v>
      </c>
      <c r="J5">
        <v>0</v>
      </c>
    </row>
    <row r="6" spans="1:11" x14ac:dyDescent="0.35">
      <c r="A6" t="s">
        <v>34</v>
      </c>
      <c r="B6">
        <v>0</v>
      </c>
      <c r="C6">
        <v>4</v>
      </c>
      <c r="I6">
        <v>0</v>
      </c>
      <c r="J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55044-1ED4-4BA9-9596-2798541C83F2}">
  <dimension ref="A1:S21"/>
  <sheetViews>
    <sheetView topLeftCell="G1" workbookViewId="0">
      <selection activeCell="I1" sqref="I1:S21"/>
    </sheetView>
  </sheetViews>
  <sheetFormatPr baseColWidth="10" defaultRowHeight="14.5" x14ac:dyDescent="0.35"/>
  <cols>
    <col min="10" max="10" width="17" customWidth="1"/>
    <col min="11" max="13" width="6.7265625" customWidth="1"/>
    <col min="14" max="14" width="4.7265625" customWidth="1"/>
    <col min="16" max="16" width="14.36328125" customWidth="1"/>
    <col min="17" max="19" width="7.1796875" customWidth="1"/>
  </cols>
  <sheetData>
    <row r="1" spans="1:19" ht="18.5" x14ac:dyDescent="0.45">
      <c r="A1" t="s">
        <v>382</v>
      </c>
      <c r="B1" t="s">
        <v>385</v>
      </c>
      <c r="K1" s="46" t="s">
        <v>573</v>
      </c>
      <c r="L1" s="46"/>
      <c r="M1" s="46"/>
      <c r="N1" s="46"/>
      <c r="O1" s="46"/>
      <c r="P1" s="46"/>
      <c r="Q1" s="46" t="s">
        <v>573</v>
      </c>
      <c r="R1" s="46"/>
      <c r="S1" s="46"/>
    </row>
    <row r="2" spans="1:19" ht="18.5" x14ac:dyDescent="0.45">
      <c r="B2" t="s">
        <v>482</v>
      </c>
      <c r="C2" t="s">
        <v>483</v>
      </c>
      <c r="D2" t="s">
        <v>484</v>
      </c>
      <c r="E2" t="s">
        <v>485</v>
      </c>
      <c r="F2" t="s">
        <v>534</v>
      </c>
      <c r="K2" s="75" t="s">
        <v>383</v>
      </c>
      <c r="L2" s="75"/>
      <c r="M2" s="75"/>
      <c r="N2" s="75"/>
      <c r="O2" s="75"/>
      <c r="P2" s="75"/>
      <c r="Q2" s="75"/>
      <c r="R2" s="75"/>
      <c r="S2" s="75"/>
    </row>
    <row r="3" spans="1:19" x14ac:dyDescent="0.35">
      <c r="A3" t="s">
        <v>22</v>
      </c>
      <c r="B3">
        <v>433.48</v>
      </c>
      <c r="C3">
        <v>2062.8000000000002</v>
      </c>
      <c r="D3">
        <v>245.5</v>
      </c>
      <c r="E3" s="41">
        <f>+D3/B3</f>
        <v>0.56634677493771335</v>
      </c>
      <c r="F3">
        <f>+B3-D3</f>
        <v>187.98000000000002</v>
      </c>
      <c r="K3" t="s">
        <v>13</v>
      </c>
      <c r="L3" t="s">
        <v>12</v>
      </c>
      <c r="M3" t="s">
        <v>580</v>
      </c>
      <c r="Q3" t="s">
        <v>13</v>
      </c>
      <c r="R3" t="s">
        <v>12</v>
      </c>
      <c r="S3" t="s">
        <v>580</v>
      </c>
    </row>
    <row r="4" spans="1:19" ht="18.5" x14ac:dyDescent="0.45">
      <c r="A4" t="s">
        <v>28</v>
      </c>
      <c r="B4">
        <v>474.59</v>
      </c>
      <c r="C4">
        <v>2258.4</v>
      </c>
      <c r="D4">
        <v>173.2</v>
      </c>
      <c r="E4" s="41">
        <f t="shared" ref="E4:E8" si="0">+D4/B4</f>
        <v>0.36494658547377734</v>
      </c>
      <c r="F4">
        <f t="shared" ref="F4:F6" si="1">+B4-D4</f>
        <v>301.39</v>
      </c>
      <c r="G4">
        <f>+F4/7</f>
        <v>43.055714285714281</v>
      </c>
      <c r="I4" s="46" t="s">
        <v>22</v>
      </c>
      <c r="J4" t="s">
        <v>574</v>
      </c>
      <c r="K4" s="13">
        <v>42.27</v>
      </c>
      <c r="L4">
        <v>4</v>
      </c>
      <c r="M4" s="13">
        <f>+K4/L4</f>
        <v>10.567500000000001</v>
      </c>
      <c r="O4" s="46" t="s">
        <v>28</v>
      </c>
      <c r="P4" t="s">
        <v>491</v>
      </c>
      <c r="Q4" s="13">
        <v>27.37</v>
      </c>
      <c r="R4">
        <v>5</v>
      </c>
      <c r="S4" s="13">
        <v>5.4740000000000002</v>
      </c>
    </row>
    <row r="5" spans="1:19" x14ac:dyDescent="0.35">
      <c r="A5" t="s">
        <v>34</v>
      </c>
      <c r="B5">
        <v>508.36</v>
      </c>
      <c r="C5">
        <v>2419.11</v>
      </c>
      <c r="D5">
        <v>141.80000000000001</v>
      </c>
      <c r="E5" s="41">
        <f t="shared" si="0"/>
        <v>0.27893618695412703</v>
      </c>
      <c r="F5">
        <f t="shared" si="1"/>
        <v>366.56</v>
      </c>
      <c r="J5" t="s">
        <v>185</v>
      </c>
      <c r="K5" s="13">
        <v>26.69</v>
      </c>
      <c r="L5">
        <v>2</v>
      </c>
      <c r="M5" s="13">
        <f t="shared" ref="M5:M11" si="2">+K5/L5</f>
        <v>13.345000000000001</v>
      </c>
      <c r="P5" t="s">
        <v>529</v>
      </c>
      <c r="Q5" s="13">
        <v>4</v>
      </c>
      <c r="R5">
        <v>1</v>
      </c>
      <c r="S5" s="13">
        <v>4</v>
      </c>
    </row>
    <row r="6" spans="1:19" x14ac:dyDescent="0.35">
      <c r="A6" t="s">
        <v>39</v>
      </c>
      <c r="B6">
        <v>693.79</v>
      </c>
      <c r="C6">
        <v>3301.52</v>
      </c>
      <c r="D6">
        <v>263.89999999999998</v>
      </c>
      <c r="E6" s="41">
        <f t="shared" si="0"/>
        <v>0.38037446489571769</v>
      </c>
      <c r="F6">
        <f t="shared" si="1"/>
        <v>429.89</v>
      </c>
      <c r="J6" s="44" t="s">
        <v>575</v>
      </c>
      <c r="K6" s="45">
        <v>16.7</v>
      </c>
      <c r="L6">
        <v>3</v>
      </c>
      <c r="M6" s="13">
        <f t="shared" si="2"/>
        <v>5.5666666666666664</v>
      </c>
      <c r="P6" t="s">
        <v>553</v>
      </c>
      <c r="Q6" s="13">
        <v>3.52</v>
      </c>
      <c r="R6">
        <v>1</v>
      </c>
      <c r="S6" s="13">
        <v>3.52</v>
      </c>
    </row>
    <row r="7" spans="1:19" x14ac:dyDescent="0.35">
      <c r="J7" t="s">
        <v>487</v>
      </c>
      <c r="K7" s="13">
        <v>202.91</v>
      </c>
      <c r="L7">
        <v>20</v>
      </c>
      <c r="M7" s="13">
        <f t="shared" si="2"/>
        <v>10.1455</v>
      </c>
      <c r="P7" t="s">
        <v>490</v>
      </c>
      <c r="Q7" s="13">
        <v>44.82</v>
      </c>
      <c r="R7">
        <v>6</v>
      </c>
      <c r="S7" s="13">
        <v>7.47</v>
      </c>
    </row>
    <row r="8" spans="1:19" x14ac:dyDescent="0.35">
      <c r="A8" t="s">
        <v>486</v>
      </c>
      <c r="B8">
        <f>+SUM(B3:B6)</f>
        <v>2110.2199999999998</v>
      </c>
      <c r="C8">
        <f>+SUM(C3:C6)</f>
        <v>10041.830000000002</v>
      </c>
      <c r="D8">
        <f>+SUM(D3:D6)</f>
        <v>824.4</v>
      </c>
      <c r="E8" s="41">
        <f t="shared" si="0"/>
        <v>0.39067016709158292</v>
      </c>
      <c r="J8" t="s">
        <v>173</v>
      </c>
      <c r="K8" s="13">
        <v>52.96</v>
      </c>
      <c r="L8">
        <v>7</v>
      </c>
      <c r="M8" s="13">
        <f t="shared" si="2"/>
        <v>7.5657142857142858</v>
      </c>
      <c r="P8" t="s">
        <v>576</v>
      </c>
      <c r="Q8" s="13">
        <v>15.85</v>
      </c>
      <c r="R8">
        <v>4</v>
      </c>
      <c r="S8" s="13">
        <v>3.9624999999999999</v>
      </c>
    </row>
    <row r="9" spans="1:19" x14ac:dyDescent="0.35">
      <c r="J9" t="s">
        <v>176</v>
      </c>
      <c r="K9" s="13">
        <v>75.72</v>
      </c>
      <c r="L9">
        <v>8</v>
      </c>
      <c r="M9" s="13">
        <f t="shared" si="2"/>
        <v>9.4649999999999999</v>
      </c>
      <c r="P9" t="s">
        <v>577</v>
      </c>
      <c r="Q9" s="13">
        <v>21.14</v>
      </c>
      <c r="R9">
        <v>2</v>
      </c>
      <c r="S9" s="13">
        <v>10.57</v>
      </c>
    </row>
    <row r="10" spans="1:19" x14ac:dyDescent="0.35">
      <c r="J10" s="44" t="s">
        <v>183</v>
      </c>
      <c r="K10" s="45">
        <v>16.71</v>
      </c>
      <c r="L10">
        <v>2</v>
      </c>
      <c r="M10" s="13">
        <f t="shared" si="2"/>
        <v>8.3550000000000004</v>
      </c>
      <c r="P10" t="s">
        <v>477</v>
      </c>
      <c r="Q10" s="13">
        <v>39.012</v>
      </c>
      <c r="R10">
        <v>6</v>
      </c>
      <c r="S10" s="13">
        <v>6.5019999999999998</v>
      </c>
    </row>
    <row r="11" spans="1:19" x14ac:dyDescent="0.35">
      <c r="J11" s="44" t="s">
        <v>488</v>
      </c>
      <c r="K11" s="45">
        <v>12.59</v>
      </c>
      <c r="L11">
        <v>2</v>
      </c>
      <c r="M11" s="13">
        <f t="shared" si="2"/>
        <v>6.2949999999999999</v>
      </c>
    </row>
    <row r="13" spans="1:19" x14ac:dyDescent="0.35">
      <c r="K13" t="s">
        <v>13</v>
      </c>
      <c r="L13" t="s">
        <v>12</v>
      </c>
      <c r="M13" t="s">
        <v>580</v>
      </c>
      <c r="Q13" t="s">
        <v>13</v>
      </c>
      <c r="R13" t="s">
        <v>12</v>
      </c>
      <c r="S13" t="s">
        <v>580</v>
      </c>
    </row>
    <row r="14" spans="1:19" ht="18.5" x14ac:dyDescent="0.45">
      <c r="I14" s="46" t="s">
        <v>34</v>
      </c>
      <c r="J14" t="s">
        <v>494</v>
      </c>
      <c r="K14" s="13">
        <v>22.048999999999999</v>
      </c>
      <c r="L14">
        <v>2</v>
      </c>
      <c r="M14" s="13">
        <v>11.0245</v>
      </c>
      <c r="O14" s="46"/>
      <c r="P14" t="s">
        <v>495</v>
      </c>
      <c r="Q14" s="13">
        <v>49.39</v>
      </c>
      <c r="R14">
        <v>9</v>
      </c>
      <c r="S14" s="13">
        <v>5.4877777777777776</v>
      </c>
    </row>
    <row r="15" spans="1:19" x14ac:dyDescent="0.35">
      <c r="J15" t="s">
        <v>578</v>
      </c>
      <c r="K15" s="13">
        <v>11.423</v>
      </c>
      <c r="L15">
        <v>1</v>
      </c>
      <c r="M15" s="13">
        <v>11.423</v>
      </c>
      <c r="P15" s="44" t="s">
        <v>581</v>
      </c>
      <c r="Q15" s="45">
        <v>1.1499999999999999</v>
      </c>
      <c r="R15">
        <v>1</v>
      </c>
      <c r="S15" s="13">
        <v>1.1499999999999999</v>
      </c>
    </row>
    <row r="16" spans="1:19" x14ac:dyDescent="0.35">
      <c r="J16" t="s">
        <v>153</v>
      </c>
      <c r="K16" s="13">
        <v>196.149</v>
      </c>
      <c r="L16">
        <v>17</v>
      </c>
      <c r="M16" s="13">
        <v>11.538176470588235</v>
      </c>
      <c r="P16" t="s">
        <v>582</v>
      </c>
      <c r="Q16" s="13">
        <v>67.459999999999994</v>
      </c>
      <c r="R16">
        <v>6</v>
      </c>
      <c r="S16" s="13">
        <v>11.243333333333332</v>
      </c>
    </row>
    <row r="17" spans="10:13" x14ac:dyDescent="0.35">
      <c r="J17" t="s">
        <v>166</v>
      </c>
      <c r="K17" s="13">
        <v>68.61</v>
      </c>
      <c r="L17">
        <v>12</v>
      </c>
      <c r="M17" s="13">
        <v>5.7175000000000002</v>
      </c>
    </row>
    <row r="18" spans="10:13" x14ac:dyDescent="0.35">
      <c r="J18" t="s">
        <v>579</v>
      </c>
      <c r="K18" s="13">
        <v>40.92</v>
      </c>
      <c r="L18">
        <v>5</v>
      </c>
      <c r="M18" s="13">
        <v>8.1840000000000011</v>
      </c>
    </row>
    <row r="19" spans="10:13" x14ac:dyDescent="0.35">
      <c r="J19" t="s">
        <v>492</v>
      </c>
      <c r="K19" s="13">
        <v>137.46</v>
      </c>
      <c r="L19">
        <v>15</v>
      </c>
      <c r="M19" s="13">
        <v>9.1639999999999997</v>
      </c>
    </row>
    <row r="20" spans="10:13" x14ac:dyDescent="0.35">
      <c r="J20" t="s">
        <v>493</v>
      </c>
      <c r="K20" s="13">
        <v>79.075000000000003</v>
      </c>
      <c r="L20">
        <v>6</v>
      </c>
      <c r="M20" s="13">
        <v>13.179166666666667</v>
      </c>
    </row>
    <row r="21" spans="10:13" x14ac:dyDescent="0.35">
      <c r="J21" t="s">
        <v>141</v>
      </c>
      <c r="K21" s="13">
        <v>27.44</v>
      </c>
      <c r="L21">
        <v>3</v>
      </c>
      <c r="M21" s="13">
        <v>9.1466666666666665</v>
      </c>
    </row>
  </sheetData>
  <mergeCells count="1">
    <mergeCell ref="K2:S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E58D9-A786-403C-A43B-F792D2F2C460}">
  <dimension ref="A1"/>
  <sheetViews>
    <sheetView workbookViewId="0">
      <selection activeCell="A2" sqref="A2"/>
    </sheetView>
  </sheetViews>
  <sheetFormatPr baseColWidth="10" defaultRowHeight="14.5" x14ac:dyDescent="0.35"/>
  <sheetData>
    <row r="1" spans="1:1" x14ac:dyDescent="0.35">
      <c r="A1" t="s">
        <v>533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7982A-23D0-4DB7-8A15-7FF9BA9BE459}">
  <dimension ref="A1:I23"/>
  <sheetViews>
    <sheetView workbookViewId="0">
      <selection activeCell="G13" sqref="G13"/>
    </sheetView>
  </sheetViews>
  <sheetFormatPr baseColWidth="10" defaultRowHeight="14.5" x14ac:dyDescent="0.35"/>
  <sheetData>
    <row r="1" spans="1:9" x14ac:dyDescent="0.35">
      <c r="A1" t="s">
        <v>414</v>
      </c>
      <c r="C1" t="s">
        <v>415</v>
      </c>
    </row>
    <row r="2" spans="1:9" x14ac:dyDescent="0.35">
      <c r="C2" t="s">
        <v>416</v>
      </c>
    </row>
    <row r="3" spans="1:9" x14ac:dyDescent="0.35">
      <c r="C3" t="s">
        <v>417</v>
      </c>
      <c r="F3" t="s">
        <v>459</v>
      </c>
    </row>
    <row r="4" spans="1:9" x14ac:dyDescent="0.35">
      <c r="C4" t="s">
        <v>421</v>
      </c>
    </row>
    <row r="5" spans="1:9" x14ac:dyDescent="0.35">
      <c r="C5" t="s">
        <v>422</v>
      </c>
      <c r="E5" t="s">
        <v>429</v>
      </c>
    </row>
    <row r="6" spans="1:9" x14ac:dyDescent="0.35">
      <c r="C6" t="s">
        <v>423</v>
      </c>
      <c r="E6" t="s">
        <v>424</v>
      </c>
      <c r="F6" t="s">
        <v>427</v>
      </c>
      <c r="I6" t="s">
        <v>460</v>
      </c>
    </row>
    <row r="7" spans="1:9" x14ac:dyDescent="0.35">
      <c r="E7" t="s">
        <v>425</v>
      </c>
    </row>
    <row r="8" spans="1:9" x14ac:dyDescent="0.35">
      <c r="E8" t="s">
        <v>426</v>
      </c>
    </row>
    <row r="9" spans="1:9" x14ac:dyDescent="0.35">
      <c r="E9" t="s">
        <v>428</v>
      </c>
    </row>
    <row r="10" spans="1:9" x14ac:dyDescent="0.35">
      <c r="C10" t="s">
        <v>430</v>
      </c>
      <c r="D10" t="s">
        <v>431</v>
      </c>
    </row>
    <row r="11" spans="1:9" x14ac:dyDescent="0.35">
      <c r="D11" t="s">
        <v>432</v>
      </c>
      <c r="F11" t="s">
        <v>461</v>
      </c>
      <c r="G11" t="s">
        <v>4</v>
      </c>
    </row>
    <row r="12" spans="1:9" x14ac:dyDescent="0.35">
      <c r="D12" t="s">
        <v>433</v>
      </c>
      <c r="F12" t="s">
        <v>462</v>
      </c>
      <c r="G12" t="s">
        <v>463</v>
      </c>
    </row>
    <row r="13" spans="1:9" x14ac:dyDescent="0.35">
      <c r="D13" t="s">
        <v>434</v>
      </c>
      <c r="E13" t="s">
        <v>2</v>
      </c>
    </row>
    <row r="14" spans="1:9" x14ac:dyDescent="0.35">
      <c r="D14" t="s">
        <v>435</v>
      </c>
    </row>
    <row r="15" spans="1:9" x14ac:dyDescent="0.35">
      <c r="D15" t="s">
        <v>436</v>
      </c>
    </row>
    <row r="16" spans="1:9" x14ac:dyDescent="0.35">
      <c r="D16" t="s">
        <v>437</v>
      </c>
    </row>
    <row r="17" spans="1:6" x14ac:dyDescent="0.35">
      <c r="D17" t="s">
        <v>438</v>
      </c>
    </row>
    <row r="18" spans="1:6" x14ac:dyDescent="0.35">
      <c r="D18" t="s">
        <v>439</v>
      </c>
      <c r="F18" t="s">
        <v>440</v>
      </c>
    </row>
    <row r="21" spans="1:6" x14ac:dyDescent="0.35">
      <c r="A21" t="s">
        <v>105</v>
      </c>
      <c r="C21" t="s">
        <v>418</v>
      </c>
    </row>
    <row r="22" spans="1:6" x14ac:dyDescent="0.35">
      <c r="C22" t="s">
        <v>419</v>
      </c>
    </row>
    <row r="23" spans="1:6" x14ac:dyDescent="0.35">
      <c r="C23" t="s">
        <v>420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DAC94-6344-46A4-8F55-F35FBB07FAF9}">
  <dimension ref="A1:D10"/>
  <sheetViews>
    <sheetView workbookViewId="0">
      <selection activeCell="B11" sqref="B11"/>
    </sheetView>
  </sheetViews>
  <sheetFormatPr baseColWidth="10" defaultRowHeight="14.5" x14ac:dyDescent="0.35"/>
  <sheetData>
    <row r="1" spans="1:4" x14ac:dyDescent="0.35">
      <c r="A1" t="s">
        <v>451</v>
      </c>
    </row>
    <row r="2" spans="1:4" x14ac:dyDescent="0.35">
      <c r="A2" t="s">
        <v>464</v>
      </c>
      <c r="B2" t="s">
        <v>465</v>
      </c>
    </row>
    <row r="3" spans="1:4" x14ac:dyDescent="0.35">
      <c r="B3" t="s">
        <v>466</v>
      </c>
    </row>
    <row r="4" spans="1:4" x14ac:dyDescent="0.35">
      <c r="B4" t="s">
        <v>467</v>
      </c>
      <c r="D4" t="s">
        <v>27</v>
      </c>
    </row>
    <row r="5" spans="1:4" x14ac:dyDescent="0.35">
      <c r="D5" t="s">
        <v>468</v>
      </c>
    </row>
    <row r="6" spans="1:4" x14ac:dyDescent="0.35">
      <c r="D6" t="s">
        <v>469</v>
      </c>
    </row>
    <row r="7" spans="1:4" x14ac:dyDescent="0.35">
      <c r="D7" t="s">
        <v>470</v>
      </c>
    </row>
    <row r="8" spans="1:4" x14ac:dyDescent="0.35">
      <c r="D8" t="s">
        <v>24</v>
      </c>
    </row>
    <row r="10" spans="1:4" x14ac:dyDescent="0.35">
      <c r="A10" t="s">
        <v>450</v>
      </c>
      <c r="B10" t="s">
        <v>471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4FA70-0F40-4DF0-A964-69104ED1812A}">
  <dimension ref="A1:B10"/>
  <sheetViews>
    <sheetView workbookViewId="0">
      <selection activeCell="B11" sqref="B11"/>
    </sheetView>
  </sheetViews>
  <sheetFormatPr baseColWidth="10" defaultRowHeight="14.5" x14ac:dyDescent="0.35"/>
  <cols>
    <col min="1" max="1" width="28.81640625" customWidth="1"/>
  </cols>
  <sheetData>
    <row r="1" spans="1:2" x14ac:dyDescent="0.35">
      <c r="A1" t="s">
        <v>451</v>
      </c>
    </row>
    <row r="3" spans="1:2" x14ac:dyDescent="0.35">
      <c r="A3" t="s">
        <v>449</v>
      </c>
    </row>
    <row r="4" spans="1:2" x14ac:dyDescent="0.35">
      <c r="A4" t="s">
        <v>450</v>
      </c>
    </row>
    <row r="5" spans="1:2" x14ac:dyDescent="0.35">
      <c r="A5" t="s">
        <v>452</v>
      </c>
    </row>
    <row r="6" spans="1:2" x14ac:dyDescent="0.35">
      <c r="A6" t="s">
        <v>453</v>
      </c>
      <c r="B6" t="s">
        <v>454</v>
      </c>
    </row>
    <row r="7" spans="1:2" x14ac:dyDescent="0.35">
      <c r="B7" t="s">
        <v>455</v>
      </c>
    </row>
    <row r="8" spans="1:2" x14ac:dyDescent="0.35">
      <c r="B8" t="s">
        <v>456</v>
      </c>
    </row>
    <row r="9" spans="1:2" x14ac:dyDescent="0.35">
      <c r="B9" t="s">
        <v>457</v>
      </c>
    </row>
    <row r="10" spans="1:2" x14ac:dyDescent="0.35">
      <c r="B10" t="s">
        <v>458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D4351-369F-4EB7-8E30-B27DBD50C4BC}">
  <dimension ref="A1:C1"/>
  <sheetViews>
    <sheetView workbookViewId="0">
      <selection activeCell="H13" sqref="H13"/>
    </sheetView>
  </sheetViews>
  <sheetFormatPr baseColWidth="10" defaultRowHeight="14.5" x14ac:dyDescent="0.35"/>
  <sheetData>
    <row r="1" spans="1:3" x14ac:dyDescent="0.35">
      <c r="A1" t="s">
        <v>130</v>
      </c>
      <c r="B1" t="s">
        <v>441</v>
      </c>
      <c r="C1" t="s">
        <v>442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23E89-509B-4F99-AB7F-50A6CA058905}">
  <dimension ref="A1:I121"/>
  <sheetViews>
    <sheetView workbookViewId="0">
      <selection activeCell="B7" sqref="B7"/>
    </sheetView>
  </sheetViews>
  <sheetFormatPr baseColWidth="10" defaultColWidth="11.453125" defaultRowHeight="14.5" x14ac:dyDescent="0.35"/>
  <cols>
    <col min="1" max="1" width="11.81640625" customWidth="1"/>
    <col min="2" max="2" width="28.81640625" customWidth="1"/>
    <col min="3" max="3" width="19" bestFit="1" customWidth="1"/>
    <col min="4" max="4" width="9.453125" bestFit="1" customWidth="1"/>
    <col min="5" max="5" width="6.81640625" bestFit="1" customWidth="1"/>
    <col min="6" max="6" width="10" bestFit="1" customWidth="1"/>
    <col min="7" max="7" width="13.54296875" bestFit="1" customWidth="1"/>
    <col min="8" max="8" width="18.81640625" customWidth="1"/>
    <col min="9" max="9" width="15.7265625" bestFit="1" customWidth="1"/>
  </cols>
  <sheetData>
    <row r="1" spans="1:9" x14ac:dyDescent="0.35">
      <c r="A1" s="26" t="s">
        <v>193</v>
      </c>
      <c r="B1" s="26" t="s">
        <v>194</v>
      </c>
      <c r="C1" s="26" t="s">
        <v>195</v>
      </c>
      <c r="D1" s="26" t="s">
        <v>196</v>
      </c>
      <c r="E1" s="26" t="s">
        <v>197</v>
      </c>
      <c r="F1" s="26" t="s">
        <v>198</v>
      </c>
      <c r="G1" s="26" t="s">
        <v>199</v>
      </c>
      <c r="H1" s="26" t="s">
        <v>200</v>
      </c>
      <c r="I1" s="26" t="s">
        <v>201</v>
      </c>
    </row>
    <row r="2" spans="1:9" x14ac:dyDescent="0.35">
      <c r="A2" s="27">
        <v>46087</v>
      </c>
      <c r="B2" s="28" t="s">
        <v>202</v>
      </c>
      <c r="C2" s="28" t="s">
        <v>203</v>
      </c>
      <c r="D2" s="28" t="s">
        <v>204</v>
      </c>
      <c r="E2" s="28" t="s">
        <v>205</v>
      </c>
      <c r="F2" s="8"/>
      <c r="G2" s="8"/>
      <c r="H2" s="28" t="s">
        <v>206</v>
      </c>
      <c r="I2" s="28" t="s">
        <v>207</v>
      </c>
    </row>
    <row r="3" spans="1:9" x14ac:dyDescent="0.35">
      <c r="A3" s="27">
        <v>46087</v>
      </c>
      <c r="B3" s="28" t="s">
        <v>208</v>
      </c>
      <c r="C3" s="28" t="s">
        <v>203</v>
      </c>
      <c r="D3" s="28" t="s">
        <v>204</v>
      </c>
      <c r="E3" s="28" t="s">
        <v>205</v>
      </c>
      <c r="F3" s="8"/>
      <c r="G3" s="8"/>
      <c r="H3" s="28" t="s">
        <v>209</v>
      </c>
      <c r="I3" s="28" t="s">
        <v>210</v>
      </c>
    </row>
    <row r="4" spans="1:9" x14ac:dyDescent="0.35">
      <c r="A4" s="27">
        <v>46087</v>
      </c>
      <c r="B4" s="28" t="s">
        <v>211</v>
      </c>
      <c r="C4" s="28" t="s">
        <v>203</v>
      </c>
      <c r="D4" s="28" t="s">
        <v>204</v>
      </c>
      <c r="E4" s="28" t="s">
        <v>205</v>
      </c>
      <c r="F4" s="8"/>
      <c r="G4" s="8"/>
      <c r="H4" s="28" t="s">
        <v>212</v>
      </c>
      <c r="I4" s="28" t="s">
        <v>212</v>
      </c>
    </row>
    <row r="5" spans="1:9" x14ac:dyDescent="0.35">
      <c r="A5" s="27">
        <v>46087</v>
      </c>
      <c r="B5" s="28" t="s">
        <v>213</v>
      </c>
      <c r="C5" s="28" t="s">
        <v>203</v>
      </c>
      <c r="D5" s="28" t="s">
        <v>204</v>
      </c>
      <c r="E5" s="28" t="s">
        <v>205</v>
      </c>
      <c r="F5" s="8"/>
      <c r="G5" s="8"/>
      <c r="H5" s="28" t="s">
        <v>212</v>
      </c>
      <c r="I5" s="28" t="s">
        <v>212</v>
      </c>
    </row>
    <row r="6" spans="1:9" x14ac:dyDescent="0.35">
      <c r="A6" s="27">
        <v>46087</v>
      </c>
      <c r="B6" s="28" t="s">
        <v>214</v>
      </c>
      <c r="C6" s="28" t="s">
        <v>203</v>
      </c>
      <c r="D6" s="28" t="s">
        <v>204</v>
      </c>
      <c r="E6" s="28" t="s">
        <v>205</v>
      </c>
      <c r="F6" s="8"/>
      <c r="G6" s="8"/>
      <c r="H6" s="28" t="s">
        <v>212</v>
      </c>
      <c r="I6" s="28" t="s">
        <v>212</v>
      </c>
    </row>
    <row r="7" spans="1:9" ht="29" x14ac:dyDescent="0.35">
      <c r="A7" s="27">
        <v>46087</v>
      </c>
      <c r="B7" s="28" t="s">
        <v>215</v>
      </c>
      <c r="C7" s="28" t="s">
        <v>203</v>
      </c>
      <c r="D7" s="28" t="s">
        <v>204</v>
      </c>
      <c r="E7" s="28" t="s">
        <v>205</v>
      </c>
      <c r="F7" s="8"/>
      <c r="G7" s="8"/>
      <c r="H7" s="28" t="s">
        <v>212</v>
      </c>
      <c r="I7" s="28" t="s">
        <v>212</v>
      </c>
    </row>
    <row r="8" spans="1:9" x14ac:dyDescent="0.35">
      <c r="A8" s="27">
        <v>46087</v>
      </c>
      <c r="B8" s="28" t="s">
        <v>216</v>
      </c>
      <c r="C8" s="28" t="s">
        <v>203</v>
      </c>
      <c r="D8" s="28" t="s">
        <v>204</v>
      </c>
      <c r="E8" s="28" t="s">
        <v>205</v>
      </c>
      <c r="F8" s="8"/>
      <c r="G8" s="8"/>
      <c r="H8" s="28" t="s">
        <v>212</v>
      </c>
      <c r="I8" s="28" t="s">
        <v>212</v>
      </c>
    </row>
    <row r="9" spans="1:9" x14ac:dyDescent="0.35">
      <c r="A9" s="27">
        <v>46087</v>
      </c>
      <c r="B9" s="28" t="s">
        <v>217</v>
      </c>
      <c r="C9" s="28" t="s">
        <v>203</v>
      </c>
      <c r="D9" s="28" t="s">
        <v>204</v>
      </c>
      <c r="E9" s="28" t="s">
        <v>205</v>
      </c>
      <c r="F9" s="8"/>
      <c r="G9" s="8"/>
      <c r="H9" s="28" t="s">
        <v>212</v>
      </c>
      <c r="I9" s="28" t="s">
        <v>212</v>
      </c>
    </row>
    <row r="10" spans="1:9" x14ac:dyDescent="0.35">
      <c r="A10" s="27">
        <v>46087</v>
      </c>
      <c r="B10" s="28" t="s">
        <v>218</v>
      </c>
      <c r="C10" s="28" t="s">
        <v>203</v>
      </c>
      <c r="D10" s="28" t="s">
        <v>204</v>
      </c>
      <c r="E10" s="28" t="s">
        <v>205</v>
      </c>
      <c r="F10" s="8"/>
      <c r="G10" s="8"/>
      <c r="H10" s="28" t="s">
        <v>212</v>
      </c>
      <c r="I10" s="28" t="s">
        <v>212</v>
      </c>
    </row>
    <row r="11" spans="1:9" x14ac:dyDescent="0.35">
      <c r="A11" s="27">
        <v>46087</v>
      </c>
      <c r="B11" s="28" t="s">
        <v>219</v>
      </c>
      <c r="C11" s="28" t="s">
        <v>203</v>
      </c>
      <c r="D11" s="28" t="s">
        <v>204</v>
      </c>
      <c r="E11" s="28" t="s">
        <v>205</v>
      </c>
      <c r="F11" s="8"/>
      <c r="G11" s="8"/>
      <c r="H11" s="28" t="s">
        <v>212</v>
      </c>
      <c r="I11" s="28" t="s">
        <v>212</v>
      </c>
    </row>
    <row r="12" spans="1:9" x14ac:dyDescent="0.35">
      <c r="A12" s="27">
        <v>46087</v>
      </c>
      <c r="B12" s="28" t="s">
        <v>220</v>
      </c>
      <c r="C12" s="28" t="s">
        <v>203</v>
      </c>
      <c r="D12" s="28" t="s">
        <v>204</v>
      </c>
      <c r="E12" s="28" t="s">
        <v>205</v>
      </c>
      <c r="F12" s="8"/>
      <c r="G12" s="8"/>
      <c r="H12" s="28" t="s">
        <v>212</v>
      </c>
      <c r="I12" s="28" t="s">
        <v>212</v>
      </c>
    </row>
    <row r="13" spans="1:9" ht="29" x14ac:dyDescent="0.35">
      <c r="A13" s="27">
        <v>46087</v>
      </c>
      <c r="B13" s="28" t="s">
        <v>221</v>
      </c>
      <c r="C13" s="28" t="s">
        <v>203</v>
      </c>
      <c r="D13" s="28" t="s">
        <v>204</v>
      </c>
      <c r="E13" s="28" t="s">
        <v>205</v>
      </c>
      <c r="F13" s="8"/>
      <c r="G13" s="8"/>
      <c r="H13" s="28" t="s">
        <v>212</v>
      </c>
      <c r="I13" s="28" t="s">
        <v>212</v>
      </c>
    </row>
    <row r="14" spans="1:9" x14ac:dyDescent="0.35">
      <c r="A14" s="27">
        <v>46087</v>
      </c>
      <c r="B14" s="28" t="s">
        <v>222</v>
      </c>
      <c r="C14" s="28" t="s">
        <v>203</v>
      </c>
      <c r="D14" s="28" t="s">
        <v>204</v>
      </c>
      <c r="E14" s="28" t="s">
        <v>205</v>
      </c>
      <c r="F14" s="8"/>
      <c r="G14" s="8"/>
      <c r="H14" s="28" t="s">
        <v>212</v>
      </c>
      <c r="I14" s="28" t="s">
        <v>212</v>
      </c>
    </row>
    <row r="15" spans="1:9" x14ac:dyDescent="0.35">
      <c r="A15" s="27">
        <v>46087</v>
      </c>
      <c r="B15" s="28" t="s">
        <v>223</v>
      </c>
      <c r="C15" s="28" t="s">
        <v>203</v>
      </c>
      <c r="D15" s="28" t="s">
        <v>204</v>
      </c>
      <c r="E15" s="28" t="s">
        <v>205</v>
      </c>
      <c r="F15" s="8"/>
      <c r="G15" s="8"/>
      <c r="H15" s="28" t="s">
        <v>212</v>
      </c>
      <c r="I15" s="28" t="s">
        <v>212</v>
      </c>
    </row>
    <row r="16" spans="1:9" x14ac:dyDescent="0.35">
      <c r="A16" s="27">
        <v>46087</v>
      </c>
      <c r="B16" s="28" t="s">
        <v>224</v>
      </c>
      <c r="C16" s="28" t="s">
        <v>203</v>
      </c>
      <c r="D16" s="28" t="s">
        <v>204</v>
      </c>
      <c r="E16" s="28" t="s">
        <v>205</v>
      </c>
      <c r="F16" s="8"/>
      <c r="G16" s="8"/>
      <c r="H16" s="28" t="s">
        <v>212</v>
      </c>
      <c r="I16" s="28" t="s">
        <v>212</v>
      </c>
    </row>
    <row r="17" spans="1:9" x14ac:dyDescent="0.35">
      <c r="A17" s="27">
        <v>46087</v>
      </c>
      <c r="B17" s="28" t="s">
        <v>225</v>
      </c>
      <c r="C17" s="28" t="s">
        <v>203</v>
      </c>
      <c r="D17" s="28" t="s">
        <v>204</v>
      </c>
      <c r="E17" s="28" t="s">
        <v>205</v>
      </c>
      <c r="F17" s="8"/>
      <c r="G17" s="8"/>
      <c r="H17" s="28" t="s">
        <v>212</v>
      </c>
      <c r="I17" s="28" t="s">
        <v>212</v>
      </c>
    </row>
    <row r="18" spans="1:9" x14ac:dyDescent="0.35">
      <c r="A18" s="27">
        <v>46087</v>
      </c>
      <c r="B18" s="28" t="s">
        <v>226</v>
      </c>
      <c r="C18" s="28" t="s">
        <v>203</v>
      </c>
      <c r="D18" s="28" t="s">
        <v>204</v>
      </c>
      <c r="E18" s="28" t="s">
        <v>205</v>
      </c>
      <c r="F18" s="8"/>
      <c r="G18" s="8"/>
      <c r="H18" s="28" t="s">
        <v>212</v>
      </c>
      <c r="I18" s="28" t="s">
        <v>212</v>
      </c>
    </row>
    <row r="19" spans="1:9" ht="29" x14ac:dyDescent="0.35">
      <c r="A19" s="27">
        <v>46087</v>
      </c>
      <c r="B19" s="28" t="s">
        <v>227</v>
      </c>
      <c r="C19" s="28" t="s">
        <v>203</v>
      </c>
      <c r="D19" s="28" t="s">
        <v>204</v>
      </c>
      <c r="E19" s="28" t="s">
        <v>205</v>
      </c>
      <c r="F19" s="8"/>
      <c r="G19" s="8"/>
      <c r="H19" s="28" t="s">
        <v>212</v>
      </c>
      <c r="I19" s="28" t="s">
        <v>212</v>
      </c>
    </row>
    <row r="20" spans="1:9" x14ac:dyDescent="0.35">
      <c r="A20" s="27">
        <v>46087</v>
      </c>
      <c r="B20" s="28" t="s">
        <v>228</v>
      </c>
      <c r="C20" s="28" t="s">
        <v>203</v>
      </c>
      <c r="D20" s="28" t="s">
        <v>204</v>
      </c>
      <c r="E20" s="28" t="s">
        <v>205</v>
      </c>
      <c r="F20" s="8"/>
      <c r="G20" s="8"/>
      <c r="H20" s="28" t="s">
        <v>212</v>
      </c>
      <c r="I20" s="28" t="s">
        <v>212</v>
      </c>
    </row>
    <row r="21" spans="1:9" ht="43.5" x14ac:dyDescent="0.35">
      <c r="A21" s="27">
        <v>46087</v>
      </c>
      <c r="B21" s="28" t="s">
        <v>229</v>
      </c>
      <c r="C21" s="28" t="s">
        <v>203</v>
      </c>
      <c r="D21" s="28" t="s">
        <v>204</v>
      </c>
      <c r="E21" s="28" t="s">
        <v>205</v>
      </c>
      <c r="F21" s="8"/>
      <c r="G21" s="8"/>
      <c r="H21" s="28" t="s">
        <v>212</v>
      </c>
      <c r="I21" s="28" t="s">
        <v>212</v>
      </c>
    </row>
    <row r="22" spans="1:9" x14ac:dyDescent="0.35">
      <c r="A22" s="27">
        <v>46087</v>
      </c>
      <c r="B22" s="28" t="s">
        <v>230</v>
      </c>
      <c r="C22" s="28" t="s">
        <v>203</v>
      </c>
      <c r="D22" s="28" t="s">
        <v>204</v>
      </c>
      <c r="E22" s="28" t="s">
        <v>205</v>
      </c>
      <c r="F22" s="8"/>
      <c r="G22" s="8"/>
      <c r="H22" s="28" t="s">
        <v>212</v>
      </c>
      <c r="I22" s="28" t="s">
        <v>212</v>
      </c>
    </row>
    <row r="23" spans="1:9" x14ac:dyDescent="0.35">
      <c r="A23" s="27">
        <v>46087</v>
      </c>
      <c r="B23" s="28" t="s">
        <v>231</v>
      </c>
      <c r="C23" s="28" t="s">
        <v>203</v>
      </c>
      <c r="D23" s="28" t="s">
        <v>204</v>
      </c>
      <c r="E23" s="28" t="s">
        <v>205</v>
      </c>
      <c r="F23" s="8"/>
      <c r="G23" s="8"/>
      <c r="H23" s="28" t="s">
        <v>212</v>
      </c>
      <c r="I23" s="28" t="s">
        <v>212</v>
      </c>
    </row>
    <row r="24" spans="1:9" x14ac:dyDescent="0.35">
      <c r="A24" s="27">
        <v>46087</v>
      </c>
      <c r="B24" s="28" t="s">
        <v>232</v>
      </c>
      <c r="C24" s="28" t="s">
        <v>203</v>
      </c>
      <c r="D24" s="28" t="s">
        <v>204</v>
      </c>
      <c r="E24" s="28" t="s">
        <v>205</v>
      </c>
      <c r="F24" s="8"/>
      <c r="G24" s="8"/>
      <c r="H24" s="28" t="s">
        <v>212</v>
      </c>
      <c r="I24" s="28" t="s">
        <v>212</v>
      </c>
    </row>
    <row r="25" spans="1:9" x14ac:dyDescent="0.35">
      <c r="A25" s="27">
        <v>46087</v>
      </c>
      <c r="B25" s="28" t="s">
        <v>233</v>
      </c>
      <c r="C25" s="28" t="s">
        <v>203</v>
      </c>
      <c r="D25" s="28" t="s">
        <v>204</v>
      </c>
      <c r="E25" s="28" t="s">
        <v>205</v>
      </c>
      <c r="F25" s="8"/>
      <c r="G25" s="8"/>
      <c r="H25" s="28" t="s">
        <v>212</v>
      </c>
      <c r="I25" s="28" t="s">
        <v>212</v>
      </c>
    </row>
    <row r="26" spans="1:9" x14ac:dyDescent="0.35">
      <c r="A26" s="27">
        <v>46087</v>
      </c>
      <c r="B26" s="28" t="s">
        <v>234</v>
      </c>
      <c r="C26" s="28" t="s">
        <v>203</v>
      </c>
      <c r="D26" s="28" t="s">
        <v>204</v>
      </c>
      <c r="E26" s="28" t="s">
        <v>205</v>
      </c>
      <c r="F26" s="8"/>
      <c r="G26" s="8"/>
      <c r="H26" s="28" t="s">
        <v>212</v>
      </c>
      <c r="I26" s="28" t="s">
        <v>212</v>
      </c>
    </row>
    <row r="27" spans="1:9" x14ac:dyDescent="0.35">
      <c r="A27" s="27">
        <v>46087</v>
      </c>
      <c r="B27" s="28" t="s">
        <v>235</v>
      </c>
      <c r="C27" s="28" t="s">
        <v>203</v>
      </c>
      <c r="D27" s="28" t="s">
        <v>204</v>
      </c>
      <c r="E27" s="28" t="s">
        <v>205</v>
      </c>
      <c r="F27" s="8"/>
      <c r="G27" s="8"/>
      <c r="H27" s="28" t="s">
        <v>212</v>
      </c>
      <c r="I27" s="28" t="s">
        <v>212</v>
      </c>
    </row>
    <row r="28" spans="1:9" ht="29" x14ac:dyDescent="0.35">
      <c r="A28" s="27">
        <v>46087</v>
      </c>
      <c r="B28" s="28" t="s">
        <v>236</v>
      </c>
      <c r="C28" s="28" t="s">
        <v>203</v>
      </c>
      <c r="D28" s="28" t="s">
        <v>204</v>
      </c>
      <c r="E28" s="28" t="s">
        <v>205</v>
      </c>
      <c r="F28" s="8"/>
      <c r="G28" s="8"/>
      <c r="H28" s="28" t="s">
        <v>212</v>
      </c>
      <c r="I28" s="28" t="s">
        <v>212</v>
      </c>
    </row>
    <row r="29" spans="1:9" x14ac:dyDescent="0.35">
      <c r="A29" s="27">
        <v>46087</v>
      </c>
      <c r="B29" s="28" t="s">
        <v>237</v>
      </c>
      <c r="C29" s="28" t="s">
        <v>203</v>
      </c>
      <c r="D29" s="28" t="s">
        <v>204</v>
      </c>
      <c r="E29" s="28" t="s">
        <v>205</v>
      </c>
      <c r="F29" s="8"/>
      <c r="G29" s="8"/>
      <c r="H29" s="28" t="s">
        <v>212</v>
      </c>
      <c r="I29" s="28" t="s">
        <v>212</v>
      </c>
    </row>
    <row r="30" spans="1:9" x14ac:dyDescent="0.35">
      <c r="A30" s="27">
        <v>46087</v>
      </c>
      <c r="B30" s="28" t="s">
        <v>238</v>
      </c>
      <c r="C30" s="28" t="s">
        <v>203</v>
      </c>
      <c r="D30" s="28" t="s">
        <v>204</v>
      </c>
      <c r="E30" s="28" t="s">
        <v>205</v>
      </c>
      <c r="F30" s="8"/>
      <c r="G30" s="8"/>
      <c r="H30" s="28" t="s">
        <v>212</v>
      </c>
      <c r="I30" s="28" t="s">
        <v>212</v>
      </c>
    </row>
    <row r="31" spans="1:9" x14ac:dyDescent="0.35">
      <c r="A31" s="27">
        <v>46087</v>
      </c>
      <c r="B31" s="28" t="s">
        <v>239</v>
      </c>
      <c r="C31" s="28" t="s">
        <v>203</v>
      </c>
      <c r="D31" s="28" t="s">
        <v>204</v>
      </c>
      <c r="E31" s="28" t="s">
        <v>205</v>
      </c>
      <c r="F31" s="8"/>
      <c r="G31" s="8"/>
      <c r="H31" s="28" t="s">
        <v>212</v>
      </c>
      <c r="I31" s="28" t="s">
        <v>212</v>
      </c>
    </row>
    <row r="32" spans="1:9" x14ac:dyDescent="0.35">
      <c r="A32" s="27">
        <v>46087</v>
      </c>
      <c r="B32" s="28" t="s">
        <v>240</v>
      </c>
      <c r="C32" s="28" t="s">
        <v>203</v>
      </c>
      <c r="D32" s="28" t="s">
        <v>204</v>
      </c>
      <c r="E32" s="28" t="s">
        <v>205</v>
      </c>
      <c r="F32" s="8"/>
      <c r="G32" s="8"/>
      <c r="H32" s="28" t="s">
        <v>212</v>
      </c>
      <c r="I32" s="28" t="s">
        <v>212</v>
      </c>
    </row>
    <row r="33" spans="1:9" x14ac:dyDescent="0.35">
      <c r="A33" s="27">
        <v>46087</v>
      </c>
      <c r="B33" s="28" t="s">
        <v>241</v>
      </c>
      <c r="C33" s="28" t="s">
        <v>203</v>
      </c>
      <c r="D33" s="28" t="s">
        <v>204</v>
      </c>
      <c r="E33" s="28" t="s">
        <v>205</v>
      </c>
      <c r="F33" s="8"/>
      <c r="G33" s="8"/>
      <c r="H33" s="28" t="s">
        <v>212</v>
      </c>
      <c r="I33" s="28" t="s">
        <v>212</v>
      </c>
    </row>
    <row r="34" spans="1:9" x14ac:dyDescent="0.35">
      <c r="A34" s="27">
        <v>46087</v>
      </c>
      <c r="B34" s="28" t="s">
        <v>242</v>
      </c>
      <c r="C34" s="28" t="s">
        <v>203</v>
      </c>
      <c r="D34" s="28" t="s">
        <v>204</v>
      </c>
      <c r="E34" s="28" t="s">
        <v>205</v>
      </c>
      <c r="F34" s="8"/>
      <c r="G34" s="8"/>
      <c r="H34" s="28" t="s">
        <v>212</v>
      </c>
      <c r="I34" s="28" t="s">
        <v>212</v>
      </c>
    </row>
    <row r="35" spans="1:9" ht="29" x14ac:dyDescent="0.35">
      <c r="A35" s="27">
        <v>46087</v>
      </c>
      <c r="B35" s="28" t="s">
        <v>243</v>
      </c>
      <c r="C35" s="28" t="s">
        <v>203</v>
      </c>
      <c r="D35" s="28" t="s">
        <v>204</v>
      </c>
      <c r="E35" s="28" t="s">
        <v>205</v>
      </c>
      <c r="F35" s="8"/>
      <c r="G35" s="8"/>
      <c r="H35" s="28" t="s">
        <v>212</v>
      </c>
      <c r="I35" s="28" t="s">
        <v>212</v>
      </c>
    </row>
    <row r="36" spans="1:9" x14ac:dyDescent="0.35">
      <c r="A36" s="27">
        <v>46087</v>
      </c>
      <c r="B36" s="28" t="s">
        <v>244</v>
      </c>
      <c r="C36" s="28" t="s">
        <v>203</v>
      </c>
      <c r="D36" s="28" t="s">
        <v>204</v>
      </c>
      <c r="E36" s="28" t="s">
        <v>205</v>
      </c>
      <c r="F36" s="8"/>
      <c r="G36" s="8"/>
      <c r="H36" s="28" t="s">
        <v>212</v>
      </c>
      <c r="I36" s="28" t="s">
        <v>212</v>
      </c>
    </row>
    <row r="37" spans="1:9" x14ac:dyDescent="0.35">
      <c r="A37" s="27">
        <v>46087</v>
      </c>
      <c r="B37" s="28" t="s">
        <v>245</v>
      </c>
      <c r="C37" s="28" t="s">
        <v>203</v>
      </c>
      <c r="D37" s="28" t="s">
        <v>204</v>
      </c>
      <c r="E37" s="28" t="s">
        <v>205</v>
      </c>
      <c r="F37" s="8"/>
      <c r="G37" s="8"/>
      <c r="H37" s="28" t="s">
        <v>212</v>
      </c>
      <c r="I37" s="28" t="s">
        <v>212</v>
      </c>
    </row>
    <row r="38" spans="1:9" ht="29" x14ac:dyDescent="0.35">
      <c r="A38" s="27">
        <v>46087</v>
      </c>
      <c r="B38" s="28" t="s">
        <v>246</v>
      </c>
      <c r="C38" s="28" t="s">
        <v>203</v>
      </c>
      <c r="D38" s="28" t="s">
        <v>204</v>
      </c>
      <c r="E38" s="28" t="s">
        <v>205</v>
      </c>
      <c r="F38" s="8"/>
      <c r="G38" s="8"/>
      <c r="H38" s="28" t="s">
        <v>212</v>
      </c>
      <c r="I38" s="28" t="s">
        <v>212</v>
      </c>
    </row>
    <row r="39" spans="1:9" x14ac:dyDescent="0.35">
      <c r="A39" s="27">
        <v>46087</v>
      </c>
      <c r="B39" s="28" t="s">
        <v>247</v>
      </c>
      <c r="C39" s="28" t="s">
        <v>203</v>
      </c>
      <c r="D39" s="28" t="s">
        <v>204</v>
      </c>
      <c r="E39" s="28" t="s">
        <v>205</v>
      </c>
      <c r="F39" s="8"/>
      <c r="G39" s="8"/>
      <c r="H39" s="28" t="s">
        <v>212</v>
      </c>
      <c r="I39" s="28" t="s">
        <v>212</v>
      </c>
    </row>
    <row r="40" spans="1:9" x14ac:dyDescent="0.35">
      <c r="A40" s="27">
        <v>46087</v>
      </c>
      <c r="B40" s="28" t="s">
        <v>248</v>
      </c>
      <c r="C40" s="28" t="s">
        <v>203</v>
      </c>
      <c r="D40" s="28" t="s">
        <v>204</v>
      </c>
      <c r="E40" s="28" t="s">
        <v>205</v>
      </c>
      <c r="F40" s="8"/>
      <c r="G40" s="8"/>
      <c r="H40" s="28" t="s">
        <v>212</v>
      </c>
      <c r="I40" s="28" t="s">
        <v>212</v>
      </c>
    </row>
    <row r="41" spans="1:9" x14ac:dyDescent="0.35">
      <c r="A41" s="27">
        <v>46087</v>
      </c>
      <c r="B41" s="28" t="s">
        <v>249</v>
      </c>
      <c r="C41" s="28" t="s">
        <v>203</v>
      </c>
      <c r="D41" s="28" t="s">
        <v>204</v>
      </c>
      <c r="E41" s="28" t="s">
        <v>205</v>
      </c>
      <c r="F41" s="8"/>
      <c r="G41" s="8"/>
      <c r="H41" s="28" t="s">
        <v>212</v>
      </c>
      <c r="I41" s="28" t="s">
        <v>212</v>
      </c>
    </row>
    <row r="42" spans="1:9" x14ac:dyDescent="0.35">
      <c r="A42" s="27">
        <v>46087</v>
      </c>
      <c r="B42" s="28" t="s">
        <v>250</v>
      </c>
      <c r="C42" s="28" t="s">
        <v>203</v>
      </c>
      <c r="D42" s="28" t="s">
        <v>204</v>
      </c>
      <c r="E42" s="28" t="s">
        <v>205</v>
      </c>
      <c r="F42" s="8"/>
      <c r="G42" s="8"/>
      <c r="H42" s="28" t="s">
        <v>212</v>
      </c>
      <c r="I42" s="28" t="s">
        <v>212</v>
      </c>
    </row>
    <row r="43" spans="1:9" x14ac:dyDescent="0.35">
      <c r="A43" s="27">
        <v>46087</v>
      </c>
      <c r="B43" s="28" t="s">
        <v>251</v>
      </c>
      <c r="C43" s="28" t="s">
        <v>203</v>
      </c>
      <c r="D43" s="28" t="s">
        <v>204</v>
      </c>
      <c r="E43" s="28" t="s">
        <v>205</v>
      </c>
      <c r="F43" s="8"/>
      <c r="G43" s="8"/>
      <c r="H43" s="28" t="s">
        <v>212</v>
      </c>
      <c r="I43" s="28" t="s">
        <v>212</v>
      </c>
    </row>
    <row r="44" spans="1:9" ht="29" x14ac:dyDescent="0.35">
      <c r="A44" s="27">
        <v>46087</v>
      </c>
      <c r="B44" s="28" t="s">
        <v>252</v>
      </c>
      <c r="C44" s="28" t="s">
        <v>203</v>
      </c>
      <c r="D44" s="28" t="s">
        <v>204</v>
      </c>
      <c r="E44" s="28" t="s">
        <v>205</v>
      </c>
      <c r="F44" s="8"/>
      <c r="G44" s="8"/>
      <c r="H44" s="28" t="s">
        <v>212</v>
      </c>
      <c r="I44" s="28" t="s">
        <v>212</v>
      </c>
    </row>
    <row r="45" spans="1:9" x14ac:dyDescent="0.35">
      <c r="A45" s="27">
        <v>46087</v>
      </c>
      <c r="B45" s="28" t="s">
        <v>253</v>
      </c>
      <c r="C45" s="28" t="s">
        <v>203</v>
      </c>
      <c r="D45" s="28" t="s">
        <v>204</v>
      </c>
      <c r="E45" s="28" t="s">
        <v>205</v>
      </c>
      <c r="F45" s="8"/>
      <c r="G45" s="8"/>
      <c r="H45" s="28" t="s">
        <v>212</v>
      </c>
      <c r="I45" s="28" t="s">
        <v>212</v>
      </c>
    </row>
    <row r="46" spans="1:9" x14ac:dyDescent="0.35">
      <c r="A46" s="27">
        <v>46087</v>
      </c>
      <c r="B46" s="28" t="s">
        <v>254</v>
      </c>
      <c r="C46" s="28" t="s">
        <v>203</v>
      </c>
      <c r="D46" s="28" t="s">
        <v>204</v>
      </c>
      <c r="E46" s="28" t="s">
        <v>205</v>
      </c>
      <c r="F46" s="8"/>
      <c r="G46" s="8"/>
      <c r="H46" s="28" t="s">
        <v>212</v>
      </c>
      <c r="I46" s="28" t="s">
        <v>212</v>
      </c>
    </row>
    <row r="47" spans="1:9" x14ac:dyDescent="0.35">
      <c r="A47" s="27">
        <v>46087</v>
      </c>
      <c r="B47" s="28" t="s">
        <v>255</v>
      </c>
      <c r="C47" s="28" t="s">
        <v>203</v>
      </c>
      <c r="D47" s="28" t="s">
        <v>204</v>
      </c>
      <c r="E47" s="28" t="s">
        <v>205</v>
      </c>
      <c r="F47" s="8"/>
      <c r="G47" s="8"/>
      <c r="H47" s="28" t="s">
        <v>212</v>
      </c>
      <c r="I47" s="28" t="s">
        <v>212</v>
      </c>
    </row>
    <row r="48" spans="1:9" x14ac:dyDescent="0.35">
      <c r="A48" s="27">
        <v>46087</v>
      </c>
      <c r="B48" s="28" t="s">
        <v>256</v>
      </c>
      <c r="C48" s="28" t="s">
        <v>203</v>
      </c>
      <c r="D48" s="28" t="s">
        <v>204</v>
      </c>
      <c r="E48" s="28" t="s">
        <v>205</v>
      </c>
      <c r="F48" s="8"/>
      <c r="G48" s="8"/>
      <c r="H48" s="28" t="s">
        <v>212</v>
      </c>
      <c r="I48" s="28" t="s">
        <v>212</v>
      </c>
    </row>
    <row r="49" spans="1:9" x14ac:dyDescent="0.35">
      <c r="A49" s="27">
        <v>46087</v>
      </c>
      <c r="B49" s="28" t="s">
        <v>257</v>
      </c>
      <c r="C49" s="28" t="s">
        <v>203</v>
      </c>
      <c r="D49" s="28" t="s">
        <v>204</v>
      </c>
      <c r="E49" s="28" t="s">
        <v>205</v>
      </c>
      <c r="F49" s="8"/>
      <c r="G49" s="8"/>
      <c r="H49" s="28" t="s">
        <v>212</v>
      </c>
      <c r="I49" s="28" t="s">
        <v>212</v>
      </c>
    </row>
    <row r="50" spans="1:9" x14ac:dyDescent="0.35">
      <c r="A50" s="27">
        <v>46087</v>
      </c>
      <c r="B50" s="28" t="s">
        <v>258</v>
      </c>
      <c r="C50" s="28" t="s">
        <v>203</v>
      </c>
      <c r="D50" s="28" t="s">
        <v>204</v>
      </c>
      <c r="E50" s="28" t="s">
        <v>205</v>
      </c>
      <c r="F50" s="8"/>
      <c r="G50" s="8"/>
      <c r="H50" s="28" t="s">
        <v>212</v>
      </c>
      <c r="I50" s="28" t="s">
        <v>212</v>
      </c>
    </row>
    <row r="51" spans="1:9" x14ac:dyDescent="0.35">
      <c r="A51" s="27">
        <v>46087</v>
      </c>
      <c r="B51" s="28" t="s">
        <v>259</v>
      </c>
      <c r="C51" s="28" t="s">
        <v>203</v>
      </c>
      <c r="D51" s="28" t="s">
        <v>204</v>
      </c>
      <c r="E51" s="28" t="s">
        <v>205</v>
      </c>
      <c r="F51" s="8"/>
      <c r="G51" s="8"/>
      <c r="H51" s="28" t="s">
        <v>212</v>
      </c>
      <c r="I51" s="28" t="s">
        <v>212</v>
      </c>
    </row>
    <row r="52" spans="1:9" x14ac:dyDescent="0.35">
      <c r="A52" s="27">
        <v>46087</v>
      </c>
      <c r="B52" s="28" t="s">
        <v>260</v>
      </c>
      <c r="C52" s="28" t="s">
        <v>203</v>
      </c>
      <c r="D52" s="28" t="s">
        <v>204</v>
      </c>
      <c r="E52" s="28" t="s">
        <v>205</v>
      </c>
      <c r="F52" s="8"/>
      <c r="G52" s="8"/>
      <c r="H52" s="28" t="s">
        <v>212</v>
      </c>
      <c r="I52" s="28" t="s">
        <v>212</v>
      </c>
    </row>
    <row r="53" spans="1:9" x14ac:dyDescent="0.35">
      <c r="A53" s="27">
        <v>46087</v>
      </c>
      <c r="B53" s="28" t="s">
        <v>261</v>
      </c>
      <c r="C53" s="28" t="s">
        <v>203</v>
      </c>
      <c r="D53" s="28" t="s">
        <v>204</v>
      </c>
      <c r="E53" s="28" t="s">
        <v>205</v>
      </c>
      <c r="F53" s="8"/>
      <c r="G53" s="8"/>
      <c r="H53" s="28" t="s">
        <v>212</v>
      </c>
      <c r="I53" s="28" t="s">
        <v>212</v>
      </c>
    </row>
    <row r="54" spans="1:9" x14ac:dyDescent="0.35">
      <c r="A54" s="27">
        <v>46087</v>
      </c>
      <c r="B54" s="28" t="s">
        <v>262</v>
      </c>
      <c r="C54" s="28" t="s">
        <v>203</v>
      </c>
      <c r="D54" s="28" t="s">
        <v>204</v>
      </c>
      <c r="E54" s="28" t="s">
        <v>205</v>
      </c>
      <c r="F54" s="8"/>
      <c r="G54" s="8"/>
      <c r="H54" s="28" t="s">
        <v>212</v>
      </c>
      <c r="I54" s="28" t="s">
        <v>212</v>
      </c>
    </row>
    <row r="55" spans="1:9" ht="29" x14ac:dyDescent="0.35">
      <c r="A55" s="27">
        <v>46087</v>
      </c>
      <c r="B55" s="28" t="s">
        <v>263</v>
      </c>
      <c r="C55" s="28" t="s">
        <v>203</v>
      </c>
      <c r="D55" s="28" t="s">
        <v>204</v>
      </c>
      <c r="E55" s="28" t="s">
        <v>205</v>
      </c>
      <c r="F55" s="8"/>
      <c r="G55" s="8"/>
      <c r="H55" s="28" t="s">
        <v>212</v>
      </c>
      <c r="I55" s="28" t="s">
        <v>212</v>
      </c>
    </row>
    <row r="56" spans="1:9" x14ac:dyDescent="0.35">
      <c r="A56" s="27">
        <v>46087</v>
      </c>
      <c r="B56" s="28" t="s">
        <v>264</v>
      </c>
      <c r="C56" s="28" t="s">
        <v>203</v>
      </c>
      <c r="D56" s="28" t="s">
        <v>204</v>
      </c>
      <c r="E56" s="28" t="s">
        <v>205</v>
      </c>
      <c r="F56" s="8"/>
      <c r="G56" s="8"/>
      <c r="H56" s="28" t="s">
        <v>212</v>
      </c>
      <c r="I56" s="28" t="s">
        <v>212</v>
      </c>
    </row>
    <row r="57" spans="1:9" x14ac:dyDescent="0.35">
      <c r="A57" s="27">
        <v>46087</v>
      </c>
      <c r="B57" s="28" t="s">
        <v>265</v>
      </c>
      <c r="C57" s="28" t="s">
        <v>203</v>
      </c>
      <c r="D57" s="28" t="s">
        <v>204</v>
      </c>
      <c r="E57" s="28" t="s">
        <v>205</v>
      </c>
      <c r="F57" s="8"/>
      <c r="G57" s="8"/>
      <c r="H57" s="28" t="s">
        <v>212</v>
      </c>
      <c r="I57" s="28" t="s">
        <v>212</v>
      </c>
    </row>
    <row r="58" spans="1:9" ht="29" x14ac:dyDescent="0.35">
      <c r="A58" s="27">
        <v>46087</v>
      </c>
      <c r="B58" s="28" t="s">
        <v>266</v>
      </c>
      <c r="C58" s="28" t="s">
        <v>203</v>
      </c>
      <c r="D58" s="28" t="s">
        <v>204</v>
      </c>
      <c r="E58" s="28" t="s">
        <v>205</v>
      </c>
      <c r="F58" s="8"/>
      <c r="G58" s="8"/>
      <c r="H58" s="28" t="s">
        <v>212</v>
      </c>
      <c r="I58" s="28" t="s">
        <v>212</v>
      </c>
    </row>
    <row r="59" spans="1:9" ht="29" x14ac:dyDescent="0.35">
      <c r="A59" s="27">
        <v>46087</v>
      </c>
      <c r="B59" s="28" t="s">
        <v>267</v>
      </c>
      <c r="C59" s="28" t="s">
        <v>203</v>
      </c>
      <c r="D59" s="28" t="s">
        <v>204</v>
      </c>
      <c r="E59" s="28" t="s">
        <v>205</v>
      </c>
      <c r="F59" s="8"/>
      <c r="G59" s="8"/>
      <c r="H59" s="28" t="s">
        <v>212</v>
      </c>
      <c r="I59" s="28" t="s">
        <v>212</v>
      </c>
    </row>
    <row r="60" spans="1:9" x14ac:dyDescent="0.35">
      <c r="A60" s="27">
        <v>46087</v>
      </c>
      <c r="B60" s="28" t="s">
        <v>268</v>
      </c>
      <c r="C60" s="28" t="s">
        <v>203</v>
      </c>
      <c r="D60" s="28" t="s">
        <v>204</v>
      </c>
      <c r="E60" s="28" t="s">
        <v>205</v>
      </c>
      <c r="F60" s="8"/>
      <c r="G60" s="8"/>
      <c r="H60" s="28" t="s">
        <v>212</v>
      </c>
      <c r="I60" s="28" t="s">
        <v>212</v>
      </c>
    </row>
    <row r="61" spans="1:9" x14ac:dyDescent="0.35">
      <c r="A61" s="27">
        <v>46087</v>
      </c>
      <c r="B61" s="28" t="s">
        <v>269</v>
      </c>
      <c r="C61" s="28" t="s">
        <v>203</v>
      </c>
      <c r="D61" s="28" t="s">
        <v>204</v>
      </c>
      <c r="E61" s="28" t="s">
        <v>205</v>
      </c>
      <c r="F61" s="8"/>
      <c r="G61" s="8"/>
      <c r="H61" s="28" t="s">
        <v>212</v>
      </c>
      <c r="I61" s="28" t="s">
        <v>212</v>
      </c>
    </row>
    <row r="62" spans="1:9" x14ac:dyDescent="0.35">
      <c r="A62" s="27">
        <v>46087</v>
      </c>
      <c r="B62" s="28" t="s">
        <v>270</v>
      </c>
      <c r="C62" s="28" t="s">
        <v>203</v>
      </c>
      <c r="D62" s="28" t="s">
        <v>204</v>
      </c>
      <c r="E62" s="28" t="s">
        <v>205</v>
      </c>
      <c r="F62" s="8"/>
      <c r="G62" s="8"/>
      <c r="H62" s="28" t="s">
        <v>212</v>
      </c>
      <c r="I62" s="28" t="s">
        <v>212</v>
      </c>
    </row>
    <row r="63" spans="1:9" ht="29" x14ac:dyDescent="0.35">
      <c r="A63" s="27">
        <v>46087</v>
      </c>
      <c r="B63" s="28" t="s">
        <v>271</v>
      </c>
      <c r="C63" s="28" t="s">
        <v>203</v>
      </c>
      <c r="D63" s="28" t="s">
        <v>204</v>
      </c>
      <c r="E63" s="28" t="s">
        <v>205</v>
      </c>
      <c r="F63" s="8"/>
      <c r="G63" s="8"/>
      <c r="H63" s="28" t="s">
        <v>212</v>
      </c>
      <c r="I63" s="28" t="s">
        <v>212</v>
      </c>
    </row>
    <row r="64" spans="1:9" x14ac:dyDescent="0.35">
      <c r="A64" s="27">
        <v>46087</v>
      </c>
      <c r="B64" s="28" t="s">
        <v>272</v>
      </c>
      <c r="C64" s="28" t="s">
        <v>203</v>
      </c>
      <c r="D64" s="28" t="s">
        <v>204</v>
      </c>
      <c r="E64" s="28" t="s">
        <v>205</v>
      </c>
      <c r="F64" s="8"/>
      <c r="G64" s="8"/>
      <c r="H64" s="28" t="s">
        <v>212</v>
      </c>
      <c r="I64" s="28" t="s">
        <v>212</v>
      </c>
    </row>
    <row r="65" spans="1:9" x14ac:dyDescent="0.35">
      <c r="A65" s="27">
        <v>46087</v>
      </c>
      <c r="B65" s="28" t="s">
        <v>273</v>
      </c>
      <c r="C65" s="28" t="s">
        <v>203</v>
      </c>
      <c r="D65" s="28" t="s">
        <v>204</v>
      </c>
      <c r="E65" s="28" t="s">
        <v>205</v>
      </c>
      <c r="F65" s="8"/>
      <c r="G65" s="8"/>
      <c r="H65" s="28" t="s">
        <v>212</v>
      </c>
      <c r="I65" s="28" t="s">
        <v>212</v>
      </c>
    </row>
    <row r="66" spans="1:9" x14ac:dyDescent="0.35">
      <c r="A66" s="27">
        <v>46087</v>
      </c>
      <c r="B66" s="28" t="s">
        <v>274</v>
      </c>
      <c r="C66" s="28" t="s">
        <v>203</v>
      </c>
      <c r="D66" s="28" t="s">
        <v>204</v>
      </c>
      <c r="E66" s="28" t="s">
        <v>205</v>
      </c>
      <c r="F66" s="8"/>
      <c r="G66" s="8"/>
      <c r="H66" s="28" t="s">
        <v>212</v>
      </c>
      <c r="I66" s="28" t="s">
        <v>212</v>
      </c>
    </row>
    <row r="67" spans="1:9" x14ac:dyDescent="0.35">
      <c r="A67" s="27">
        <v>46087</v>
      </c>
      <c r="B67" s="28" t="s">
        <v>275</v>
      </c>
      <c r="C67" s="28" t="s">
        <v>203</v>
      </c>
      <c r="D67" s="28" t="s">
        <v>204</v>
      </c>
      <c r="E67" s="28" t="s">
        <v>205</v>
      </c>
      <c r="F67" s="8"/>
      <c r="G67" s="8"/>
      <c r="H67" s="28" t="s">
        <v>212</v>
      </c>
      <c r="I67" s="28" t="s">
        <v>212</v>
      </c>
    </row>
    <row r="68" spans="1:9" x14ac:dyDescent="0.35">
      <c r="A68" s="27">
        <v>46087</v>
      </c>
      <c r="B68" s="28" t="s">
        <v>276</v>
      </c>
      <c r="C68" s="28" t="s">
        <v>203</v>
      </c>
      <c r="D68" s="28" t="s">
        <v>204</v>
      </c>
      <c r="E68" s="28" t="s">
        <v>205</v>
      </c>
      <c r="F68" s="8"/>
      <c r="G68" s="8"/>
      <c r="H68" s="28" t="s">
        <v>212</v>
      </c>
      <c r="I68" s="28" t="s">
        <v>212</v>
      </c>
    </row>
    <row r="69" spans="1:9" x14ac:dyDescent="0.35">
      <c r="A69" s="27">
        <v>46087</v>
      </c>
      <c r="B69" s="28" t="s">
        <v>277</v>
      </c>
      <c r="C69" s="28" t="s">
        <v>203</v>
      </c>
      <c r="D69" s="28" t="s">
        <v>204</v>
      </c>
      <c r="E69" s="28" t="s">
        <v>205</v>
      </c>
      <c r="F69" s="8"/>
      <c r="G69" s="8"/>
      <c r="H69" s="28" t="s">
        <v>212</v>
      </c>
      <c r="I69" s="28" t="s">
        <v>212</v>
      </c>
    </row>
    <row r="70" spans="1:9" x14ac:dyDescent="0.35">
      <c r="A70" s="27">
        <v>46087</v>
      </c>
      <c r="B70" s="28" t="s">
        <v>278</v>
      </c>
      <c r="C70" s="28" t="s">
        <v>203</v>
      </c>
      <c r="D70" s="28" t="s">
        <v>204</v>
      </c>
      <c r="E70" s="28" t="s">
        <v>205</v>
      </c>
      <c r="F70" s="8"/>
      <c r="G70" s="8"/>
      <c r="H70" s="28" t="s">
        <v>212</v>
      </c>
      <c r="I70" s="28" t="s">
        <v>212</v>
      </c>
    </row>
    <row r="71" spans="1:9" x14ac:dyDescent="0.35">
      <c r="A71" s="27">
        <v>46087</v>
      </c>
      <c r="B71" s="28" t="s">
        <v>279</v>
      </c>
      <c r="C71" s="28" t="s">
        <v>203</v>
      </c>
      <c r="D71" s="28" t="s">
        <v>204</v>
      </c>
      <c r="E71" s="28" t="s">
        <v>205</v>
      </c>
      <c r="F71" s="8"/>
      <c r="G71" s="8"/>
      <c r="H71" s="28" t="s">
        <v>212</v>
      </c>
      <c r="I71" s="28" t="s">
        <v>212</v>
      </c>
    </row>
    <row r="72" spans="1:9" x14ac:dyDescent="0.35">
      <c r="A72" s="27">
        <v>46087</v>
      </c>
      <c r="B72" s="28" t="s">
        <v>280</v>
      </c>
      <c r="C72" s="28" t="s">
        <v>203</v>
      </c>
      <c r="D72" s="28" t="s">
        <v>204</v>
      </c>
      <c r="E72" s="28" t="s">
        <v>205</v>
      </c>
      <c r="F72" s="8"/>
      <c r="G72" s="8"/>
      <c r="H72" s="28" t="s">
        <v>212</v>
      </c>
      <c r="I72" s="28" t="s">
        <v>212</v>
      </c>
    </row>
    <row r="73" spans="1:9" ht="29" x14ac:dyDescent="0.35">
      <c r="A73" s="27">
        <v>46087</v>
      </c>
      <c r="B73" s="28" t="s">
        <v>281</v>
      </c>
      <c r="C73" s="28" t="s">
        <v>203</v>
      </c>
      <c r="D73" s="28" t="s">
        <v>204</v>
      </c>
      <c r="E73" s="28" t="s">
        <v>205</v>
      </c>
      <c r="F73" s="8"/>
      <c r="G73" s="8"/>
      <c r="H73" s="28" t="s">
        <v>212</v>
      </c>
      <c r="I73" s="28" t="s">
        <v>212</v>
      </c>
    </row>
    <row r="74" spans="1:9" ht="29" x14ac:dyDescent="0.35">
      <c r="A74" s="27">
        <v>46087</v>
      </c>
      <c r="B74" s="28" t="s">
        <v>282</v>
      </c>
      <c r="C74" s="28" t="s">
        <v>203</v>
      </c>
      <c r="D74" s="28" t="s">
        <v>204</v>
      </c>
      <c r="E74" s="28" t="s">
        <v>205</v>
      </c>
      <c r="F74" s="8"/>
      <c r="G74" s="8"/>
      <c r="H74" s="28" t="s">
        <v>212</v>
      </c>
      <c r="I74" s="28" t="s">
        <v>212</v>
      </c>
    </row>
    <row r="75" spans="1:9" x14ac:dyDescent="0.35">
      <c r="A75" s="27">
        <v>46087</v>
      </c>
      <c r="B75" s="28" t="s">
        <v>283</v>
      </c>
      <c r="C75" s="28" t="s">
        <v>203</v>
      </c>
      <c r="D75" s="28" t="s">
        <v>204</v>
      </c>
      <c r="E75" s="28" t="s">
        <v>205</v>
      </c>
      <c r="F75" s="8"/>
      <c r="G75" s="8"/>
      <c r="H75" s="28" t="s">
        <v>284</v>
      </c>
      <c r="I75" s="28" t="s">
        <v>285</v>
      </c>
    </row>
    <row r="76" spans="1:9" x14ac:dyDescent="0.35">
      <c r="A76" s="27">
        <v>46087</v>
      </c>
      <c r="B76" s="28" t="s">
        <v>286</v>
      </c>
      <c r="C76" s="28" t="s">
        <v>203</v>
      </c>
      <c r="D76" s="28" t="s">
        <v>204</v>
      </c>
      <c r="E76" s="28" t="s">
        <v>205</v>
      </c>
      <c r="F76" s="8"/>
      <c r="G76" s="8"/>
      <c r="H76" s="28" t="s">
        <v>284</v>
      </c>
      <c r="I76" s="28" t="s">
        <v>285</v>
      </c>
    </row>
    <row r="77" spans="1:9" x14ac:dyDescent="0.35">
      <c r="A77" s="27">
        <v>46087</v>
      </c>
      <c r="B77" s="28" t="s">
        <v>287</v>
      </c>
      <c r="C77" s="28" t="s">
        <v>203</v>
      </c>
      <c r="D77" s="28" t="s">
        <v>204</v>
      </c>
      <c r="E77" s="28" t="s">
        <v>205</v>
      </c>
      <c r="F77" s="8"/>
      <c r="G77" s="8"/>
      <c r="H77" s="28" t="s">
        <v>284</v>
      </c>
      <c r="I77" s="28" t="s">
        <v>285</v>
      </c>
    </row>
    <row r="78" spans="1:9" x14ac:dyDescent="0.35">
      <c r="A78" s="27">
        <v>46087</v>
      </c>
      <c r="B78" s="28" t="s">
        <v>288</v>
      </c>
      <c r="C78" s="28" t="s">
        <v>203</v>
      </c>
      <c r="D78" s="28" t="s">
        <v>204</v>
      </c>
      <c r="E78" s="28" t="s">
        <v>205</v>
      </c>
      <c r="F78" s="8"/>
      <c r="G78" s="8"/>
      <c r="H78" s="28" t="s">
        <v>284</v>
      </c>
      <c r="I78" s="28" t="s">
        <v>289</v>
      </c>
    </row>
    <row r="79" spans="1:9" ht="29" x14ac:dyDescent="0.35">
      <c r="A79" s="27">
        <v>46087</v>
      </c>
      <c r="B79" s="28" t="s">
        <v>290</v>
      </c>
      <c r="C79" s="28" t="s">
        <v>203</v>
      </c>
      <c r="D79" s="28" t="s">
        <v>204</v>
      </c>
      <c r="E79" s="28" t="s">
        <v>205</v>
      </c>
      <c r="F79" s="8"/>
      <c r="G79" s="8"/>
      <c r="H79" s="28" t="s">
        <v>284</v>
      </c>
      <c r="I79" s="28" t="s">
        <v>291</v>
      </c>
    </row>
    <row r="80" spans="1:9" x14ac:dyDescent="0.35">
      <c r="A80" s="27">
        <v>46087</v>
      </c>
      <c r="B80" s="28" t="s">
        <v>292</v>
      </c>
      <c r="C80" s="28" t="s">
        <v>203</v>
      </c>
      <c r="D80" s="28" t="s">
        <v>204</v>
      </c>
      <c r="E80" s="28" t="s">
        <v>205</v>
      </c>
      <c r="F80" s="8"/>
      <c r="G80" s="8"/>
      <c r="H80" s="28" t="s">
        <v>284</v>
      </c>
      <c r="I80" s="28" t="s">
        <v>293</v>
      </c>
    </row>
    <row r="81" spans="1:9" x14ac:dyDescent="0.35">
      <c r="A81" s="27">
        <v>46087</v>
      </c>
      <c r="B81" s="28" t="s">
        <v>294</v>
      </c>
      <c r="C81" s="28" t="s">
        <v>203</v>
      </c>
      <c r="D81" s="28" t="s">
        <v>204</v>
      </c>
      <c r="E81" s="28" t="s">
        <v>205</v>
      </c>
      <c r="F81" s="8"/>
      <c r="G81" s="8"/>
      <c r="H81" s="28" t="s">
        <v>295</v>
      </c>
      <c r="I81" s="28" t="s">
        <v>76</v>
      </c>
    </row>
    <row r="82" spans="1:9" x14ac:dyDescent="0.35">
      <c r="A82" s="27">
        <v>46087</v>
      </c>
      <c r="B82" s="28" t="s">
        <v>296</v>
      </c>
      <c r="C82" s="28" t="s">
        <v>203</v>
      </c>
      <c r="D82" s="28" t="s">
        <v>204</v>
      </c>
      <c r="E82" s="28" t="s">
        <v>205</v>
      </c>
      <c r="F82" s="8"/>
      <c r="G82" s="8"/>
      <c r="H82" s="28" t="s">
        <v>297</v>
      </c>
      <c r="I82" s="28" t="s">
        <v>298</v>
      </c>
    </row>
    <row r="83" spans="1:9" x14ac:dyDescent="0.35">
      <c r="A83" s="27">
        <v>46087</v>
      </c>
      <c r="B83" s="28" t="s">
        <v>299</v>
      </c>
      <c r="C83" s="28" t="s">
        <v>203</v>
      </c>
      <c r="D83" s="28" t="s">
        <v>204</v>
      </c>
      <c r="E83" s="28" t="s">
        <v>205</v>
      </c>
      <c r="F83" s="8"/>
      <c r="G83" s="8"/>
      <c r="H83" s="28" t="s">
        <v>300</v>
      </c>
      <c r="I83" s="28" t="s">
        <v>301</v>
      </c>
    </row>
    <row r="84" spans="1:9" x14ac:dyDescent="0.35">
      <c r="A84" s="27">
        <v>46087</v>
      </c>
      <c r="B84" s="28" t="s">
        <v>302</v>
      </c>
      <c r="C84" s="28" t="s">
        <v>203</v>
      </c>
      <c r="D84" s="28" t="s">
        <v>204</v>
      </c>
      <c r="E84" s="28" t="s">
        <v>205</v>
      </c>
      <c r="F84" s="8"/>
      <c r="G84" s="8"/>
      <c r="H84" s="28" t="s">
        <v>300</v>
      </c>
      <c r="I84" s="28" t="s">
        <v>303</v>
      </c>
    </row>
    <row r="85" spans="1:9" x14ac:dyDescent="0.35">
      <c r="A85" s="27">
        <v>46087</v>
      </c>
      <c r="B85" s="28" t="s">
        <v>304</v>
      </c>
      <c r="C85" s="28" t="s">
        <v>203</v>
      </c>
      <c r="D85" s="28" t="s">
        <v>204</v>
      </c>
      <c r="E85" s="28" t="s">
        <v>205</v>
      </c>
      <c r="F85" s="8"/>
      <c r="G85" s="8"/>
      <c r="H85" s="28" t="s">
        <v>305</v>
      </c>
      <c r="I85" s="28" t="s">
        <v>100</v>
      </c>
    </row>
    <row r="86" spans="1:9" x14ac:dyDescent="0.35">
      <c r="A86" s="27">
        <v>46087</v>
      </c>
      <c r="B86" s="28" t="s">
        <v>306</v>
      </c>
      <c r="C86" s="28" t="s">
        <v>203</v>
      </c>
      <c r="D86" s="28" t="s">
        <v>204</v>
      </c>
      <c r="E86" s="28" t="s">
        <v>205</v>
      </c>
      <c r="F86" s="8"/>
      <c r="G86" s="8"/>
      <c r="H86" s="28" t="s">
        <v>305</v>
      </c>
      <c r="I86" s="28" t="s">
        <v>307</v>
      </c>
    </row>
    <row r="87" spans="1:9" x14ac:dyDescent="0.35">
      <c r="A87" s="27">
        <v>46087</v>
      </c>
      <c r="B87" s="28" t="s">
        <v>308</v>
      </c>
      <c r="C87" s="28" t="s">
        <v>203</v>
      </c>
      <c r="D87" s="28" t="s">
        <v>204</v>
      </c>
      <c r="E87" s="28" t="s">
        <v>205</v>
      </c>
      <c r="F87" s="8"/>
      <c r="G87" s="8"/>
      <c r="H87" s="28" t="s">
        <v>305</v>
      </c>
      <c r="I87" s="28" t="s">
        <v>307</v>
      </c>
    </row>
    <row r="88" spans="1:9" x14ac:dyDescent="0.35">
      <c r="A88" s="27">
        <v>46087</v>
      </c>
      <c r="B88" s="28" t="s">
        <v>309</v>
      </c>
      <c r="C88" s="28" t="s">
        <v>203</v>
      </c>
      <c r="D88" s="28" t="s">
        <v>204</v>
      </c>
      <c r="E88" s="28" t="s">
        <v>205</v>
      </c>
      <c r="F88" s="8"/>
      <c r="G88" s="8"/>
      <c r="H88" s="28" t="s">
        <v>305</v>
      </c>
      <c r="I88" s="28" t="s">
        <v>90</v>
      </c>
    </row>
    <row r="89" spans="1:9" x14ac:dyDescent="0.35">
      <c r="A89" s="27">
        <v>46087</v>
      </c>
      <c r="B89" s="28" t="s">
        <v>310</v>
      </c>
      <c r="C89" s="28" t="s">
        <v>203</v>
      </c>
      <c r="D89" s="28" t="s">
        <v>204</v>
      </c>
      <c r="E89" s="28" t="s">
        <v>205</v>
      </c>
      <c r="F89" s="8"/>
      <c r="G89" s="8"/>
      <c r="H89" s="28" t="s">
        <v>311</v>
      </c>
      <c r="I89" s="28" t="s">
        <v>49</v>
      </c>
    </row>
    <row r="90" spans="1:9" x14ac:dyDescent="0.35">
      <c r="A90" s="27">
        <v>46087</v>
      </c>
      <c r="B90" s="28" t="s">
        <v>312</v>
      </c>
      <c r="C90" s="28" t="s">
        <v>203</v>
      </c>
      <c r="D90" s="28" t="s">
        <v>204</v>
      </c>
      <c r="E90" s="28" t="s">
        <v>205</v>
      </c>
      <c r="F90" s="8"/>
      <c r="G90" s="8"/>
      <c r="H90" s="28" t="s">
        <v>311</v>
      </c>
      <c r="I90" s="28" t="s">
        <v>110</v>
      </c>
    </row>
    <row r="91" spans="1:9" x14ac:dyDescent="0.35">
      <c r="A91" s="27">
        <v>46087</v>
      </c>
      <c r="B91" s="28" t="s">
        <v>313</v>
      </c>
      <c r="C91" s="28" t="s">
        <v>203</v>
      </c>
      <c r="D91" s="28" t="s">
        <v>204</v>
      </c>
      <c r="E91" s="28" t="s">
        <v>205</v>
      </c>
      <c r="F91" s="8"/>
      <c r="G91" s="8"/>
      <c r="H91" s="28" t="s">
        <v>311</v>
      </c>
      <c r="I91" s="28" t="s">
        <v>110</v>
      </c>
    </row>
    <row r="92" spans="1:9" x14ac:dyDescent="0.35">
      <c r="A92" s="27">
        <v>46087</v>
      </c>
      <c r="B92" s="28" t="s">
        <v>314</v>
      </c>
      <c r="C92" s="28" t="s">
        <v>203</v>
      </c>
      <c r="D92" s="28" t="s">
        <v>204</v>
      </c>
      <c r="E92" s="28" t="s">
        <v>205</v>
      </c>
      <c r="F92" s="8"/>
      <c r="G92" s="8"/>
      <c r="H92" s="28" t="s">
        <v>311</v>
      </c>
      <c r="I92" s="28" t="s">
        <v>110</v>
      </c>
    </row>
    <row r="93" spans="1:9" x14ac:dyDescent="0.35">
      <c r="A93" s="27">
        <v>46087</v>
      </c>
      <c r="B93" s="28" t="s">
        <v>315</v>
      </c>
      <c r="C93" s="28" t="s">
        <v>203</v>
      </c>
      <c r="D93" s="28" t="s">
        <v>204</v>
      </c>
      <c r="E93" s="28" t="s">
        <v>205</v>
      </c>
      <c r="F93" s="8"/>
      <c r="G93" s="8"/>
      <c r="H93" s="28" t="s">
        <v>311</v>
      </c>
      <c r="I93" s="28" t="s">
        <v>316</v>
      </c>
    </row>
    <row r="94" spans="1:9" x14ac:dyDescent="0.35">
      <c r="A94" s="27">
        <v>46087</v>
      </c>
      <c r="B94" s="28" t="s">
        <v>317</v>
      </c>
      <c r="C94" s="28" t="s">
        <v>203</v>
      </c>
      <c r="D94" s="28" t="s">
        <v>204</v>
      </c>
      <c r="E94" s="28" t="s">
        <v>205</v>
      </c>
      <c r="F94" s="8"/>
      <c r="G94" s="8"/>
      <c r="H94" s="28" t="s">
        <v>311</v>
      </c>
      <c r="I94" s="28" t="s">
        <v>316</v>
      </c>
    </row>
    <row r="95" spans="1:9" x14ac:dyDescent="0.35">
      <c r="A95" s="27">
        <v>46087</v>
      </c>
      <c r="B95" s="28" t="s">
        <v>318</v>
      </c>
      <c r="C95" s="28" t="s">
        <v>203</v>
      </c>
      <c r="D95" s="28" t="s">
        <v>204</v>
      </c>
      <c r="E95" s="28" t="s">
        <v>205</v>
      </c>
      <c r="F95" s="8"/>
      <c r="G95" s="8"/>
      <c r="H95" s="28" t="s">
        <v>311</v>
      </c>
      <c r="I95" s="28" t="s">
        <v>316</v>
      </c>
    </row>
    <row r="96" spans="1:9" x14ac:dyDescent="0.35">
      <c r="A96" s="27">
        <v>46087</v>
      </c>
      <c r="B96" s="28" t="s">
        <v>319</v>
      </c>
      <c r="C96" s="28" t="s">
        <v>203</v>
      </c>
      <c r="D96" s="28" t="s">
        <v>204</v>
      </c>
      <c r="E96" s="28" t="s">
        <v>205</v>
      </c>
      <c r="F96" s="8"/>
      <c r="G96" s="8"/>
      <c r="H96" s="28" t="s">
        <v>311</v>
      </c>
      <c r="I96" s="28" t="s">
        <v>316</v>
      </c>
    </row>
    <row r="97" spans="1:9" x14ac:dyDescent="0.35">
      <c r="A97" s="27">
        <v>46087</v>
      </c>
      <c r="B97" s="28" t="s">
        <v>320</v>
      </c>
      <c r="C97" s="28" t="s">
        <v>203</v>
      </c>
      <c r="D97" s="28" t="s">
        <v>204</v>
      </c>
      <c r="E97" s="28" t="s">
        <v>205</v>
      </c>
      <c r="F97" s="8"/>
      <c r="G97" s="8"/>
      <c r="H97" s="28" t="s">
        <v>311</v>
      </c>
      <c r="I97" s="28" t="s">
        <v>316</v>
      </c>
    </row>
    <row r="98" spans="1:9" x14ac:dyDescent="0.35">
      <c r="A98" s="27">
        <v>46087</v>
      </c>
      <c r="B98" s="28" t="s">
        <v>321</v>
      </c>
      <c r="C98" s="28" t="s">
        <v>203</v>
      </c>
      <c r="D98" s="28" t="s">
        <v>204</v>
      </c>
      <c r="E98" s="28" t="s">
        <v>205</v>
      </c>
      <c r="F98" s="8"/>
      <c r="G98" s="8"/>
      <c r="H98" s="28" t="s">
        <v>311</v>
      </c>
      <c r="I98" s="28" t="s">
        <v>316</v>
      </c>
    </row>
    <row r="99" spans="1:9" x14ac:dyDescent="0.35">
      <c r="A99" s="27">
        <v>46087</v>
      </c>
      <c r="B99" s="28" t="s">
        <v>322</v>
      </c>
      <c r="C99" s="28" t="s">
        <v>203</v>
      </c>
      <c r="D99" s="28" t="s">
        <v>204</v>
      </c>
      <c r="E99" s="28" t="s">
        <v>205</v>
      </c>
      <c r="F99" s="8"/>
      <c r="G99" s="8"/>
      <c r="H99" s="28" t="s">
        <v>311</v>
      </c>
      <c r="I99" s="28" t="s">
        <v>316</v>
      </c>
    </row>
    <row r="100" spans="1:9" x14ac:dyDescent="0.35">
      <c r="A100" s="27">
        <v>46087</v>
      </c>
      <c r="B100" s="28" t="s">
        <v>323</v>
      </c>
      <c r="C100" s="28" t="s">
        <v>203</v>
      </c>
      <c r="D100" s="28" t="s">
        <v>204</v>
      </c>
      <c r="E100" s="28" t="s">
        <v>205</v>
      </c>
      <c r="F100" s="8"/>
      <c r="G100" s="8"/>
      <c r="H100" s="28" t="s">
        <v>311</v>
      </c>
      <c r="I100" s="28" t="s">
        <v>316</v>
      </c>
    </row>
    <row r="101" spans="1:9" x14ac:dyDescent="0.35">
      <c r="A101" s="27">
        <v>46087</v>
      </c>
      <c r="B101" s="28" t="s">
        <v>324</v>
      </c>
      <c r="C101" s="28" t="s">
        <v>203</v>
      </c>
      <c r="D101" s="28" t="s">
        <v>204</v>
      </c>
      <c r="E101" s="28" t="s">
        <v>205</v>
      </c>
      <c r="F101" s="8"/>
      <c r="G101" s="8"/>
      <c r="H101" s="28" t="s">
        <v>311</v>
      </c>
      <c r="I101" s="28" t="s">
        <v>316</v>
      </c>
    </row>
    <row r="102" spans="1:9" ht="29" x14ac:dyDescent="0.35">
      <c r="A102" s="27">
        <v>46087</v>
      </c>
      <c r="B102" s="28" t="s">
        <v>325</v>
      </c>
      <c r="C102" s="28" t="s">
        <v>203</v>
      </c>
      <c r="D102" s="28" t="s">
        <v>204</v>
      </c>
      <c r="E102" s="28" t="s">
        <v>205</v>
      </c>
      <c r="F102" s="8"/>
      <c r="G102" s="8"/>
      <c r="H102" s="28" t="s">
        <v>311</v>
      </c>
      <c r="I102" s="28" t="s">
        <v>316</v>
      </c>
    </row>
    <row r="103" spans="1:9" ht="29" x14ac:dyDescent="0.35">
      <c r="A103" s="27">
        <v>46087</v>
      </c>
      <c r="B103" s="28" t="s">
        <v>326</v>
      </c>
      <c r="C103" s="28" t="s">
        <v>203</v>
      </c>
      <c r="D103" s="28" t="s">
        <v>204</v>
      </c>
      <c r="E103" s="28" t="s">
        <v>205</v>
      </c>
      <c r="F103" s="8"/>
      <c r="G103" s="8"/>
      <c r="H103" s="28" t="s">
        <v>311</v>
      </c>
      <c r="I103" s="28" t="s">
        <v>316</v>
      </c>
    </row>
    <row r="104" spans="1:9" x14ac:dyDescent="0.35">
      <c r="A104" s="27">
        <v>46087</v>
      </c>
      <c r="B104" s="28" t="s">
        <v>327</v>
      </c>
      <c r="C104" s="28" t="s">
        <v>203</v>
      </c>
      <c r="D104" s="28" t="s">
        <v>204</v>
      </c>
      <c r="E104" s="28" t="s">
        <v>205</v>
      </c>
      <c r="F104" s="8"/>
      <c r="G104" s="8"/>
      <c r="H104" s="28" t="s">
        <v>311</v>
      </c>
      <c r="I104" s="28" t="s">
        <v>316</v>
      </c>
    </row>
    <row r="105" spans="1:9" x14ac:dyDescent="0.35">
      <c r="A105" s="27">
        <v>46087</v>
      </c>
      <c r="B105" s="28" t="s">
        <v>328</v>
      </c>
      <c r="C105" s="28" t="s">
        <v>203</v>
      </c>
      <c r="D105" s="28" t="s">
        <v>204</v>
      </c>
      <c r="E105" s="28" t="s">
        <v>205</v>
      </c>
      <c r="F105" s="8"/>
      <c r="G105" s="8"/>
      <c r="H105" s="28" t="s">
        <v>311</v>
      </c>
      <c r="I105" s="28" t="s">
        <v>316</v>
      </c>
    </row>
    <row r="106" spans="1:9" ht="43.5" x14ac:dyDescent="0.35">
      <c r="A106" s="27">
        <v>46087</v>
      </c>
      <c r="B106" s="28" t="s">
        <v>329</v>
      </c>
      <c r="C106" s="28" t="s">
        <v>203</v>
      </c>
      <c r="D106" s="28" t="s">
        <v>204</v>
      </c>
      <c r="E106" s="28" t="s">
        <v>205</v>
      </c>
      <c r="F106" s="8"/>
      <c r="G106" s="8"/>
      <c r="H106" s="28" t="s">
        <v>311</v>
      </c>
      <c r="I106" s="28" t="s">
        <v>316</v>
      </c>
    </row>
    <row r="107" spans="1:9" x14ac:dyDescent="0.35">
      <c r="A107" s="27">
        <v>46087</v>
      </c>
      <c r="B107" s="28" t="s">
        <v>330</v>
      </c>
      <c r="C107" s="28" t="s">
        <v>203</v>
      </c>
      <c r="D107" s="28" t="s">
        <v>204</v>
      </c>
      <c r="E107" s="28" t="s">
        <v>205</v>
      </c>
      <c r="F107" s="8"/>
      <c r="G107" s="8"/>
      <c r="H107" s="28" t="s">
        <v>311</v>
      </c>
      <c r="I107" s="28" t="s">
        <v>316</v>
      </c>
    </row>
    <row r="108" spans="1:9" x14ac:dyDescent="0.35">
      <c r="A108" s="27">
        <v>46087</v>
      </c>
      <c r="B108" s="28" t="s">
        <v>331</v>
      </c>
      <c r="C108" s="28" t="s">
        <v>203</v>
      </c>
      <c r="D108" s="28" t="s">
        <v>204</v>
      </c>
      <c r="E108" s="28" t="s">
        <v>205</v>
      </c>
      <c r="F108" s="8"/>
      <c r="G108" s="8"/>
      <c r="H108" s="28" t="s">
        <v>311</v>
      </c>
      <c r="I108" s="28" t="s">
        <v>316</v>
      </c>
    </row>
    <row r="109" spans="1:9" x14ac:dyDescent="0.35">
      <c r="A109" s="27">
        <v>46087</v>
      </c>
      <c r="B109" s="28" t="s">
        <v>332</v>
      </c>
      <c r="C109" s="28" t="s">
        <v>203</v>
      </c>
      <c r="D109" s="28" t="s">
        <v>204</v>
      </c>
      <c r="E109" s="28" t="s">
        <v>205</v>
      </c>
      <c r="F109" s="8"/>
      <c r="G109" s="8"/>
      <c r="H109" s="28" t="s">
        <v>311</v>
      </c>
      <c r="I109" s="28" t="s">
        <v>316</v>
      </c>
    </row>
    <row r="110" spans="1:9" x14ac:dyDescent="0.35">
      <c r="A110" s="27">
        <v>46087</v>
      </c>
      <c r="B110" s="28" t="s">
        <v>333</v>
      </c>
      <c r="C110" s="28" t="s">
        <v>203</v>
      </c>
      <c r="D110" s="28" t="s">
        <v>204</v>
      </c>
      <c r="E110" s="28" t="s">
        <v>205</v>
      </c>
      <c r="F110" s="8"/>
      <c r="G110" s="8"/>
      <c r="H110" s="28" t="s">
        <v>311</v>
      </c>
      <c r="I110" s="28" t="s">
        <v>316</v>
      </c>
    </row>
    <row r="111" spans="1:9" x14ac:dyDescent="0.35">
      <c r="A111" s="27">
        <v>46087</v>
      </c>
      <c r="B111" s="28" t="s">
        <v>334</v>
      </c>
      <c r="C111" s="28" t="s">
        <v>203</v>
      </c>
      <c r="D111" s="28" t="s">
        <v>204</v>
      </c>
      <c r="E111" s="28" t="s">
        <v>205</v>
      </c>
      <c r="F111" s="8"/>
      <c r="G111" s="8"/>
      <c r="H111" s="28" t="s">
        <v>311</v>
      </c>
      <c r="I111" s="28" t="s">
        <v>316</v>
      </c>
    </row>
    <row r="112" spans="1:9" x14ac:dyDescent="0.35">
      <c r="A112" s="27">
        <v>46087</v>
      </c>
      <c r="B112" s="28" t="s">
        <v>335</v>
      </c>
      <c r="C112" s="28" t="s">
        <v>203</v>
      </c>
      <c r="D112" s="28" t="s">
        <v>204</v>
      </c>
      <c r="E112" s="28" t="s">
        <v>205</v>
      </c>
      <c r="F112" s="8"/>
      <c r="G112" s="8"/>
      <c r="H112" s="28" t="s">
        <v>311</v>
      </c>
      <c r="I112" s="28" t="s">
        <v>316</v>
      </c>
    </row>
    <row r="113" spans="1:9" x14ac:dyDescent="0.35">
      <c r="A113" s="27">
        <v>46087</v>
      </c>
      <c r="B113" s="28" t="s">
        <v>336</v>
      </c>
      <c r="C113" s="28" t="s">
        <v>203</v>
      </c>
      <c r="D113" s="28" t="s">
        <v>204</v>
      </c>
      <c r="E113" s="28" t="s">
        <v>205</v>
      </c>
      <c r="F113" s="8"/>
      <c r="G113" s="8"/>
      <c r="H113" s="28" t="s">
        <v>311</v>
      </c>
      <c r="I113" s="28" t="s">
        <v>316</v>
      </c>
    </row>
    <row r="114" spans="1:9" x14ac:dyDescent="0.35">
      <c r="A114" s="27">
        <v>46087</v>
      </c>
      <c r="B114" s="28" t="s">
        <v>337</v>
      </c>
      <c r="C114" s="28" t="s">
        <v>203</v>
      </c>
      <c r="D114" s="28" t="s">
        <v>204</v>
      </c>
      <c r="E114" s="28" t="s">
        <v>205</v>
      </c>
      <c r="F114" s="8"/>
      <c r="G114" s="8"/>
      <c r="H114" s="28" t="s">
        <v>311</v>
      </c>
      <c r="I114" s="28" t="s">
        <v>316</v>
      </c>
    </row>
    <row r="115" spans="1:9" x14ac:dyDescent="0.35">
      <c r="A115" s="27">
        <v>46087</v>
      </c>
      <c r="B115" s="28" t="s">
        <v>338</v>
      </c>
      <c r="C115" s="28" t="s">
        <v>203</v>
      </c>
      <c r="D115" s="28" t="s">
        <v>204</v>
      </c>
      <c r="E115" s="28" t="s">
        <v>205</v>
      </c>
      <c r="F115" s="8"/>
      <c r="G115" s="8"/>
      <c r="H115" s="28" t="s">
        <v>311</v>
      </c>
      <c r="I115" s="28" t="s">
        <v>316</v>
      </c>
    </row>
    <row r="116" spans="1:9" x14ac:dyDescent="0.35">
      <c r="A116" s="27">
        <v>46087</v>
      </c>
      <c r="B116" s="28" t="s">
        <v>339</v>
      </c>
      <c r="C116" s="28" t="s">
        <v>203</v>
      </c>
      <c r="D116" s="28" t="s">
        <v>204</v>
      </c>
      <c r="E116" s="28" t="s">
        <v>205</v>
      </c>
      <c r="F116" s="8"/>
      <c r="G116" s="8"/>
      <c r="H116" s="28" t="s">
        <v>340</v>
      </c>
      <c r="I116" s="28" t="s">
        <v>341</v>
      </c>
    </row>
    <row r="117" spans="1:9" x14ac:dyDescent="0.35">
      <c r="A117" s="27">
        <v>46087</v>
      </c>
      <c r="B117" s="28" t="s">
        <v>342</v>
      </c>
      <c r="C117" s="28" t="s">
        <v>203</v>
      </c>
      <c r="D117" s="28" t="s">
        <v>204</v>
      </c>
      <c r="E117" s="28" t="s">
        <v>205</v>
      </c>
      <c r="F117" s="8"/>
      <c r="G117" s="8"/>
      <c r="H117" s="28" t="s">
        <v>340</v>
      </c>
      <c r="I117" s="28" t="s">
        <v>343</v>
      </c>
    </row>
    <row r="118" spans="1:9" ht="29" x14ac:dyDescent="0.35">
      <c r="A118" s="27">
        <v>46087</v>
      </c>
      <c r="B118" s="28" t="s">
        <v>344</v>
      </c>
      <c r="C118" s="28" t="s">
        <v>203</v>
      </c>
      <c r="D118" s="28" t="s">
        <v>204</v>
      </c>
      <c r="E118" s="28" t="s">
        <v>205</v>
      </c>
      <c r="F118" s="8"/>
      <c r="G118" s="8"/>
      <c r="H118" s="28" t="s">
        <v>340</v>
      </c>
      <c r="I118" s="28" t="s">
        <v>345</v>
      </c>
    </row>
    <row r="119" spans="1:9" x14ac:dyDescent="0.35">
      <c r="A119" s="27">
        <v>46087</v>
      </c>
      <c r="B119" s="28" t="s">
        <v>346</v>
      </c>
      <c r="C119" s="28" t="s">
        <v>203</v>
      </c>
      <c r="D119" s="28" t="s">
        <v>204</v>
      </c>
      <c r="E119" s="28" t="s">
        <v>205</v>
      </c>
      <c r="F119" s="8"/>
      <c r="G119" s="8"/>
      <c r="H119" s="28" t="s">
        <v>340</v>
      </c>
      <c r="I119" s="28" t="s">
        <v>345</v>
      </c>
    </row>
    <row r="120" spans="1:9" x14ac:dyDescent="0.35">
      <c r="A120" s="27">
        <v>46087</v>
      </c>
      <c r="B120" s="28" t="s">
        <v>347</v>
      </c>
      <c r="C120" s="28" t="s">
        <v>203</v>
      </c>
      <c r="D120" s="28" t="s">
        <v>204</v>
      </c>
      <c r="E120" s="28" t="s">
        <v>205</v>
      </c>
      <c r="F120" s="8"/>
      <c r="G120" s="8"/>
      <c r="H120" s="28" t="s">
        <v>348</v>
      </c>
      <c r="I120" s="28" t="s">
        <v>349</v>
      </c>
    </row>
    <row r="121" spans="1:9" x14ac:dyDescent="0.35">
      <c r="A121" s="27">
        <v>46087</v>
      </c>
      <c r="B121" s="28" t="s">
        <v>350</v>
      </c>
      <c r="C121" s="28" t="s">
        <v>203</v>
      </c>
      <c r="D121" s="28" t="s">
        <v>204</v>
      </c>
      <c r="E121" s="28" t="s">
        <v>205</v>
      </c>
      <c r="F121" s="8"/>
      <c r="G121" s="8"/>
      <c r="H121" s="28" t="s">
        <v>348</v>
      </c>
      <c r="I121" s="28" t="s">
        <v>351</v>
      </c>
    </row>
  </sheetData>
  <autoFilter ref="A1:I1" xr:uid="{C5223E89-509B-4F99-AB7F-50A6CA058905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4F2A4-738F-45A1-A809-EAA7FA8F488A}">
  <dimension ref="A1:B4"/>
  <sheetViews>
    <sheetView workbookViewId="0">
      <selection activeCell="B5" sqref="B5"/>
    </sheetView>
  </sheetViews>
  <sheetFormatPr baseColWidth="10" defaultColWidth="11.453125" defaultRowHeight="14.5" x14ac:dyDescent="0.35"/>
  <cols>
    <col min="2" max="2" width="26.453125" bestFit="1" customWidth="1"/>
  </cols>
  <sheetData>
    <row r="1" spans="1:2" x14ac:dyDescent="0.35">
      <c r="A1" t="s">
        <v>352</v>
      </c>
      <c r="B1" t="s">
        <v>353</v>
      </c>
    </row>
    <row r="2" spans="1:2" x14ac:dyDescent="0.35">
      <c r="A2" t="s">
        <v>354</v>
      </c>
      <c r="B2" t="s">
        <v>355</v>
      </c>
    </row>
    <row r="3" spans="1:2" x14ac:dyDescent="0.35">
      <c r="A3" t="s">
        <v>356</v>
      </c>
      <c r="B3" t="s">
        <v>357</v>
      </c>
    </row>
    <row r="4" spans="1:2" x14ac:dyDescent="0.35">
      <c r="A4" t="s">
        <v>375</v>
      </c>
      <c r="B4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Fondeos</vt:lpstr>
      <vt:lpstr>Ritmo</vt:lpstr>
      <vt:lpstr>Key deals</vt:lpstr>
      <vt:lpstr>Trasp Digital</vt:lpstr>
      <vt:lpstr>Giras y Eventos</vt:lpstr>
      <vt:lpstr>Expos</vt:lpstr>
      <vt:lpstr>Industrias y Edos</vt:lpstr>
      <vt:lpstr>Vacante</vt:lpstr>
      <vt:lpstr>Pipeline Requerido</vt:lpstr>
      <vt:lpstr>Waivers</vt:lpstr>
      <vt:lpstr>F</vt:lpstr>
      <vt:lpstr>J</vt:lpstr>
      <vt:lpstr>Ra</vt:lpstr>
      <vt:lpstr>Ri</vt:lpstr>
      <vt:lpstr>Traspaso Digital</vt:lpstr>
      <vt:lpstr>Otros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Zacatenco (Engen Capital)</dc:creator>
  <cp:keywords/>
  <dc:description/>
  <cp:lastModifiedBy>Roberto Zacatenco (Engen Capital)</cp:lastModifiedBy>
  <cp:revision/>
  <dcterms:created xsi:type="dcterms:W3CDTF">2026-01-27T15:42:20Z</dcterms:created>
  <dcterms:modified xsi:type="dcterms:W3CDTF">2026-03-04T19:59:25Z</dcterms:modified>
  <cp:category/>
  <cp:contentStatus/>
</cp:coreProperties>
</file>