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503001290\AppData\Local\Microsoft\Windows\INetCache\Content.Outlook\22HV93O6\"/>
    </mc:Choice>
  </mc:AlternateContent>
  <xr:revisionPtr revIDLastSave="0" documentId="8_{5588CD8E-CCDC-4713-B3E0-539717B82A5A}" xr6:coauthVersionLast="47" xr6:coauthVersionMax="47" xr10:uidLastSave="{00000000-0000-0000-0000-000000000000}"/>
  <bookViews>
    <workbookView xWindow="-110" yWindow="-110" windowWidth="19420" windowHeight="10300" xr2:uid="{00000000-000D-0000-FFFF-FFFF00000000}"/>
  </bookViews>
  <sheets>
    <sheet name="Citas New New" sheetId="2" r:id="rId1"/>
    <sheet name="1.- Citas sin this week" sheetId="1" state="hidden" r:id="rId2"/>
    <sheet name="Opps creadas" sheetId="5" r:id="rId3"/>
    <sheet name="Diccionario" sheetId="3" state="hidden" r:id="rId4"/>
  </sheets>
  <definedNames>
    <definedName name="_xlnm._FilterDatabase" localSheetId="1" hidden="1">'1.- Citas sin this week'!$A$1:$G$6785</definedName>
    <definedName name="_xlnm._FilterDatabase" localSheetId="0" hidden="1">'Citas New New'!#REF!</definedName>
    <definedName name="_xlnm._FilterDatabase" localSheetId="3" hidden="1">Diccionario!$A$1:$B$1</definedName>
    <definedName name="ExternalData_1" localSheetId="2" hidden="1">'Opps creadas'!$A$1:$AG$53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2" l="1"/>
  <c r="C4" i="2"/>
  <c r="C5" i="2"/>
  <c r="C6" i="2"/>
  <c r="C7" i="2"/>
  <c r="C8" i="2"/>
  <c r="C9" i="2"/>
  <c r="C10" i="2"/>
  <c r="C11" i="2"/>
  <c r="C12" i="2"/>
  <c r="C13" i="2"/>
  <c r="C112" i="2"/>
  <c r="C15" i="2"/>
  <c r="C16" i="2"/>
  <c r="C17" i="2"/>
  <c r="C18" i="2"/>
  <c r="C19" i="2"/>
  <c r="C72" i="2"/>
  <c r="C119" i="2"/>
  <c r="C22" i="2"/>
  <c r="C23" i="2"/>
  <c r="C91" i="2"/>
  <c r="C101" i="2"/>
  <c r="C49" i="2"/>
  <c r="C89" i="2"/>
  <c r="C28" i="2"/>
  <c r="C47" i="2"/>
  <c r="C30" i="2"/>
  <c r="C31" i="2"/>
  <c r="C32" i="2"/>
  <c r="C99" i="2"/>
  <c r="C34" i="2"/>
  <c r="C35" i="2"/>
  <c r="C36" i="2"/>
  <c r="C51" i="2"/>
  <c r="C52" i="2"/>
  <c r="C97" i="2"/>
  <c r="C29" i="2"/>
  <c r="C125" i="2"/>
  <c r="C70" i="2"/>
  <c r="C25" i="2"/>
  <c r="C44" i="2"/>
  <c r="C102" i="2"/>
  <c r="C46" i="2"/>
  <c r="C39" i="2"/>
  <c r="C48" i="2"/>
  <c r="C24" i="2"/>
  <c r="C103" i="2"/>
  <c r="C33" i="2"/>
  <c r="C76" i="2"/>
  <c r="C42" i="2"/>
  <c r="C54" i="2"/>
  <c r="C62" i="2"/>
  <c r="C56" i="2"/>
  <c r="C104" i="2"/>
  <c r="C58" i="2"/>
  <c r="C93" i="2"/>
  <c r="C60" i="2"/>
  <c r="C61" i="2"/>
  <c r="C20" i="2"/>
  <c r="C38" i="2"/>
  <c r="C40" i="2"/>
  <c r="C64" i="2"/>
  <c r="C2" i="2"/>
  <c r="C67" i="2"/>
  <c r="C98" i="2"/>
  <c r="C69" i="2"/>
  <c r="C123" i="2"/>
  <c r="C21" i="2"/>
  <c r="C65" i="2"/>
  <c r="C73" i="2"/>
  <c r="C74" i="2"/>
  <c r="C75" i="2"/>
  <c r="C77" i="2"/>
  <c r="C27" i="2"/>
  <c r="C71" i="2"/>
  <c r="C79" i="2"/>
  <c r="C126" i="2"/>
  <c r="C81" i="2"/>
  <c r="C128" i="2"/>
  <c r="C78" i="2"/>
  <c r="C84" i="2"/>
  <c r="C43" i="2"/>
  <c r="C86" i="2"/>
  <c r="C53" i="2"/>
  <c r="C88" i="2"/>
  <c r="C37" i="2"/>
  <c r="C90" i="2"/>
  <c r="C66" i="2"/>
  <c r="C92" i="2"/>
  <c r="C127" i="2"/>
  <c r="C94" i="2"/>
  <c r="C95" i="2"/>
  <c r="C96" i="2"/>
  <c r="C57" i="2"/>
  <c r="C80" i="2"/>
  <c r="C55" i="2"/>
  <c r="C100" i="2"/>
  <c r="C82" i="2"/>
  <c r="C3" i="2"/>
  <c r="C63" i="2"/>
  <c r="C50" i="2"/>
  <c r="C105" i="2"/>
  <c r="C106" i="2"/>
  <c r="C107" i="2"/>
  <c r="C108" i="2"/>
  <c r="C109" i="2"/>
  <c r="C110" i="2"/>
  <c r="C111" i="2"/>
  <c r="C14" i="2"/>
  <c r="C113" i="2"/>
  <c r="C114" i="2"/>
  <c r="C115" i="2"/>
  <c r="C45" i="2"/>
  <c r="C117" i="2"/>
  <c r="C118" i="2"/>
  <c r="C68" i="2"/>
  <c r="C120" i="2"/>
  <c r="C121" i="2"/>
  <c r="C122" i="2"/>
  <c r="C83" i="2"/>
  <c r="C124" i="2"/>
  <c r="C26" i="2"/>
  <c r="C87" i="2"/>
  <c r="C116" i="2"/>
  <c r="C59" i="2"/>
  <c r="J41" i="2"/>
  <c r="J4" i="2"/>
  <c r="J5" i="2"/>
  <c r="J6" i="2"/>
  <c r="J7" i="2"/>
  <c r="J8" i="2"/>
  <c r="J9" i="2"/>
  <c r="J10" i="2"/>
  <c r="J11" i="2"/>
  <c r="J12" i="2"/>
  <c r="J13" i="2"/>
  <c r="J112" i="2"/>
  <c r="L112" i="2" s="1"/>
  <c r="M112" i="2" s="1"/>
  <c r="R112" i="2" s="1"/>
  <c r="J15" i="2"/>
  <c r="J16" i="2"/>
  <c r="J17" i="2"/>
  <c r="J18" i="2"/>
  <c r="J19" i="2"/>
  <c r="J72" i="2"/>
  <c r="J119" i="2"/>
  <c r="J22" i="2"/>
  <c r="J23" i="2"/>
  <c r="J91" i="2"/>
  <c r="J101" i="2"/>
  <c r="J49" i="2"/>
  <c r="J89" i="2"/>
  <c r="J28" i="2"/>
  <c r="J47" i="2"/>
  <c r="J30" i="2"/>
  <c r="J31" i="2"/>
  <c r="J32" i="2"/>
  <c r="J99" i="2"/>
  <c r="J34" i="2"/>
  <c r="J35" i="2"/>
  <c r="J36" i="2"/>
  <c r="J51" i="2"/>
  <c r="J52" i="2"/>
  <c r="J97" i="2"/>
  <c r="J29" i="2"/>
  <c r="J125" i="2"/>
  <c r="J70" i="2"/>
  <c r="J25" i="2"/>
  <c r="J44" i="2"/>
  <c r="N44" i="2" s="1"/>
  <c r="Q44" i="2" s="1"/>
  <c r="J102" i="2"/>
  <c r="J46" i="2"/>
  <c r="J39" i="2"/>
  <c r="J48" i="2"/>
  <c r="J24" i="2"/>
  <c r="J103" i="2"/>
  <c r="J33" i="2"/>
  <c r="J76" i="2"/>
  <c r="J42" i="2"/>
  <c r="J54" i="2"/>
  <c r="J62" i="2"/>
  <c r="J56" i="2"/>
  <c r="J104" i="2"/>
  <c r="J58" i="2"/>
  <c r="J93" i="2"/>
  <c r="J60" i="2"/>
  <c r="J61" i="2"/>
  <c r="J20" i="2"/>
  <c r="J38" i="2"/>
  <c r="J40" i="2"/>
  <c r="L40" i="2" s="1"/>
  <c r="M40" i="2" s="1"/>
  <c r="R40" i="2" s="1"/>
  <c r="J64" i="2"/>
  <c r="J2" i="2"/>
  <c r="J67" i="2"/>
  <c r="J98" i="2"/>
  <c r="J69" i="2"/>
  <c r="J123" i="2"/>
  <c r="L123" i="2" s="1"/>
  <c r="M123" i="2" s="1"/>
  <c r="R123" i="2" s="1"/>
  <c r="J21" i="2"/>
  <c r="J65" i="2"/>
  <c r="J73" i="2"/>
  <c r="J74" i="2"/>
  <c r="J75" i="2"/>
  <c r="J77" i="2"/>
  <c r="J27" i="2"/>
  <c r="J71" i="2"/>
  <c r="J79" i="2"/>
  <c r="J126" i="2"/>
  <c r="J81" i="2"/>
  <c r="J128" i="2"/>
  <c r="J78" i="2"/>
  <c r="J84" i="2"/>
  <c r="J43" i="2"/>
  <c r="J86" i="2"/>
  <c r="J53" i="2"/>
  <c r="J88" i="2"/>
  <c r="J37" i="2"/>
  <c r="J90" i="2"/>
  <c r="J66" i="2"/>
  <c r="J92" i="2"/>
  <c r="K92" i="2" s="1"/>
  <c r="J127" i="2"/>
  <c r="J94" i="2"/>
  <c r="J95" i="2"/>
  <c r="J96" i="2"/>
  <c r="J57" i="2"/>
  <c r="J80" i="2"/>
  <c r="N80" i="2" s="1"/>
  <c r="Q80" i="2" s="1"/>
  <c r="J55" i="2"/>
  <c r="J100" i="2"/>
  <c r="J82" i="2"/>
  <c r="J3" i="2"/>
  <c r="J63" i="2"/>
  <c r="J50" i="2"/>
  <c r="J105" i="2"/>
  <c r="J106" i="2"/>
  <c r="J107" i="2"/>
  <c r="J108" i="2"/>
  <c r="J109" i="2"/>
  <c r="J110" i="2"/>
  <c r="J111" i="2"/>
  <c r="J14" i="2"/>
  <c r="L14" i="2" s="1"/>
  <c r="M14" i="2" s="1"/>
  <c r="R14" i="2" s="1"/>
  <c r="J113" i="2"/>
  <c r="J114" i="2"/>
  <c r="J115" i="2"/>
  <c r="J45" i="2"/>
  <c r="J117" i="2"/>
  <c r="J118" i="2"/>
  <c r="J68" i="2"/>
  <c r="J120" i="2"/>
  <c r="J121" i="2"/>
  <c r="J122" i="2"/>
  <c r="J83" i="2"/>
  <c r="J124" i="2"/>
  <c r="J26" i="2"/>
  <c r="J87" i="2"/>
  <c r="L87" i="2" s="1"/>
  <c r="M87" i="2" s="1"/>
  <c r="R87" i="2" s="1"/>
  <c r="J116" i="2"/>
  <c r="J59" i="2"/>
  <c r="T41" i="2"/>
  <c r="T4" i="2"/>
  <c r="T5" i="2"/>
  <c r="T6" i="2"/>
  <c r="T7" i="2"/>
  <c r="T8" i="2"/>
  <c r="T9" i="2"/>
  <c r="T10" i="2"/>
  <c r="T11" i="2"/>
  <c r="T12" i="2"/>
  <c r="T13" i="2"/>
  <c r="T112" i="2"/>
  <c r="T15" i="2"/>
  <c r="T16" i="2"/>
  <c r="T17" i="2"/>
  <c r="T18" i="2"/>
  <c r="T19" i="2"/>
  <c r="T72" i="2"/>
  <c r="T119" i="2"/>
  <c r="T22" i="2"/>
  <c r="T23" i="2"/>
  <c r="T91" i="2"/>
  <c r="T101" i="2"/>
  <c r="T49" i="2"/>
  <c r="T89" i="2"/>
  <c r="T28" i="2"/>
  <c r="T47" i="2"/>
  <c r="T30" i="2"/>
  <c r="T31" i="2"/>
  <c r="T32" i="2"/>
  <c r="T99" i="2"/>
  <c r="T34" i="2"/>
  <c r="T35" i="2"/>
  <c r="T36" i="2"/>
  <c r="T51" i="2"/>
  <c r="T52" i="2"/>
  <c r="T97" i="2"/>
  <c r="T29" i="2"/>
  <c r="T125" i="2"/>
  <c r="T70" i="2"/>
  <c r="T25" i="2"/>
  <c r="T44" i="2"/>
  <c r="T102" i="2"/>
  <c r="T46" i="2"/>
  <c r="T39" i="2"/>
  <c r="T48" i="2"/>
  <c r="T24" i="2"/>
  <c r="T103" i="2"/>
  <c r="T33" i="2"/>
  <c r="T76" i="2"/>
  <c r="T42" i="2"/>
  <c r="T54" i="2"/>
  <c r="T62" i="2"/>
  <c r="T56" i="2"/>
  <c r="T104" i="2"/>
  <c r="T58" i="2"/>
  <c r="T93" i="2"/>
  <c r="T60" i="2"/>
  <c r="T61" i="2"/>
  <c r="T20" i="2"/>
  <c r="T38" i="2"/>
  <c r="T40" i="2"/>
  <c r="T64" i="2"/>
  <c r="T2" i="2"/>
  <c r="T67" i="2"/>
  <c r="T98" i="2"/>
  <c r="T69" i="2"/>
  <c r="T123" i="2"/>
  <c r="T21" i="2"/>
  <c r="T65" i="2"/>
  <c r="T73" i="2"/>
  <c r="T74" i="2"/>
  <c r="T75" i="2"/>
  <c r="T77" i="2"/>
  <c r="T27" i="2"/>
  <c r="T71" i="2"/>
  <c r="T79" i="2"/>
  <c r="T126" i="2"/>
  <c r="T81" i="2"/>
  <c r="T128" i="2"/>
  <c r="T78" i="2"/>
  <c r="T84" i="2"/>
  <c r="T43" i="2"/>
  <c r="T86" i="2"/>
  <c r="T53" i="2"/>
  <c r="T88" i="2"/>
  <c r="T37" i="2"/>
  <c r="T90" i="2"/>
  <c r="T66" i="2"/>
  <c r="T92" i="2"/>
  <c r="T127" i="2"/>
  <c r="T94" i="2"/>
  <c r="T95" i="2"/>
  <c r="T96" i="2"/>
  <c r="T57" i="2"/>
  <c r="T80" i="2"/>
  <c r="T100" i="2"/>
  <c r="T82" i="2"/>
  <c r="T3" i="2"/>
  <c r="T63" i="2"/>
  <c r="T50" i="2"/>
  <c r="T105" i="2"/>
  <c r="T106" i="2"/>
  <c r="T107" i="2"/>
  <c r="T108" i="2"/>
  <c r="T109" i="2"/>
  <c r="T110" i="2"/>
  <c r="T111" i="2"/>
  <c r="T14" i="2"/>
  <c r="T113" i="2"/>
  <c r="T114" i="2"/>
  <c r="T115" i="2"/>
  <c r="T45" i="2"/>
  <c r="T117" i="2"/>
  <c r="T118" i="2"/>
  <c r="T68" i="2"/>
  <c r="T120" i="2"/>
  <c r="T121" i="2"/>
  <c r="T122" i="2"/>
  <c r="T83" i="2"/>
  <c r="T124" i="2"/>
  <c r="T26" i="2"/>
  <c r="T87" i="2"/>
  <c r="T116" i="2"/>
  <c r="T59"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C85" i="2"/>
  <c r="J85" i="2"/>
  <c r="T85" i="2"/>
  <c r="G2" i="1"/>
  <c r="L109" i="2" l="1"/>
  <c r="M109" i="2" s="1"/>
  <c r="R109" i="2" s="1"/>
  <c r="K122" i="2"/>
  <c r="K117" i="2"/>
  <c r="K104" i="2"/>
  <c r="L8" i="2"/>
  <c r="M8" i="2" s="1"/>
  <c r="R8" i="2" s="1"/>
  <c r="N81" i="2"/>
  <c r="Q81" i="2" s="1"/>
  <c r="N31" i="2"/>
  <c r="Q31" i="2" s="1"/>
  <c r="L42" i="2"/>
  <c r="M42" i="2" s="1"/>
  <c r="R42" i="2" s="1"/>
  <c r="K123" i="2"/>
  <c r="N71" i="2"/>
  <c r="Q71" i="2" s="1"/>
  <c r="N22" i="2"/>
  <c r="Q22" i="2" s="1"/>
  <c r="L108" i="2"/>
  <c r="M108" i="2" s="1"/>
  <c r="R108" i="2" s="1"/>
  <c r="L76" i="2"/>
  <c r="M76" i="2" s="1"/>
  <c r="R76" i="2" s="1"/>
  <c r="K40" i="2"/>
  <c r="K91" i="2"/>
  <c r="K56" i="2"/>
  <c r="N27" i="2"/>
  <c r="Q27" i="2" s="1"/>
  <c r="N119" i="2"/>
  <c r="Q119" i="2" s="1"/>
  <c r="L107" i="2"/>
  <c r="M107" i="2" s="1"/>
  <c r="R107" i="2" s="1"/>
  <c r="L33" i="2"/>
  <c r="M33" i="2" s="1"/>
  <c r="R33" i="2" s="1"/>
  <c r="K121" i="2"/>
  <c r="K61" i="2"/>
  <c r="N59" i="2"/>
  <c r="Q59" i="2" s="1"/>
  <c r="N77" i="2"/>
  <c r="Q77" i="2" s="1"/>
  <c r="N72" i="2"/>
  <c r="Q72" i="2" s="1"/>
  <c r="L106" i="2"/>
  <c r="M106" i="2" s="1"/>
  <c r="R106" i="2" s="1"/>
  <c r="L103" i="2"/>
  <c r="M103" i="2" s="1"/>
  <c r="R103" i="2" s="1"/>
  <c r="K120" i="2"/>
  <c r="K58" i="2"/>
  <c r="N116" i="2"/>
  <c r="Q116" i="2" s="1"/>
  <c r="N75" i="2"/>
  <c r="Q75" i="2" s="1"/>
  <c r="N19" i="2"/>
  <c r="Q19" i="2" s="1"/>
  <c r="L63" i="2"/>
  <c r="M63" i="2" s="1"/>
  <c r="R63" i="2" s="1"/>
  <c r="L39" i="2"/>
  <c r="M39" i="2" s="1"/>
  <c r="R39" i="2" s="1"/>
  <c r="N87" i="2"/>
  <c r="Q87" i="2" s="1"/>
  <c r="K116" i="2"/>
  <c r="N74" i="2"/>
  <c r="Q74" i="2" s="1"/>
  <c r="N18" i="2"/>
  <c r="Q18" i="2" s="1"/>
  <c r="L100" i="2"/>
  <c r="M100" i="2" s="1"/>
  <c r="R100" i="2" s="1"/>
  <c r="L44" i="2"/>
  <c r="M44" i="2" s="1"/>
  <c r="R44" i="2" s="1"/>
  <c r="K114" i="2"/>
  <c r="K125" i="2"/>
  <c r="N113" i="2"/>
  <c r="Q113" i="2" s="1"/>
  <c r="N60" i="2"/>
  <c r="Q60" i="2" s="1"/>
  <c r="N4" i="2"/>
  <c r="Q4" i="2" s="1"/>
  <c r="L86" i="2"/>
  <c r="M86" i="2" s="1"/>
  <c r="R86" i="2" s="1"/>
  <c r="L30" i="2"/>
  <c r="M30" i="2" s="1"/>
  <c r="R30" i="2" s="1"/>
  <c r="K100" i="2"/>
  <c r="K52" i="2"/>
  <c r="N109" i="2"/>
  <c r="Q109" i="2" s="1"/>
  <c r="N104" i="2"/>
  <c r="Q104" i="2" s="1"/>
  <c r="L78" i="2"/>
  <c r="M78" i="2" s="1"/>
  <c r="R78" i="2" s="1"/>
  <c r="L89" i="2"/>
  <c r="M89" i="2" s="1"/>
  <c r="R89" i="2" s="1"/>
  <c r="K57" i="2"/>
  <c r="K51" i="2"/>
  <c r="N106" i="2"/>
  <c r="Q106" i="2" s="1"/>
  <c r="N56" i="2"/>
  <c r="Q56" i="2" s="1"/>
  <c r="L128" i="2"/>
  <c r="M128" i="2" s="1"/>
  <c r="R128" i="2" s="1"/>
  <c r="L49" i="2"/>
  <c r="M49" i="2" s="1"/>
  <c r="R49" i="2" s="1"/>
  <c r="K96" i="2"/>
  <c r="K36" i="2"/>
  <c r="N105" i="2"/>
  <c r="Q105" i="2" s="1"/>
  <c r="N42" i="2"/>
  <c r="Q42" i="2" s="1"/>
  <c r="L81" i="2"/>
  <c r="M81" i="2" s="1"/>
  <c r="R81" i="2" s="1"/>
  <c r="L101" i="2"/>
  <c r="M101" i="2" s="1"/>
  <c r="R101" i="2" s="1"/>
  <c r="K95" i="2"/>
  <c r="K99" i="2"/>
  <c r="N37" i="2"/>
  <c r="Q37" i="2" s="1"/>
  <c r="K75" i="2"/>
  <c r="N100" i="2"/>
  <c r="Q100" i="2" s="1"/>
  <c r="N103" i="2"/>
  <c r="Q103" i="2" s="1"/>
  <c r="L59" i="2"/>
  <c r="M59" i="2" s="1"/>
  <c r="R59" i="2" s="1"/>
  <c r="L65" i="2"/>
  <c r="M65" i="2" s="1"/>
  <c r="R65" i="2" s="1"/>
  <c r="L91" i="2"/>
  <c r="M91" i="2" s="1"/>
  <c r="R91" i="2" s="1"/>
  <c r="K94" i="2"/>
  <c r="K30" i="2"/>
  <c r="N34" i="2"/>
  <c r="Q34" i="2" s="1"/>
  <c r="N55" i="2"/>
  <c r="Q55" i="2" s="1"/>
  <c r="N24" i="2"/>
  <c r="Q24" i="2" s="1"/>
  <c r="L116" i="2"/>
  <c r="M116" i="2" s="1"/>
  <c r="R116" i="2" s="1"/>
  <c r="L21" i="2"/>
  <c r="M21" i="2" s="1"/>
  <c r="R21" i="2" s="1"/>
  <c r="L23" i="2"/>
  <c r="M23" i="2" s="1"/>
  <c r="R23" i="2" s="1"/>
  <c r="K127" i="2"/>
  <c r="K112" i="2"/>
  <c r="K11" i="2"/>
  <c r="K33" i="2"/>
  <c r="K69" i="2"/>
  <c r="K37" i="2"/>
  <c r="N26" i="2"/>
  <c r="Q26" i="2" s="1"/>
  <c r="N57" i="2"/>
  <c r="Q57" i="2" s="1"/>
  <c r="N73" i="2"/>
  <c r="Q73" i="2" s="1"/>
  <c r="N25" i="2"/>
  <c r="Q25" i="2" s="1"/>
  <c r="N17" i="2"/>
  <c r="Q17" i="2" s="1"/>
  <c r="L26" i="2"/>
  <c r="M26" i="2" s="1"/>
  <c r="R26" i="2" s="1"/>
  <c r="L55" i="2"/>
  <c r="M55" i="2" s="1"/>
  <c r="R55" i="2" s="1"/>
  <c r="L69" i="2"/>
  <c r="M69" i="2" s="1"/>
  <c r="R69" i="2" s="1"/>
  <c r="L25" i="2"/>
  <c r="M25" i="2" s="1"/>
  <c r="R25" i="2" s="1"/>
  <c r="L13" i="2"/>
  <c r="M13" i="2" s="1"/>
  <c r="R13" i="2" s="1"/>
  <c r="K113" i="2"/>
  <c r="K128" i="2"/>
  <c r="K62" i="2"/>
  <c r="K23" i="2"/>
  <c r="N117" i="2"/>
  <c r="Q117" i="2" s="1"/>
  <c r="N95" i="2"/>
  <c r="Q95" i="2" s="1"/>
  <c r="N65" i="2"/>
  <c r="Q65" i="2" s="1"/>
  <c r="N70" i="2"/>
  <c r="Q70" i="2" s="1"/>
  <c r="N16" i="2"/>
  <c r="Q16" i="2" s="1"/>
  <c r="L124" i="2"/>
  <c r="M124" i="2" s="1"/>
  <c r="R124" i="2" s="1"/>
  <c r="L94" i="2"/>
  <c r="M94" i="2" s="1"/>
  <c r="R94" i="2" s="1"/>
  <c r="L98" i="2"/>
  <c r="M98" i="2" s="1"/>
  <c r="R98" i="2" s="1"/>
  <c r="L70" i="2"/>
  <c r="M70" i="2" s="1"/>
  <c r="R70" i="2" s="1"/>
  <c r="L12" i="2"/>
  <c r="M12" i="2" s="1"/>
  <c r="R12" i="2" s="1"/>
  <c r="K14" i="2"/>
  <c r="K81" i="2"/>
  <c r="K54" i="2"/>
  <c r="N45" i="2"/>
  <c r="Q45" i="2" s="1"/>
  <c r="N92" i="2"/>
  <c r="Q92" i="2" s="1"/>
  <c r="N21" i="2"/>
  <c r="Q21" i="2" s="1"/>
  <c r="N97" i="2"/>
  <c r="Q97" i="2" s="1"/>
  <c r="N15" i="2"/>
  <c r="Q15" i="2" s="1"/>
  <c r="L83" i="2"/>
  <c r="M83" i="2" s="1"/>
  <c r="R83" i="2" s="1"/>
  <c r="L127" i="2"/>
  <c r="M127" i="2" s="1"/>
  <c r="R127" i="2" s="1"/>
  <c r="L67" i="2"/>
  <c r="M67" i="2" s="1"/>
  <c r="R67" i="2" s="1"/>
  <c r="L125" i="2"/>
  <c r="M125" i="2" s="1"/>
  <c r="R125" i="2" s="1"/>
  <c r="L11" i="2"/>
  <c r="M11" i="2" s="1"/>
  <c r="R11" i="2" s="1"/>
  <c r="K111" i="2"/>
  <c r="K126" i="2"/>
  <c r="K19" i="2"/>
  <c r="N66" i="2"/>
  <c r="Q66" i="2" s="1"/>
  <c r="N36" i="2"/>
  <c r="Q36" i="2" s="1"/>
  <c r="L36" i="2"/>
  <c r="M36" i="2" s="1"/>
  <c r="R36" i="2" s="1"/>
  <c r="K79" i="2"/>
  <c r="K16" i="2"/>
  <c r="N115" i="2"/>
  <c r="Q115" i="2" s="1"/>
  <c r="N20" i="2"/>
  <c r="Q20" i="2" s="1"/>
  <c r="N112" i="2"/>
  <c r="Q112" i="2" s="1"/>
  <c r="L122" i="2"/>
  <c r="M122" i="2" s="1"/>
  <c r="R122" i="2" s="1"/>
  <c r="L92" i="2"/>
  <c r="M92" i="2" s="1"/>
  <c r="R92" i="2" s="1"/>
  <c r="L2" i="2"/>
  <c r="M2" i="2" s="1"/>
  <c r="R2" i="2" s="1"/>
  <c r="L10" i="2"/>
  <c r="M10" i="2" s="1"/>
  <c r="R10" i="2" s="1"/>
  <c r="K110" i="2"/>
  <c r="K76" i="2"/>
  <c r="K8" i="2"/>
  <c r="N114" i="2"/>
  <c r="Q114" i="2" s="1"/>
  <c r="N90" i="2"/>
  <c r="Q90" i="2" s="1"/>
  <c r="N61" i="2"/>
  <c r="Q61" i="2" s="1"/>
  <c r="N35" i="2"/>
  <c r="Q35" i="2" s="1"/>
  <c r="N11" i="2"/>
  <c r="Q11" i="2" s="1"/>
  <c r="L121" i="2"/>
  <c r="M121" i="2" s="1"/>
  <c r="R121" i="2" s="1"/>
  <c r="L37" i="2"/>
  <c r="M37" i="2" s="1"/>
  <c r="R37" i="2" s="1"/>
  <c r="L64" i="2"/>
  <c r="M64" i="2" s="1"/>
  <c r="R64" i="2" s="1"/>
  <c r="L99" i="2"/>
  <c r="M99" i="2" s="1"/>
  <c r="R99" i="2" s="1"/>
  <c r="L9" i="2"/>
  <c r="M9" i="2" s="1"/>
  <c r="R9" i="2" s="1"/>
  <c r="K109" i="2"/>
  <c r="K71" i="2"/>
  <c r="K70" i="2"/>
  <c r="K15" i="2"/>
  <c r="N14" i="2"/>
  <c r="Q14" i="2" s="1"/>
  <c r="N88" i="2"/>
  <c r="Q88" i="2" s="1"/>
  <c r="N93" i="2"/>
  <c r="Q93" i="2" s="1"/>
  <c r="N99" i="2"/>
  <c r="Q99" i="2" s="1"/>
  <c r="N41" i="2"/>
  <c r="Q41" i="2" s="1"/>
  <c r="L111" i="2"/>
  <c r="M111" i="2" s="1"/>
  <c r="R111" i="2" s="1"/>
  <c r="L43" i="2"/>
  <c r="M43" i="2" s="1"/>
  <c r="R43" i="2" s="1"/>
  <c r="L61" i="2"/>
  <c r="M61" i="2" s="1"/>
  <c r="R61" i="2" s="1"/>
  <c r="L47" i="2"/>
  <c r="M47" i="2" s="1"/>
  <c r="R47" i="2" s="1"/>
  <c r="L5" i="2"/>
  <c r="M5" i="2" s="1"/>
  <c r="R5" i="2" s="1"/>
  <c r="K55" i="2"/>
  <c r="K29" i="2"/>
  <c r="K13" i="2"/>
  <c r="N111" i="2"/>
  <c r="Q111" i="2" s="1"/>
  <c r="N78" i="2"/>
  <c r="Q78" i="2" s="1"/>
  <c r="N58" i="2"/>
  <c r="Q58" i="2" s="1"/>
  <c r="N32" i="2"/>
  <c r="Q32" i="2" s="1"/>
  <c r="L110" i="2"/>
  <c r="M110" i="2" s="1"/>
  <c r="R110" i="2" s="1"/>
  <c r="L84" i="2"/>
  <c r="M84" i="2" s="1"/>
  <c r="R84" i="2" s="1"/>
  <c r="L54" i="2"/>
  <c r="M54" i="2" s="1"/>
  <c r="R54" i="2" s="1"/>
  <c r="L28" i="2"/>
  <c r="M28" i="2" s="1"/>
  <c r="R28" i="2" s="1"/>
  <c r="K59" i="2"/>
  <c r="K80" i="2"/>
  <c r="K21" i="2"/>
  <c r="K97" i="2"/>
  <c r="K12" i="2"/>
  <c r="N83" i="2"/>
  <c r="Q83" i="2" s="1"/>
  <c r="N50" i="2"/>
  <c r="Q50" i="2" s="1"/>
  <c r="N53" i="2"/>
  <c r="Q53" i="2" s="1"/>
  <c r="N123" i="2"/>
  <c r="Q123" i="2" s="1"/>
  <c r="N48" i="2"/>
  <c r="Q48" i="2" s="1"/>
  <c r="N30" i="2"/>
  <c r="Q30" i="2" s="1"/>
  <c r="N8" i="2"/>
  <c r="Q8" i="2" s="1"/>
  <c r="L120" i="2"/>
  <c r="M120" i="2" s="1"/>
  <c r="R120" i="2" s="1"/>
  <c r="L80" i="2"/>
  <c r="M80" i="2" s="1"/>
  <c r="R80" i="2" s="1"/>
  <c r="L126" i="2"/>
  <c r="M126" i="2" s="1"/>
  <c r="R126" i="2" s="1"/>
  <c r="L58" i="2"/>
  <c r="M58" i="2" s="1"/>
  <c r="R58" i="2" s="1"/>
  <c r="L29" i="2"/>
  <c r="M29" i="2" s="1"/>
  <c r="R29" i="2" s="1"/>
  <c r="L22" i="2"/>
  <c r="M22" i="2" s="1"/>
  <c r="R22" i="2" s="1"/>
  <c r="K87" i="2"/>
  <c r="K108" i="2"/>
  <c r="K86" i="2"/>
  <c r="K98" i="2"/>
  <c r="K103" i="2"/>
  <c r="K28" i="2"/>
  <c r="K10" i="2"/>
  <c r="N120" i="2"/>
  <c r="Q120" i="2" s="1"/>
  <c r="N63" i="2"/>
  <c r="Q63" i="2" s="1"/>
  <c r="N86" i="2"/>
  <c r="Q86" i="2" s="1"/>
  <c r="N67" i="2"/>
  <c r="Q67" i="2" s="1"/>
  <c r="N39" i="2"/>
  <c r="Q39" i="2" s="1"/>
  <c r="N47" i="2"/>
  <c r="Q47" i="2" s="1"/>
  <c r="N7" i="2"/>
  <c r="Q7" i="2" s="1"/>
  <c r="L117" i="2"/>
  <c r="M117" i="2" s="1"/>
  <c r="R117" i="2" s="1"/>
  <c r="L57" i="2"/>
  <c r="M57" i="2" s="1"/>
  <c r="R57" i="2" s="1"/>
  <c r="L79" i="2"/>
  <c r="M79" i="2" s="1"/>
  <c r="R79" i="2" s="1"/>
  <c r="L104" i="2"/>
  <c r="M104" i="2" s="1"/>
  <c r="R104" i="2" s="1"/>
  <c r="L97" i="2"/>
  <c r="M97" i="2" s="1"/>
  <c r="R97" i="2" s="1"/>
  <c r="L19" i="2"/>
  <c r="M19" i="2" s="1"/>
  <c r="R19" i="2" s="1"/>
  <c r="K26" i="2"/>
  <c r="K107" i="2"/>
  <c r="K43" i="2"/>
  <c r="K39" i="2"/>
  <c r="K89" i="2"/>
  <c r="K9" i="2"/>
  <c r="N68" i="2"/>
  <c r="Q68" i="2" s="1"/>
  <c r="N3" i="2"/>
  <c r="Q3" i="2" s="1"/>
  <c r="N43" i="2"/>
  <c r="Q43" i="2" s="1"/>
  <c r="N40" i="2"/>
  <c r="Q40" i="2" s="1"/>
  <c r="N46" i="2"/>
  <c r="Q46" i="2" s="1"/>
  <c r="N28" i="2"/>
  <c r="Q28" i="2" s="1"/>
  <c r="N6" i="2"/>
  <c r="Q6" i="2" s="1"/>
  <c r="L114" i="2"/>
  <c r="M114" i="2" s="1"/>
  <c r="R114" i="2" s="1"/>
  <c r="L96" i="2"/>
  <c r="M96" i="2" s="1"/>
  <c r="R96" i="2" s="1"/>
  <c r="L71" i="2"/>
  <c r="M71" i="2" s="1"/>
  <c r="R71" i="2" s="1"/>
  <c r="L56" i="2"/>
  <c r="M56" i="2" s="1"/>
  <c r="R56" i="2" s="1"/>
  <c r="L52" i="2"/>
  <c r="M52" i="2" s="1"/>
  <c r="R52" i="2" s="1"/>
  <c r="L16" i="2"/>
  <c r="M16" i="2" s="1"/>
  <c r="R16" i="2" s="1"/>
  <c r="K124" i="2"/>
  <c r="K106" i="2"/>
  <c r="K84" i="2"/>
  <c r="K2" i="2"/>
  <c r="K44" i="2"/>
  <c r="K49" i="2"/>
  <c r="K41" i="2"/>
  <c r="K17" i="2"/>
  <c r="K31" i="2"/>
  <c r="K102" i="2"/>
  <c r="K93" i="2"/>
  <c r="K73" i="2"/>
  <c r="K53" i="2"/>
  <c r="K82" i="2"/>
  <c r="K115" i="2"/>
  <c r="L41" i="2"/>
  <c r="M41" i="2" s="1"/>
  <c r="R41" i="2" s="1"/>
  <c r="L17" i="2"/>
  <c r="M17" i="2" s="1"/>
  <c r="R17" i="2" s="1"/>
  <c r="L31" i="2"/>
  <c r="M31" i="2" s="1"/>
  <c r="R31" i="2" s="1"/>
  <c r="L102" i="2"/>
  <c r="M102" i="2" s="1"/>
  <c r="R102" i="2" s="1"/>
  <c r="L93" i="2"/>
  <c r="M93" i="2" s="1"/>
  <c r="R93" i="2" s="1"/>
  <c r="L73" i="2"/>
  <c r="M73" i="2" s="1"/>
  <c r="R73" i="2" s="1"/>
  <c r="L53" i="2"/>
  <c r="M53" i="2" s="1"/>
  <c r="R53" i="2" s="1"/>
  <c r="L82" i="2"/>
  <c r="M82" i="2" s="1"/>
  <c r="R82" i="2" s="1"/>
  <c r="L115" i="2"/>
  <c r="M115" i="2" s="1"/>
  <c r="R115" i="2" s="1"/>
  <c r="N9" i="2"/>
  <c r="Q9" i="2" s="1"/>
  <c r="N23" i="2"/>
  <c r="Q23" i="2" s="1"/>
  <c r="N51" i="2"/>
  <c r="Q51" i="2" s="1"/>
  <c r="N33" i="2"/>
  <c r="Q33" i="2" s="1"/>
  <c r="N64" i="2"/>
  <c r="Q64" i="2" s="1"/>
  <c r="N79" i="2"/>
  <c r="Q79" i="2" s="1"/>
  <c r="N127" i="2"/>
  <c r="Q127" i="2" s="1"/>
  <c r="N107" i="2"/>
  <c r="Q107" i="2" s="1"/>
  <c r="N121" i="2"/>
  <c r="Q121" i="2" s="1"/>
  <c r="K4" i="2"/>
  <c r="K18" i="2"/>
  <c r="K32" i="2"/>
  <c r="K46" i="2"/>
  <c r="K60" i="2"/>
  <c r="K88" i="2"/>
  <c r="K3" i="2"/>
  <c r="K45" i="2"/>
  <c r="L4" i="2"/>
  <c r="M4" i="2" s="1"/>
  <c r="R4" i="2" s="1"/>
  <c r="L18" i="2"/>
  <c r="M18" i="2" s="1"/>
  <c r="R18" i="2" s="1"/>
  <c r="L32" i="2"/>
  <c r="M32" i="2" s="1"/>
  <c r="R32" i="2" s="1"/>
  <c r="L46" i="2"/>
  <c r="M46" i="2" s="1"/>
  <c r="R46" i="2" s="1"/>
  <c r="L60" i="2"/>
  <c r="M60" i="2" s="1"/>
  <c r="R60" i="2" s="1"/>
  <c r="L74" i="2"/>
  <c r="M74" i="2" s="1"/>
  <c r="R74" i="2" s="1"/>
  <c r="L88" i="2"/>
  <c r="M88" i="2" s="1"/>
  <c r="R88" i="2" s="1"/>
  <c r="L3" i="2"/>
  <c r="M3" i="2" s="1"/>
  <c r="R3" i="2" s="1"/>
  <c r="L45" i="2"/>
  <c r="M45" i="2" s="1"/>
  <c r="R45" i="2" s="1"/>
  <c r="N10" i="2"/>
  <c r="Q10" i="2" s="1"/>
  <c r="N91" i="2"/>
  <c r="Q91" i="2" s="1"/>
  <c r="N52" i="2"/>
  <c r="Q52" i="2" s="1"/>
  <c r="N76" i="2"/>
  <c r="Q76" i="2" s="1"/>
  <c r="N2" i="2"/>
  <c r="Q2" i="2" s="1"/>
  <c r="N126" i="2"/>
  <c r="Q126" i="2" s="1"/>
  <c r="N94" i="2"/>
  <c r="Q94" i="2" s="1"/>
  <c r="N108" i="2"/>
  <c r="Q108" i="2" s="1"/>
  <c r="N122" i="2"/>
  <c r="Q122" i="2" s="1"/>
  <c r="K6" i="2"/>
  <c r="K72" i="2"/>
  <c r="K34" i="2"/>
  <c r="K48" i="2"/>
  <c r="K20" i="2"/>
  <c r="K77" i="2"/>
  <c r="K90" i="2"/>
  <c r="K50" i="2"/>
  <c r="K118" i="2"/>
  <c r="L6" i="2"/>
  <c r="M6" i="2" s="1"/>
  <c r="R6" i="2" s="1"/>
  <c r="L72" i="2"/>
  <c r="M72" i="2" s="1"/>
  <c r="R72" i="2" s="1"/>
  <c r="L34" i="2"/>
  <c r="M34" i="2" s="1"/>
  <c r="R34" i="2" s="1"/>
  <c r="L48" i="2"/>
  <c r="M48" i="2" s="1"/>
  <c r="R48" i="2" s="1"/>
  <c r="L20" i="2"/>
  <c r="M20" i="2" s="1"/>
  <c r="R20" i="2" s="1"/>
  <c r="L77" i="2"/>
  <c r="M77" i="2" s="1"/>
  <c r="R77" i="2" s="1"/>
  <c r="L90" i="2"/>
  <c r="M90" i="2" s="1"/>
  <c r="R90" i="2" s="1"/>
  <c r="L50" i="2"/>
  <c r="M50" i="2" s="1"/>
  <c r="R50" i="2" s="1"/>
  <c r="L118" i="2"/>
  <c r="M118" i="2" s="1"/>
  <c r="R118" i="2" s="1"/>
  <c r="N12" i="2"/>
  <c r="Q12" i="2" s="1"/>
  <c r="N49" i="2"/>
  <c r="Q49" i="2" s="1"/>
  <c r="N29" i="2"/>
  <c r="Q29" i="2" s="1"/>
  <c r="N54" i="2"/>
  <c r="Q54" i="2" s="1"/>
  <c r="N98" i="2"/>
  <c r="Q98" i="2" s="1"/>
  <c r="N128" i="2"/>
  <c r="Q128" i="2" s="1"/>
  <c r="N96" i="2"/>
  <c r="Q96" i="2" s="1"/>
  <c r="N110" i="2"/>
  <c r="Q110" i="2" s="1"/>
  <c r="N124" i="2"/>
  <c r="Q124" i="2" s="1"/>
  <c r="K7" i="2"/>
  <c r="K119" i="2"/>
  <c r="K35" i="2"/>
  <c r="K24" i="2"/>
  <c r="K38" i="2"/>
  <c r="K27" i="2"/>
  <c r="K66" i="2"/>
  <c r="K105" i="2"/>
  <c r="K68" i="2"/>
  <c r="L7" i="2"/>
  <c r="M7" i="2" s="1"/>
  <c r="R7" i="2" s="1"/>
  <c r="L119" i="2"/>
  <c r="M119" i="2" s="1"/>
  <c r="R119" i="2" s="1"/>
  <c r="L35" i="2"/>
  <c r="M35" i="2" s="1"/>
  <c r="R35" i="2" s="1"/>
  <c r="L24" i="2"/>
  <c r="M24" i="2" s="1"/>
  <c r="R24" i="2" s="1"/>
  <c r="L38" i="2"/>
  <c r="M38" i="2" s="1"/>
  <c r="R38" i="2" s="1"/>
  <c r="L27" i="2"/>
  <c r="M27" i="2" s="1"/>
  <c r="R27" i="2" s="1"/>
  <c r="L66" i="2"/>
  <c r="M66" i="2" s="1"/>
  <c r="R66" i="2" s="1"/>
  <c r="L105" i="2"/>
  <c r="M105" i="2" s="1"/>
  <c r="R105" i="2" s="1"/>
  <c r="L68" i="2"/>
  <c r="M68" i="2" s="1"/>
  <c r="R68" i="2" s="1"/>
  <c r="N13" i="2"/>
  <c r="Q13" i="2" s="1"/>
  <c r="N89" i="2"/>
  <c r="Q89" i="2" s="1"/>
  <c r="N125" i="2"/>
  <c r="Q125" i="2" s="1"/>
  <c r="N62" i="2"/>
  <c r="Q62" i="2" s="1"/>
  <c r="N69" i="2"/>
  <c r="Q69" i="2" s="1"/>
  <c r="N118" i="2"/>
  <c r="Q118" i="2" s="1"/>
  <c r="N82" i="2"/>
  <c r="Q82" i="2" s="1"/>
  <c r="N84" i="2"/>
  <c r="Q84" i="2" s="1"/>
  <c r="N38" i="2"/>
  <c r="Q38" i="2" s="1"/>
  <c r="N102" i="2"/>
  <c r="Q102" i="2" s="1"/>
  <c r="N101" i="2"/>
  <c r="Q101" i="2" s="1"/>
  <c r="N5" i="2"/>
  <c r="Q5" i="2" s="1"/>
  <c r="L113" i="2"/>
  <c r="M113" i="2" s="1"/>
  <c r="R113" i="2" s="1"/>
  <c r="L95" i="2"/>
  <c r="M95" i="2" s="1"/>
  <c r="R95" i="2" s="1"/>
  <c r="L75" i="2"/>
  <c r="M75" i="2" s="1"/>
  <c r="R75" i="2" s="1"/>
  <c r="L62" i="2"/>
  <c r="M62" i="2" s="1"/>
  <c r="R62" i="2" s="1"/>
  <c r="L51" i="2"/>
  <c r="M51" i="2" s="1"/>
  <c r="R51" i="2" s="1"/>
  <c r="L15" i="2"/>
  <c r="M15" i="2" s="1"/>
  <c r="R15" i="2" s="1"/>
  <c r="K83" i="2"/>
  <c r="K63" i="2"/>
  <c r="K78" i="2"/>
  <c r="K64" i="2"/>
  <c r="K25" i="2"/>
  <c r="K101" i="2"/>
  <c r="K5" i="2"/>
  <c r="N85" i="2"/>
  <c r="Q85" i="2" s="1"/>
  <c r="L85" i="2"/>
  <c r="K85" i="2"/>
  <c r="M85" i="2" l="1"/>
  <c r="R8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Opps creadas por semana this week" description="Connection to the 'Opps creadas por semana this week' query in the workbook." type="5" refreshedVersion="8" background="1" saveData="1">
    <dbPr connection="Provider=Microsoft.Mashup.OleDb.1;Data Source=$Workbook$;Location=&quot;Opps creadas por semana this week&quot;;Extended Properties=&quot;&quot;" command="SELECT * FROM [Opps creadas por semana this week]"/>
  </connection>
</connections>
</file>

<file path=xl/sharedStrings.xml><?xml version="1.0" encoding="utf-8"?>
<sst xmlns="http://schemas.openxmlformats.org/spreadsheetml/2006/main" count="23646" uniqueCount="5576">
  <si>
    <t>Region</t>
  </si>
  <si>
    <t>Owner Name</t>
  </si>
  <si>
    <t>Subject</t>
  </si>
  <si>
    <t>Account Legal Name</t>
  </si>
  <si>
    <t>Top Parent Account</t>
  </si>
  <si>
    <t>Date</t>
  </si>
  <si>
    <t>Meeting</t>
  </si>
  <si>
    <t>Dario del Río</t>
  </si>
  <si>
    <t>Rene Lopez</t>
  </si>
  <si>
    <t>José Bustos</t>
  </si>
  <si>
    <t>Dulce Villegas</t>
  </si>
  <si>
    <t>Mario Garcia</t>
  </si>
  <si>
    <t>Ramón Pérez</t>
  </si>
  <si>
    <t>Vendor</t>
  </si>
  <si>
    <t>Alejandro Monteón</t>
  </si>
  <si>
    <t>Enrique Luna</t>
  </si>
  <si>
    <t>LMM 3</t>
  </si>
  <si>
    <t>LMM 4</t>
  </si>
  <si>
    <t>Myrna Leija</t>
  </si>
  <si>
    <t>LMM 1</t>
  </si>
  <si>
    <t>Fernando Cruz</t>
  </si>
  <si>
    <t>Diego Aviña</t>
  </si>
  <si>
    <t>Call</t>
  </si>
  <si>
    <t>Jorge Avendaño</t>
  </si>
  <si>
    <t>Samuel Cepeda</t>
  </si>
  <si>
    <t>Jose Nava</t>
  </si>
  <si>
    <t>Octavio Chimal</t>
  </si>
  <si>
    <t>Natalia Bernat</t>
  </si>
  <si>
    <t>Alexandra Ramírez</t>
  </si>
  <si>
    <t>Omar Rodríguez</t>
  </si>
  <si>
    <t>Laura Villagomez</t>
  </si>
  <si>
    <t>Novatec Pagani</t>
  </si>
  <si>
    <t>Rafael Garcia</t>
  </si>
  <si>
    <t>Email</t>
  </si>
  <si>
    <t>Haas Machine Tools</t>
  </si>
  <si>
    <t>Bayer de México</t>
  </si>
  <si>
    <t>Grupo TRACSA</t>
  </si>
  <si>
    <t>Alexandra Luna</t>
  </si>
  <si>
    <t>Miguel Ortiz</t>
  </si>
  <si>
    <t>Miguel Antunez</t>
  </si>
  <si>
    <t>Juan Edgar Zepeda</t>
  </si>
  <si>
    <t>Presentación de servicios</t>
  </si>
  <si>
    <t>Coca-Cola FEMSA</t>
  </si>
  <si>
    <t>Cynthia Diaz</t>
  </si>
  <si>
    <t>Fleet</t>
  </si>
  <si>
    <t>Elan Energy</t>
  </si>
  <si>
    <t>Subcor</t>
  </si>
  <si>
    <t>Grupo Farmaceutico Somar</t>
  </si>
  <si>
    <t>Navistar México</t>
  </si>
  <si>
    <t>Cita</t>
  </si>
  <si>
    <t>Industrias Montilla</t>
  </si>
  <si>
    <t>Fernando Carbajal</t>
  </si>
  <si>
    <t>Other</t>
  </si>
  <si>
    <t>Enestas</t>
  </si>
  <si>
    <t>Alejandro Trujillo</t>
  </si>
  <si>
    <t>presentacion</t>
  </si>
  <si>
    <t>Edith Sánchez</t>
  </si>
  <si>
    <t>Presentacion Engen Capital</t>
  </si>
  <si>
    <t>Carlos Garmilla</t>
  </si>
  <si>
    <t>Usk Internacional</t>
  </si>
  <si>
    <t>Fernando Perez</t>
  </si>
  <si>
    <t>Arabela</t>
  </si>
  <si>
    <t>Daniel Castillo</t>
  </si>
  <si>
    <t>General Electric México</t>
  </si>
  <si>
    <t>Jugos Del Valle</t>
  </si>
  <si>
    <t>Smart Center</t>
  </si>
  <si>
    <t>Transportes Kugar Del Papaloapan</t>
  </si>
  <si>
    <t>PRESENTACION</t>
  </si>
  <si>
    <t>CITA</t>
  </si>
  <si>
    <t>GLOBAL ARMOR</t>
  </si>
  <si>
    <t>Marco Cohen</t>
  </si>
  <si>
    <t>Grupo Logra</t>
  </si>
  <si>
    <t>Comercializadora Naremo</t>
  </si>
  <si>
    <t>IPQ PLASTIQ</t>
  </si>
  <si>
    <t>Contecon Manzanillo</t>
  </si>
  <si>
    <t>LMM 5</t>
  </si>
  <si>
    <t>Transportes Maeda</t>
  </si>
  <si>
    <t>Mayreth García</t>
  </si>
  <si>
    <t>Jacobo Frontana</t>
  </si>
  <si>
    <t>Cereales y Pastas</t>
  </si>
  <si>
    <t>Seguimiento CAPEX</t>
  </si>
  <si>
    <t>Valle Redondo</t>
  </si>
  <si>
    <t>Ganaderia Rubio</t>
  </si>
  <si>
    <t>Industrias Tamer</t>
  </si>
  <si>
    <t>Miriam Martinez</t>
  </si>
  <si>
    <t>EPL Propack de México</t>
  </si>
  <si>
    <t>SALZILLO</t>
  </si>
  <si>
    <t>presentación</t>
  </si>
  <si>
    <t>Julieta Medrano</t>
  </si>
  <si>
    <t>Anheuser-Busch México Holding</t>
  </si>
  <si>
    <t>Plesa Anahuac</t>
  </si>
  <si>
    <t>Grupo Tensa</t>
  </si>
  <si>
    <t>Jaime Guzmán</t>
  </si>
  <si>
    <t>Beta San Miguel</t>
  </si>
  <si>
    <t>Grupo Atsa</t>
  </si>
  <si>
    <t>Operadora San Ángel Inn</t>
  </si>
  <si>
    <t>Prysmian Cables y Sistemas de México</t>
  </si>
  <si>
    <t>SWIFT COMPANY</t>
  </si>
  <si>
    <t>Grupo Papelero Gabor</t>
  </si>
  <si>
    <t>Grupo Felder Foods</t>
  </si>
  <si>
    <t>Lafon Launay Cosmetics</t>
  </si>
  <si>
    <t>-</t>
  </si>
  <si>
    <t>Novaplástica</t>
  </si>
  <si>
    <t>E2E Supply Chain Services</t>
  </si>
  <si>
    <t>Holcim Apasco</t>
  </si>
  <si>
    <t>NORCAST</t>
  </si>
  <si>
    <t>Anixter</t>
  </si>
  <si>
    <t>Comercializadora Isabel</t>
  </si>
  <si>
    <t>Mutualidad De Avicultores De Allende N.L.</t>
  </si>
  <si>
    <t>Servicios Agropecuarios De La Costa</t>
  </si>
  <si>
    <t>Centro Médico Florence</t>
  </si>
  <si>
    <t>Regiomontana de Construcción y Servicios</t>
  </si>
  <si>
    <t>Amco Educación</t>
  </si>
  <si>
    <t>Setramex</t>
  </si>
  <si>
    <t>Federico Carreón</t>
  </si>
  <si>
    <t>Gerdau Corsa</t>
  </si>
  <si>
    <t>Marianna Peña</t>
  </si>
  <si>
    <t>Epsilon Media Group</t>
  </si>
  <si>
    <t>Logística y Soluciones Roan</t>
  </si>
  <si>
    <t>Grupo Pinturerias</t>
  </si>
  <si>
    <t>La Anita</t>
  </si>
  <si>
    <t>Juan Villaseñor</t>
  </si>
  <si>
    <t>Etiquetas Electronicas de Occidente</t>
  </si>
  <si>
    <t>Leon Corteacero</t>
  </si>
  <si>
    <t>Envases Universales</t>
  </si>
  <si>
    <t>Hernan Aguilar</t>
  </si>
  <si>
    <t>Top Parent</t>
  </si>
  <si>
    <t>FullName</t>
  </si>
  <si>
    <t>Pablo Perez</t>
  </si>
  <si>
    <t>Joaquin Padilla</t>
  </si>
  <si>
    <t>Gisell Trujillo</t>
  </si>
  <si>
    <t>Miroslava Parra</t>
  </si>
  <si>
    <t>Patricia Silva</t>
  </si>
  <si>
    <t>Opportunity Currency</t>
  </si>
  <si>
    <t>EXT_REF_ID</t>
  </si>
  <si>
    <t>Target Market</t>
  </si>
  <si>
    <t>Inside Sales Owner</t>
  </si>
  <si>
    <t>Opportunity Owner</t>
  </si>
  <si>
    <t>Opportunity Name</t>
  </si>
  <si>
    <t>Amount (converted).amount</t>
  </si>
  <si>
    <t>Amount (converted).currency</t>
  </si>
  <si>
    <t>Required Book Yield to Win</t>
  </si>
  <si>
    <t>Reason Lost - Level 1</t>
  </si>
  <si>
    <t>Reason Lost - Level 3</t>
  </si>
  <si>
    <t>Competitor</t>
  </si>
  <si>
    <t>Competitor Product</t>
  </si>
  <si>
    <t>Competitor Rate Type</t>
  </si>
  <si>
    <t>Competitor Term (Months)</t>
  </si>
  <si>
    <t>Lost Comments</t>
  </si>
  <si>
    <t>Line of Business</t>
  </si>
  <si>
    <t>Stage</t>
  </si>
  <si>
    <t>Collateral</t>
  </si>
  <si>
    <t>Insurance Type</t>
  </si>
  <si>
    <t>Deal Category</t>
  </si>
  <si>
    <t>Financing Need</t>
  </si>
  <si>
    <t>Product</t>
  </si>
  <si>
    <t>Lost Date Q</t>
  </si>
  <si>
    <t>Opportunity Identified Date</t>
  </si>
  <si>
    <t>Target Market2</t>
  </si>
  <si>
    <t>MXN</t>
  </si>
  <si>
    <t>Lower middle market</t>
  </si>
  <si>
    <t>Opportunity Identified</t>
  </si>
  <si>
    <t>Engen Capital Financed</t>
  </si>
  <si>
    <t>New Origination</t>
  </si>
  <si>
    <t>CapEx Lines</t>
  </si>
  <si>
    <t>True Lease</t>
  </si>
  <si>
    <t/>
  </si>
  <si>
    <t>Equipment</t>
  </si>
  <si>
    <t>Capital Markets</t>
  </si>
  <si>
    <t>Teresa Cisneros</t>
  </si>
  <si>
    <t>Herdez Del Fuerte</t>
  </si>
  <si>
    <t>Soluciones Logisticas Inteligentes</t>
  </si>
  <si>
    <t>Sergio Mange</t>
  </si>
  <si>
    <t>Campeche Oil Mill</t>
  </si>
  <si>
    <t>CW Metal</t>
  </si>
  <si>
    <t>NORSTAR TRAILERS MEXICO</t>
  </si>
  <si>
    <t>Plazteca</t>
  </si>
  <si>
    <t>Cartonera Plástica</t>
  </si>
  <si>
    <t>Visita de Seguimiento</t>
  </si>
  <si>
    <t>LDR Solution</t>
  </si>
  <si>
    <t>Transportes Rivelo</t>
  </si>
  <si>
    <t>Heidelberg México</t>
  </si>
  <si>
    <t>Dipol Automotive</t>
  </si>
  <si>
    <t>Poliflex Veracruz</t>
  </si>
  <si>
    <t>Galgar Construcciones</t>
  </si>
  <si>
    <t>Ganaderos Productores De Leche Pura</t>
  </si>
  <si>
    <t>Area Creativa y Publicidad Impresa</t>
  </si>
  <si>
    <t>Herbert Bouchez</t>
  </si>
  <si>
    <t>Camiones y Tractocamiones JR</t>
  </si>
  <si>
    <t>presentación de servicios</t>
  </si>
  <si>
    <t>COMERCIALIZADORA ALOHER</t>
  </si>
  <si>
    <t>Nutec Group</t>
  </si>
  <si>
    <t>Emilio Ojeda</t>
  </si>
  <si>
    <t>cita</t>
  </si>
  <si>
    <t>Comments</t>
  </si>
  <si>
    <t>Grupo Indi</t>
  </si>
  <si>
    <t>Inyector</t>
  </si>
  <si>
    <t>Operadora Exe</t>
  </si>
  <si>
    <t>Automatización Mantenimiento y Construcción</t>
  </si>
  <si>
    <t>United Barcode Systems</t>
  </si>
  <si>
    <t>Grupo Industrial Summa</t>
  </si>
  <si>
    <t>Comercializadora Columbia</t>
  </si>
  <si>
    <t>REMOLQUES Y CARROCERIAS CRUZ</t>
  </si>
  <si>
    <t>Fundación De Asistencia Privada Conde De Valenciana</t>
  </si>
  <si>
    <t>JC MOLDS</t>
  </si>
  <si>
    <t>Grupo Velasco Servicios De Ingenieria y Arrendamiento</t>
  </si>
  <si>
    <t>MANUFACTURERA FEHR</t>
  </si>
  <si>
    <t>Monserrat Villanueva</t>
  </si>
  <si>
    <t>Moises Villalon</t>
  </si>
  <si>
    <t>Alta Calidad en Inyección</t>
  </si>
  <si>
    <t>Wal-Mart de México</t>
  </si>
  <si>
    <t>Calza Super</t>
  </si>
  <si>
    <t>Litográfica VIHUMASI</t>
  </si>
  <si>
    <t>Fabrica de Dulces Miguelito</t>
  </si>
  <si>
    <t>Diego Trevilla</t>
  </si>
  <si>
    <t>Promotora Caribeña</t>
  </si>
  <si>
    <t>Fletes Esquer</t>
  </si>
  <si>
    <t>Chocolatera Moctezuma</t>
  </si>
  <si>
    <t>revision de oportunidades</t>
  </si>
  <si>
    <t>Atento Mexico Holdco</t>
  </si>
  <si>
    <t>Delman Internacional</t>
  </si>
  <si>
    <t>Internacional Quimica De Cobre</t>
  </si>
  <si>
    <t>Vensi Ventajas En Servicios Integrales</t>
  </si>
  <si>
    <t>Distribuidora de Maquinaria Industrial</t>
  </si>
  <si>
    <t>Atelier Post CO</t>
  </si>
  <si>
    <t>Sabormex</t>
  </si>
  <si>
    <t>Transportes Alante</t>
  </si>
  <si>
    <t>Enlace Int.</t>
  </si>
  <si>
    <t>Central De Corretajes</t>
  </si>
  <si>
    <t>CONCRETOS DURABLES</t>
  </si>
  <si>
    <t>Dimasur</t>
  </si>
  <si>
    <t>Tony Tiendas</t>
  </si>
  <si>
    <t>Aro Asfaltos y Riegos de Occidente</t>
  </si>
  <si>
    <t>NG RENTAL SOLUTION GROUP</t>
  </si>
  <si>
    <t>Miel Norteña</t>
  </si>
  <si>
    <t>Hospital Amerimed</t>
  </si>
  <si>
    <t>Grupo Smurfit</t>
  </si>
  <si>
    <t>Premium Restaurant Brands</t>
  </si>
  <si>
    <t>Grupo Industrial Monclova</t>
  </si>
  <si>
    <t>High Pack</t>
  </si>
  <si>
    <t>Sigpack</t>
  </si>
  <si>
    <t>Esfuerzo de Productores del valle de San Lorenzo</t>
  </si>
  <si>
    <t>Ralca</t>
  </si>
  <si>
    <t>presentacion de servicios</t>
  </si>
  <si>
    <t>Aceleración Nuclear y Resonancia Magnética</t>
  </si>
  <si>
    <t>GRUPO INPO</t>
  </si>
  <si>
    <t>Procesadora Rio San Pedro</t>
  </si>
  <si>
    <t>Zarga Comercial</t>
  </si>
  <si>
    <t>Dysal</t>
  </si>
  <si>
    <t>Erick Perez</t>
  </si>
  <si>
    <t>TRANSPORTE FANY</t>
  </si>
  <si>
    <t>Abinsa</t>
  </si>
  <si>
    <t>Especias Aries</t>
  </si>
  <si>
    <t>Walworth de México</t>
  </si>
  <si>
    <t>Tubos y Barras Huecas</t>
  </si>
  <si>
    <t>Engranes De Mexico</t>
  </si>
  <si>
    <t>Productos Aramo</t>
  </si>
  <si>
    <t>IBAI CONSSULAR</t>
  </si>
  <si>
    <t>Gerardo Vazquez</t>
  </si>
  <si>
    <t>Infagon Web</t>
  </si>
  <si>
    <t>Agrícola Nuevo Sendero</t>
  </si>
  <si>
    <t>Comercializadora Megasem</t>
  </si>
  <si>
    <t>Grupo Reco</t>
  </si>
  <si>
    <t>Acero ventas m.a.</t>
  </si>
  <si>
    <t>Ricardo Meza</t>
  </si>
  <si>
    <t>FERNANDO SILVA MONTERROSAS</t>
  </si>
  <si>
    <t>Indirect Opportunity?</t>
  </si>
  <si>
    <t>Opportunity from Broker?</t>
  </si>
  <si>
    <t>No</t>
  </si>
  <si>
    <t>Grupo Logístico de la Cuenca del Pacífico</t>
  </si>
  <si>
    <t>Condisis</t>
  </si>
  <si>
    <t>Constructora Lusen</t>
  </si>
  <si>
    <t>Quimica Rosmar</t>
  </si>
  <si>
    <t>Exportadora de Postes GDL</t>
  </si>
  <si>
    <t>MA. TERESA MACIAS RAMIREZ</t>
  </si>
  <si>
    <t>Amount Converted MXN</t>
  </si>
  <si>
    <t>Middle market</t>
  </si>
  <si>
    <t>Grupo Cice</t>
  </si>
  <si>
    <t>Kaeser Compresores de México</t>
  </si>
  <si>
    <t>Islim Telco</t>
  </si>
  <si>
    <t>Manuel Ibal</t>
  </si>
  <si>
    <t>Carlos Ramos</t>
  </si>
  <si>
    <t>RAM PACKAGING DE MEXICO</t>
  </si>
  <si>
    <t>Tecnologia Spine</t>
  </si>
  <si>
    <t>Fletes Marroquin</t>
  </si>
  <si>
    <t>Miguel Rivera</t>
  </si>
  <si>
    <t>Edson Flores</t>
  </si>
  <si>
    <t>Agropecuaria Camou</t>
  </si>
  <si>
    <t>Callizo Aromas</t>
  </si>
  <si>
    <t>Transmodal</t>
  </si>
  <si>
    <t>Bonafont</t>
  </si>
  <si>
    <t>Danone de México</t>
  </si>
  <si>
    <t>Construcciones M.S.</t>
  </si>
  <si>
    <t>Engen Capital</t>
  </si>
  <si>
    <t>GE Gaseco GNV Región Golfo</t>
  </si>
  <si>
    <t>TRANSPORTE EMPRESARIAL DEL BAJIO</t>
  </si>
  <si>
    <t>Express Mg</t>
  </si>
  <si>
    <t>Italika</t>
  </si>
  <si>
    <t>Taurus Mexicana</t>
  </si>
  <si>
    <t>Jafra Cosmetics</t>
  </si>
  <si>
    <t>LLANTERA ATLAS</t>
  </si>
  <si>
    <t>Forrajes y Granos Agropecuarios De yucatán</t>
  </si>
  <si>
    <t>Pallium</t>
  </si>
  <si>
    <t>PPP Foods</t>
  </si>
  <si>
    <t>Robert Bosch Gmbh</t>
  </si>
  <si>
    <t>Frutas Chanitos</t>
  </si>
  <si>
    <t>Cie</t>
  </si>
  <si>
    <t>Thor Urbana</t>
  </si>
  <si>
    <t>Hyundai Corporation</t>
  </si>
  <si>
    <t>Fletes Hesa</t>
  </si>
  <si>
    <t>Cubiertos y Productos de Plástico SMMonterrey</t>
  </si>
  <si>
    <t>Grupo Gigante</t>
  </si>
  <si>
    <t>Alinsumos</t>
  </si>
  <si>
    <t>Mitsui de México</t>
  </si>
  <si>
    <t>Pasteleria Marisa</t>
  </si>
  <si>
    <t>Basham, Ringe y Correa</t>
  </si>
  <si>
    <t>Interland Transport</t>
  </si>
  <si>
    <t>B Braun Aesculap de México</t>
  </si>
  <si>
    <t>Circulo K México</t>
  </si>
  <si>
    <t>Aspid</t>
  </si>
  <si>
    <t>ALI &amp; PROPEC</t>
  </si>
  <si>
    <t>Conservas La Costena</t>
  </si>
  <si>
    <t>La Italiana</t>
  </si>
  <si>
    <t>Ingenio Pantaleon Panuco</t>
  </si>
  <si>
    <t>Harinas De Minatitlán</t>
  </si>
  <si>
    <t>Manufacturera Soma</t>
  </si>
  <si>
    <t>Grupo Azucarero del Tropico</t>
  </si>
  <si>
    <t>Tienda Neto</t>
  </si>
  <si>
    <t>Ferrocarril y Terminal Del Valle de México</t>
  </si>
  <si>
    <t>Cotemar</t>
  </si>
  <si>
    <t>Cometra Servicios Integrales</t>
  </si>
  <si>
    <t>Procesadora De Alimentos Cima</t>
  </si>
  <si>
    <t>Abierta</t>
  </si>
  <si>
    <t xml:space="preserve">Nueva Hunter Jr. </t>
  </si>
  <si>
    <t>Guadalajara</t>
  </si>
  <si>
    <t>México 1</t>
  </si>
  <si>
    <t>México 2</t>
  </si>
  <si>
    <t>México 3</t>
  </si>
  <si>
    <t>Monterrey</t>
  </si>
  <si>
    <t>Vendor &amp; Energy</t>
  </si>
  <si>
    <t>Yenisei Garcia</t>
  </si>
  <si>
    <t>Logistica Interncional De Mercancias</t>
  </si>
  <si>
    <t>Grupo Hermes</t>
  </si>
  <si>
    <t>Envases Bh</t>
  </si>
  <si>
    <t>Organicos milenarios.</t>
  </si>
  <si>
    <t>Hydal</t>
  </si>
  <si>
    <t>Productora Pecuaria Alpera</t>
  </si>
  <si>
    <t>Manufacturas y Aleaciones de Cobre</t>
  </si>
  <si>
    <t>Vorago</t>
  </si>
  <si>
    <t>Distribuidora Alimenticia Maravatio</t>
  </si>
  <si>
    <t>Petro Asfaltos del Sureste</t>
  </si>
  <si>
    <t>Gami Ingeniería e Instalaciones</t>
  </si>
  <si>
    <t>EDUARDO CORTES AYALA</t>
  </si>
  <si>
    <t>Alimentación Empresarial Mayán</t>
  </si>
  <si>
    <t>Horticola Cimarron</t>
  </si>
  <si>
    <t>Foli de México</t>
  </si>
  <si>
    <t>Grupo Vitalmex</t>
  </si>
  <si>
    <t>Laboratorios Fem</t>
  </si>
  <si>
    <t>Agroindustrias AG</t>
  </si>
  <si>
    <t>Grupo Ampm</t>
  </si>
  <si>
    <t>Global Equipment</t>
  </si>
  <si>
    <t>Blue Tissue</t>
  </si>
  <si>
    <t>Rhino Maquinaria</t>
  </si>
  <si>
    <t>Productos Agropecuarios Beristaín</t>
  </si>
  <si>
    <t>Galnik</t>
  </si>
  <si>
    <t>Nestlé México</t>
  </si>
  <si>
    <t>Proesmma</t>
  </si>
  <si>
    <t>Metalat</t>
  </si>
  <si>
    <t>Centro Médico De Toluca</t>
  </si>
  <si>
    <t>Nusantara de México</t>
  </si>
  <si>
    <t>Grupo Kuo</t>
  </si>
  <si>
    <t>Terminales Mexicanas De Carga y Almacenaje</t>
  </si>
  <si>
    <t>Ojai</t>
  </si>
  <si>
    <t>Construcción De Caminos y Proyectos Interestatales</t>
  </si>
  <si>
    <t>Monkey Glass</t>
  </si>
  <si>
    <t>Dorly Rabago</t>
  </si>
  <si>
    <t>Fábrica de Tiempo Libre</t>
  </si>
  <si>
    <t>Ivan Parra</t>
  </si>
  <si>
    <t>Industrias Memper</t>
  </si>
  <si>
    <t>Polyrafia</t>
  </si>
  <si>
    <t>mexscrap</t>
  </si>
  <si>
    <t>Geosol</t>
  </si>
  <si>
    <t>Fruvemex Mexicali</t>
  </si>
  <si>
    <t>Alcoholes y Melazas de México</t>
  </si>
  <si>
    <t>Empacadora Rosarito</t>
  </si>
  <si>
    <t>Soluciones Novalogist</t>
  </si>
  <si>
    <t>Transportes Famego</t>
  </si>
  <si>
    <t>Multillantas y Servicios Grimaldi</t>
  </si>
  <si>
    <t>Ares Comercio de Metales</t>
  </si>
  <si>
    <t>SISTEMAS DE ECOLOGIA SOLAR</t>
  </si>
  <si>
    <t>COMUNIDAD UNIVERSITARIA DEL GOLFO CENTRO</t>
  </si>
  <si>
    <t>Comarket</t>
  </si>
  <si>
    <t>COMERCIALIZADORA MEXICANA DE FRUTOS SECOS</t>
  </si>
  <si>
    <t>Molino La Rosaleda</t>
  </si>
  <si>
    <t>Coda Logistica Y Transportes</t>
  </si>
  <si>
    <t>EXTRUSIONES NACIONALES VESTA</t>
  </si>
  <si>
    <t>Fletes y Transportes Ruiz</t>
  </si>
  <si>
    <t>Entex de Mexico</t>
  </si>
  <si>
    <t>Almacenes Refrigerados Consolidados</t>
  </si>
  <si>
    <t>Grupo Corporativo Papelera</t>
  </si>
  <si>
    <t>Divetro</t>
  </si>
  <si>
    <t>Grupo Pavisa</t>
  </si>
  <si>
    <t>Bocar</t>
  </si>
  <si>
    <t>Prospect</t>
  </si>
  <si>
    <t>Account status</t>
  </si>
  <si>
    <t>NUTRISERVICIOS PECUARIOS</t>
  </si>
  <si>
    <t>Cubetas y Baños</t>
  </si>
  <si>
    <t>Frialsa</t>
  </si>
  <si>
    <t>Prinsel</t>
  </si>
  <si>
    <t>Ekin México</t>
  </si>
  <si>
    <t>CORPORATIVO SERYSI</t>
  </si>
  <si>
    <t>Grupo Marhnos</t>
  </si>
  <si>
    <t>Monsanto Comercial</t>
  </si>
  <si>
    <t>econoflete fletes y mudanzas</t>
  </si>
  <si>
    <t>MONTACARGAS GROUP SUPPLIES</t>
  </si>
  <si>
    <t>Olnatura</t>
  </si>
  <si>
    <t>Promotora Mexicana de Vehículos</t>
  </si>
  <si>
    <t>Mobinsa del Noroeste</t>
  </si>
  <si>
    <t>Grupo Altex</t>
  </si>
  <si>
    <t>Adidas de México</t>
  </si>
  <si>
    <t>Mercado Libre</t>
  </si>
  <si>
    <t>Grupo Aguaviento</t>
  </si>
  <si>
    <t>Avigrupo</t>
  </si>
  <si>
    <t>Red Ambiental</t>
  </si>
  <si>
    <t>Acegrapas Fifa</t>
  </si>
  <si>
    <t>Po Empaques Flexibles</t>
  </si>
  <si>
    <t>Aaacesa Almacenes Fiscalizados</t>
  </si>
  <si>
    <t>Centro De Ingenieria Avanzada En Turbomaquinas</t>
  </si>
  <si>
    <t>seguimiento</t>
  </si>
  <si>
    <t>Exportalizas Mexicanas</t>
  </si>
  <si>
    <t>Amaro Alimentos</t>
  </si>
  <si>
    <t>Derivados De Gasa</t>
  </si>
  <si>
    <t>Alcamare</t>
  </si>
  <si>
    <t>Usg México</t>
  </si>
  <si>
    <t>Electrónica y Medicina</t>
  </si>
  <si>
    <t>Compañía Arizlu</t>
  </si>
  <si>
    <t>Plastiexports</t>
  </si>
  <si>
    <t>Industrias Cazel</t>
  </si>
  <si>
    <t>Arbomex</t>
  </si>
  <si>
    <t>Copamex</t>
  </si>
  <si>
    <t>Granjero Feliz</t>
  </si>
  <si>
    <t>QUIROPRACTICA ROMA, S.C.</t>
  </si>
  <si>
    <t>Grupo Radiodifusoras</t>
  </si>
  <si>
    <t>Alimentos Preformados</t>
  </si>
  <si>
    <t>Ugasa</t>
  </si>
  <si>
    <t>GRUPO CASA MAZATLAN</t>
  </si>
  <si>
    <t>Unilever de México</t>
  </si>
  <si>
    <t>Intermet</t>
  </si>
  <si>
    <t>Osteomedica</t>
  </si>
  <si>
    <t>American Poly Del Norte</t>
  </si>
  <si>
    <t>Cloe Moda</t>
  </si>
  <si>
    <t>Distribuidora y Comercializadora Dcc</t>
  </si>
  <si>
    <t>Tiendas Tres B</t>
  </si>
  <si>
    <t>Anteus Constructora</t>
  </si>
  <si>
    <t>T Maquinaria</t>
  </si>
  <si>
    <t>Convertidora Gmv</t>
  </si>
  <si>
    <t>Corporación Dalton</t>
  </si>
  <si>
    <t>Grupo Materias Primas de México</t>
  </si>
  <si>
    <t>Plastirey</t>
  </si>
  <si>
    <t>Hifin Solution</t>
  </si>
  <si>
    <t>PROTEINAS KOTT</t>
  </si>
  <si>
    <t>Prefamovil Infraestructura</t>
  </si>
  <si>
    <t>Hospital Multimedica Norte</t>
  </si>
  <si>
    <t>Anfitriones Nacionales</t>
  </si>
  <si>
    <t>Valia Trading México</t>
  </si>
  <si>
    <t>DERMASSKIN</t>
  </si>
  <si>
    <t>Polyone de México</t>
  </si>
  <si>
    <t>Impresora Coyoacán</t>
  </si>
  <si>
    <t>Multibolsas Plasticas</t>
  </si>
  <si>
    <t>Dicipa</t>
  </si>
  <si>
    <t>Mad Arquitectura y Diseño</t>
  </si>
  <si>
    <t>Ciudad Maderas</t>
  </si>
  <si>
    <t>Carzor Group Hospital</t>
  </si>
  <si>
    <t>COMERCIALIZADORA HECAFI DEL SURESTE</t>
  </si>
  <si>
    <t>Alpla México</t>
  </si>
  <si>
    <t>Grupo Yadatex</t>
  </si>
  <si>
    <t>Litografía D Ortega</t>
  </si>
  <si>
    <t>EVENT EXPRESS</t>
  </si>
  <si>
    <t>Industrial Papelera San Luis</t>
  </si>
  <si>
    <t>Santoyo Gabinete Radiológico</t>
  </si>
  <si>
    <t>Minera Media Luna</t>
  </si>
  <si>
    <t>Laboratorios Virbac México</t>
  </si>
  <si>
    <t>Construcciones Perez y Gil</t>
  </si>
  <si>
    <t>Entretelas Brinco</t>
  </si>
  <si>
    <t>C3NTRO Telecom</t>
  </si>
  <si>
    <t>Mc Plasticos de México</t>
  </si>
  <si>
    <t>ASCEND INDUSTRIES</t>
  </si>
  <si>
    <t>Bustrain</t>
  </si>
  <si>
    <t>Cinépolis de México</t>
  </si>
  <si>
    <t>Logistics Interoceanica de Carga</t>
  </si>
  <si>
    <t>GLM Components México</t>
  </si>
  <si>
    <t>RDCM</t>
  </si>
  <si>
    <t>Rancho Santa Rita</t>
  </si>
  <si>
    <t>Vitalmex Internacional</t>
  </si>
  <si>
    <t>ISL TRANSPORTES</t>
  </si>
  <si>
    <t>Mota-Engil México</t>
  </si>
  <si>
    <t>Industrial Papelera Venus</t>
  </si>
  <si>
    <t>Servicios Troncalizados</t>
  </si>
  <si>
    <t>Grupo ESCAPHMEX</t>
  </si>
  <si>
    <t>LILIANA LIZETH LEON MARTINEZ</t>
  </si>
  <si>
    <t>Cementos del Bajio</t>
  </si>
  <si>
    <t>Packsys México</t>
  </si>
  <si>
    <t>Transportes Valbo</t>
  </si>
  <si>
    <t>Galia Textil</t>
  </si>
  <si>
    <t>Anguiplast</t>
  </si>
  <si>
    <t>Grupo Solave (Antes Mieles Campos Azules)</t>
  </si>
  <si>
    <t>Grupo Acerero</t>
  </si>
  <si>
    <t>Gim Grupo Industrial Mexicano</t>
  </si>
  <si>
    <t>Empacadora Campo Frío</t>
  </si>
  <si>
    <t>Franslux</t>
  </si>
  <si>
    <t>Productos Arpapel</t>
  </si>
  <si>
    <t>Empacadora San Marcos</t>
  </si>
  <si>
    <t>Productos Pecuarios Especializados</t>
  </si>
  <si>
    <t>Oleofinos</t>
  </si>
  <si>
    <t>Templados del Centro</t>
  </si>
  <si>
    <t>Grupo Empresarial BSV</t>
  </si>
  <si>
    <t>COMBUSTIBLES BENTAN</t>
  </si>
  <si>
    <t>CBH+ en Innovación Médica</t>
  </si>
  <si>
    <t>FUNDICION DE ALEACIONES METALURGICAS</t>
  </si>
  <si>
    <t>Productos Rich</t>
  </si>
  <si>
    <t>Comercializadora de Alimentos Ochoa</t>
  </si>
  <si>
    <t>IMPORTACIÓN DE MAQUINARIA PESADA DE ORIENTE</t>
  </si>
  <si>
    <t>Mercantil de Productos Morelos</t>
  </si>
  <si>
    <t>Aluminio de Baja California</t>
  </si>
  <si>
    <t>Middleby Worldwide Services</t>
  </si>
  <si>
    <t>Transportes Comandos Del Norte</t>
  </si>
  <si>
    <t>CAMOMO</t>
  </si>
  <si>
    <t>Membranas Plásticas Internacionales</t>
  </si>
  <si>
    <t>Proveedores De La Construccion</t>
  </si>
  <si>
    <t>Baja Idealease</t>
  </si>
  <si>
    <t>International De Baja California - Mexicali</t>
  </si>
  <si>
    <t>Laboratorio de Patología Quirúrgica y Citología de Puebla</t>
  </si>
  <si>
    <t>Constructora Cadena</t>
  </si>
  <si>
    <t>Gondi</t>
  </si>
  <si>
    <t>Dragados y Urbanizaciones Siglo 21</t>
  </si>
  <si>
    <t>Embotelladora El Jarocho</t>
  </si>
  <si>
    <t>Inox Market Messico</t>
  </si>
  <si>
    <t>Industrias Vinícolas Pedro Domeq</t>
  </si>
  <si>
    <t>ARN de Occidente</t>
  </si>
  <si>
    <t>Grupo Industrial Ortiz</t>
  </si>
  <si>
    <t>Grandes Impresiones</t>
  </si>
  <si>
    <t>Diebold Nixdorf</t>
  </si>
  <si>
    <t>Exsan de México</t>
  </si>
  <si>
    <t>CABCA Ingeniería y Servicios</t>
  </si>
  <si>
    <t>Send Letter/Quote</t>
  </si>
  <si>
    <t>Imaginación en Movimiento</t>
  </si>
  <si>
    <t>Fynotej</t>
  </si>
  <si>
    <t>Supplier City de Hermosillo</t>
  </si>
  <si>
    <t>Cervecería de Colima</t>
  </si>
  <si>
    <t>Transportes de Trailers Toluca</t>
  </si>
  <si>
    <t>Construmac</t>
  </si>
  <si>
    <t>Rota Impresos Nueva Galicia</t>
  </si>
  <si>
    <t>Productos De Plástico Carcal</t>
  </si>
  <si>
    <t>ACADEMIA CAPITAL</t>
  </si>
  <si>
    <t>Atco México</t>
  </si>
  <si>
    <t>Hospital Ingles</t>
  </si>
  <si>
    <t>Acuario Grupo Empresarial</t>
  </si>
  <si>
    <t>Celulares y Accesorios del Sureste S.A.</t>
  </si>
  <si>
    <t>Inversionistas En Autotransportes Mexicanos</t>
  </si>
  <si>
    <t>DIGICOPIAS</t>
  </si>
  <si>
    <t>Constructora Chufani</t>
  </si>
  <si>
    <t>LOGISTICA EMPRESARIAL SANMER</t>
  </si>
  <si>
    <t>Translogistics L&amp;M De Zacatecas</t>
  </si>
  <si>
    <t>Integradora De Servicios De Transportación Xihutec</t>
  </si>
  <si>
    <t>Kepler Constructora</t>
  </si>
  <si>
    <t>BEAUTY ARMOUR TRADING</t>
  </si>
  <si>
    <t>Account Status</t>
  </si>
  <si>
    <t>Alberto Lima</t>
  </si>
  <si>
    <t>COI Centro Oncológico Internacional</t>
  </si>
  <si>
    <t>Comercial de Mercancias y Servicios GERS</t>
  </si>
  <si>
    <t>Seguimiento nuevas disposiciones</t>
  </si>
  <si>
    <t>Autotransportes Tufesa</t>
  </si>
  <si>
    <t>AD 17 SOLUTIONS</t>
  </si>
  <si>
    <t>Lvmh Perfumes y Cosmeticos de México</t>
  </si>
  <si>
    <t>PROMAQUILA DE COCULA</t>
  </si>
  <si>
    <t>Metalistik</t>
  </si>
  <si>
    <t>Dsf Industrias</t>
  </si>
  <si>
    <t>Hdi Seguros</t>
  </si>
  <si>
    <t>Suministro para Uso Médico y Hospitalario</t>
  </si>
  <si>
    <t>Mueller Technoplastics de Mexico</t>
  </si>
  <si>
    <t>Auto Traf Toluca</t>
  </si>
  <si>
    <t>BE GRAND</t>
  </si>
  <si>
    <t>Desde El Corazon Del Fruto</t>
  </si>
  <si>
    <t>ALMACENADORA DE FIERRO Y METALES</t>
  </si>
  <si>
    <t>Maw Mexicana</t>
  </si>
  <si>
    <t>Empacadora La Merced</t>
  </si>
  <si>
    <t>Concretos Parma</t>
  </si>
  <si>
    <t>Mabe de México</t>
  </si>
  <si>
    <t>PACKLAB</t>
  </si>
  <si>
    <t>Nefi Aranda</t>
  </si>
  <si>
    <t>Daniel Moran</t>
  </si>
  <si>
    <t>MEXIPC</t>
  </si>
  <si>
    <t>ANOVA AMERICAS INTERNATIONAL COMPANY</t>
  </si>
  <si>
    <t>Armasel</t>
  </si>
  <si>
    <t>Integradoras de Granos de Numaran</t>
  </si>
  <si>
    <t>Aveymas</t>
  </si>
  <si>
    <t>Supra Desarrollos Tecnológicos</t>
  </si>
  <si>
    <t>FORTEX MFG</t>
  </si>
  <si>
    <t>Transportes Mexamerik</t>
  </si>
  <si>
    <t>Vikingo Autotransportes</t>
  </si>
  <si>
    <t>CGM Alimentos</t>
  </si>
  <si>
    <t>Grupo Abrego</t>
  </si>
  <si>
    <t>OPERADORA YAAN</t>
  </si>
  <si>
    <t>NORDEX ENERGY MEXICO</t>
  </si>
  <si>
    <t>GRUPO AGC INTERNACIONAL</t>
  </si>
  <si>
    <t>IRONSTAR MANUFACTURING</t>
  </si>
  <si>
    <t>Comercializadora De Valor Agregado</t>
  </si>
  <si>
    <t>Turísticos y Empresariales San José</t>
  </si>
  <si>
    <t>Pet De Occidente</t>
  </si>
  <si>
    <t>Aleatica</t>
  </si>
  <si>
    <t>LOGISTICA Y TRANSPORTES UBUNTU</t>
  </si>
  <si>
    <t>Grupo Funsam</t>
  </si>
  <si>
    <t>AQUA Exploración</t>
  </si>
  <si>
    <t>Grupo Tyg</t>
  </si>
  <si>
    <t>HellermannTyton</t>
  </si>
  <si>
    <t>EVOX México</t>
  </si>
  <si>
    <t>Absara Cosmetics</t>
  </si>
  <si>
    <t>Procesos Industriales Rymsa</t>
  </si>
  <si>
    <t>Productos Adex</t>
  </si>
  <si>
    <t>Corporativo Grupo Tampico</t>
  </si>
  <si>
    <t>Recuperadora y Maquiladora de Plásticos</t>
  </si>
  <si>
    <t>Parks Servicios</t>
  </si>
  <si>
    <t>Formas Eficientes</t>
  </si>
  <si>
    <t>Soltralog</t>
  </si>
  <si>
    <t>Grupo Viz</t>
  </si>
  <si>
    <t>Transportes Especializados Navarro</t>
  </si>
  <si>
    <t>PAQUETERIA Y MENSAJERIA MINERA</t>
  </si>
  <si>
    <t>Fartu</t>
  </si>
  <si>
    <t>Envases Plásticos Industriales De Guadalajara</t>
  </si>
  <si>
    <t>Merz Pharma</t>
  </si>
  <si>
    <t>Ta 2000</t>
  </si>
  <si>
    <t>Koprimo</t>
  </si>
  <si>
    <t>Pireos Power</t>
  </si>
  <si>
    <t>Carrier Transicold De Mexico</t>
  </si>
  <si>
    <t>A0 Skylum</t>
  </si>
  <si>
    <t>Grupo Rifel</t>
  </si>
  <si>
    <t>Industrial De Alimentos</t>
  </si>
  <si>
    <t>Copresa</t>
  </si>
  <si>
    <t>Natural de Alimentos</t>
  </si>
  <si>
    <t>Laboratorio Medico Polanco</t>
  </si>
  <si>
    <t>Gruas Del Norte</t>
  </si>
  <si>
    <t>APR Gruas y Logistica</t>
  </si>
  <si>
    <t>Ganaderos Asociados de Querétaro</t>
  </si>
  <si>
    <t>Watlow de México</t>
  </si>
  <si>
    <t>Astrollantas</t>
  </si>
  <si>
    <t>Pescados Industrializados</t>
  </si>
  <si>
    <t>Grupo Pinsa</t>
  </si>
  <si>
    <t>Montajes e Ingenierias  Sultana</t>
  </si>
  <si>
    <t>TS Trucking (Charger Logisitcs)</t>
  </si>
  <si>
    <t>KSMV Capital</t>
  </si>
  <si>
    <t>GP MAQUID</t>
  </si>
  <si>
    <t>Gómez Cuétara Hnos</t>
  </si>
  <si>
    <t>Republic Nail</t>
  </si>
  <si>
    <t>Galvaprime</t>
  </si>
  <si>
    <t>Tecnovidrio</t>
  </si>
  <si>
    <t>ECOLIMPIO SERVICIOS AMBIENTALES</t>
  </si>
  <si>
    <t>Boxer Ttl</t>
  </si>
  <si>
    <t>RICARNES BEEF</t>
  </si>
  <si>
    <t>SUPER FLAMA</t>
  </si>
  <si>
    <t>Landsteiner Scientific de México</t>
  </si>
  <si>
    <t>Sociedad Ecologica Mexicana del Norte</t>
  </si>
  <si>
    <t>FLORES IXTAPAN</t>
  </si>
  <si>
    <t>Integra Tableros y Gabinetes</t>
  </si>
  <si>
    <t>ITM PROJECTS S DE RL DE CV</t>
  </si>
  <si>
    <t>Waukesha Metal Products de México</t>
  </si>
  <si>
    <t>Mariana Cabrera</t>
  </si>
  <si>
    <t>Hospital San Javier</t>
  </si>
  <si>
    <t>Medica Sur</t>
  </si>
  <si>
    <t>Quarder de México</t>
  </si>
  <si>
    <t>Lactomark</t>
  </si>
  <si>
    <t>Aluprint</t>
  </si>
  <si>
    <t>Polibrisa de México</t>
  </si>
  <si>
    <t>Universidad Del Valle De Atemajac</t>
  </si>
  <si>
    <t>Grupo Esg</t>
  </si>
  <si>
    <t>Grupo Fox</t>
  </si>
  <si>
    <t>visita ocular</t>
  </si>
  <si>
    <t>Distribuidora Rodín</t>
  </si>
  <si>
    <t>Cosmocel</t>
  </si>
  <si>
    <t>Transportes Terrestres Novillero</t>
  </si>
  <si>
    <t>Grupo Maya Protección Personal Privada y Empresarial</t>
  </si>
  <si>
    <t>PICACHO GRUPO AUTOMOTRIZ</t>
  </si>
  <si>
    <t>Industrializadora Integral Del Agave</t>
  </si>
  <si>
    <t>Maderas y Complementos El Pino</t>
  </si>
  <si>
    <t>Interbur</t>
  </si>
  <si>
    <t>Servicios Integrales Nutmen</t>
  </si>
  <si>
    <t>Fgr Proyectos Integrales E Industriales</t>
  </si>
  <si>
    <t>PRODUCTOS CARNICOS MI GRANJITA</t>
  </si>
  <si>
    <t>Tecnovidrio | Engen</t>
  </si>
  <si>
    <t>Industrias Jlc</t>
  </si>
  <si>
    <t>F&amp;S MEXICO CORPORATION</t>
  </si>
  <si>
    <t>Grupo Imagen Medios De Comunicación</t>
  </si>
  <si>
    <t>Medivida</t>
  </si>
  <si>
    <t>LUXIDA GROUP</t>
  </si>
  <si>
    <t>Grupo Doble RR Agricultores</t>
  </si>
  <si>
    <t>ALIBACE NUTRICION</t>
  </si>
  <si>
    <t>Medios Publicitarios Exteriores</t>
  </si>
  <si>
    <t>Rancho Pecana Products</t>
  </si>
  <si>
    <t>Moto Galería</t>
  </si>
  <si>
    <t>Grupo Industrial L.M.</t>
  </si>
  <si>
    <t>Alpura</t>
  </si>
  <si>
    <t>Doka México Expertos de Encofrados</t>
  </si>
  <si>
    <t>Ultra Laboratorios</t>
  </si>
  <si>
    <t>Lm Transportaciones</t>
  </si>
  <si>
    <t>Naviera Armamex</t>
  </si>
  <si>
    <t>CICLO CORPORATIVO</t>
  </si>
  <si>
    <t>Transportes Comarca San Fermin</t>
  </si>
  <si>
    <t>Grupo Serrano</t>
  </si>
  <si>
    <t>Pasteleria Eliana</t>
  </si>
  <si>
    <t>GRUPO PECUARIO MARIA DE LOS ANGELES</t>
  </si>
  <si>
    <t>Fuerza en Traslado</t>
  </si>
  <si>
    <t>MERQ</t>
  </si>
  <si>
    <t>Textiles Santa Susana</t>
  </si>
  <si>
    <t>Cadrex</t>
  </si>
  <si>
    <t>JOCAMABA</t>
  </si>
  <si>
    <t>Tr Derivados De Maiz</t>
  </si>
  <si>
    <t>Dmarco tortillerias</t>
  </si>
  <si>
    <t>Multipap Moldeado</t>
  </si>
  <si>
    <t>Litoprocess</t>
  </si>
  <si>
    <t>IMAGENES MEDICAS</t>
  </si>
  <si>
    <t>SERVICIOS ESPECIALES GARCIA</t>
  </si>
  <si>
    <t>Grupo Etimex</t>
  </si>
  <si>
    <t>GENESIS SERVICIOS Y DESARROLLOS INMOBILIARIOS</t>
  </si>
  <si>
    <t>ARCILLAS INDUSTRIALES DE DURANGO</t>
  </si>
  <si>
    <t>La Coculense</t>
  </si>
  <si>
    <t>Berries Paradise</t>
  </si>
  <si>
    <t>TRANSPORTES NOGO</t>
  </si>
  <si>
    <t>Transportes Auto Tanques Ochoa</t>
  </si>
  <si>
    <t>Welldex Internacional</t>
  </si>
  <si>
    <t>Keymax Comercializadora</t>
  </si>
  <si>
    <t>Organitec</t>
  </si>
  <si>
    <t>Loplastic</t>
  </si>
  <si>
    <t>Basor México</t>
  </si>
  <si>
    <t>Aura Proyectos Sustentables</t>
  </si>
  <si>
    <t>Starplast México</t>
  </si>
  <si>
    <t>Bruluagsa</t>
  </si>
  <si>
    <t>Triturados Volcánicos de México</t>
  </si>
  <si>
    <t>ABA VALLES</t>
  </si>
  <si>
    <t>Abastecedora De Carnes San Gabriel</t>
  </si>
  <si>
    <t>Huella Litográfica</t>
  </si>
  <si>
    <t>Kenia Martinez</t>
  </si>
  <si>
    <t>Hospital Almater</t>
  </si>
  <si>
    <t>Reto Industrial</t>
  </si>
  <si>
    <t>SUFERRE DEL BAJIO</t>
  </si>
  <si>
    <t>Tubacero</t>
  </si>
  <si>
    <t>Fernando Woolfolk Carballo</t>
  </si>
  <si>
    <t>TRITURADOS ASFALTICOS DE TORREON</t>
  </si>
  <si>
    <t>Ambienta Tus Momentos</t>
  </si>
  <si>
    <t>HOSPICLEAN</t>
  </si>
  <si>
    <t>Pastelerías Neufeld</t>
  </si>
  <si>
    <t>Herramientas y Dispositivos Mecánicos</t>
  </si>
  <si>
    <t>Aleaciones y Metales Industriales de Saltillo</t>
  </si>
  <si>
    <t>Continental nutriments</t>
  </si>
  <si>
    <t>Bemis de México</t>
  </si>
  <si>
    <t>Gomsa Logistica Internacional</t>
  </si>
  <si>
    <t>Productora De Bocados Carnicos</t>
  </si>
  <si>
    <t>González Torres y Cía.</t>
  </si>
  <si>
    <t>Harinera De Sinaloa</t>
  </si>
  <si>
    <t>DESARROLLOS INTEGRALES MINEROS NEVAL</t>
  </si>
  <si>
    <t>La Anita Condimentos y Salsas</t>
  </si>
  <si>
    <t>Scania de México</t>
  </si>
  <si>
    <t>Syngenta Agro</t>
  </si>
  <si>
    <t>CRM SYNERGIES MÉXICO S.A. DE C.V.</t>
  </si>
  <si>
    <t>Regiomontana De Perfiles y Tubos</t>
  </si>
  <si>
    <t>PROCESADORA UOVO</t>
  </si>
  <si>
    <t>Industrial Pecuaria De Los Altos</t>
  </si>
  <si>
    <t>Ceiba de La Cuchilla</t>
  </si>
  <si>
    <t>Aditivos y Recubrimientos Técnicos</t>
  </si>
  <si>
    <t>Distribución y Logística Mac</t>
  </si>
  <si>
    <t>Grupo Caor</t>
  </si>
  <si>
    <t>Logística y Mantenimiento Zigma</t>
  </si>
  <si>
    <t>Samsung Electronics México</t>
  </si>
  <si>
    <t>Zato Construcciones</t>
  </si>
  <si>
    <t>ALGAS Y EXTRACTOS DEL PACIFICO NORTE AEP</t>
  </si>
  <si>
    <t>Arancia Industrial</t>
  </si>
  <si>
    <t>Empresa Mexicana De Manufacturas</t>
  </si>
  <si>
    <t>Industria Lechera De San Juan Del Rio</t>
  </si>
  <si>
    <t>Grupo Goyeo</t>
  </si>
  <si>
    <t>ALRETECH</t>
  </si>
  <si>
    <t>Karl Storz Endoscopia México</t>
  </si>
  <si>
    <t>Constructora Gusa</t>
  </si>
  <si>
    <t>Grupo Novaliv</t>
  </si>
  <si>
    <t>Autotransportes Frigorificos</t>
  </si>
  <si>
    <t>Renovación Urbana</t>
  </si>
  <si>
    <t>Grupo Andrade</t>
  </si>
  <si>
    <t>Grupo Piessa</t>
  </si>
  <si>
    <t>Hector Gracia Adame</t>
  </si>
  <si>
    <t>Ingeniería Tizayuca</t>
  </si>
  <si>
    <t>Miyazaki seiko de mexico</t>
  </si>
  <si>
    <t>Zion &amp; Ebenezer Technologies</t>
  </si>
  <si>
    <t>Daig Conduccion</t>
  </si>
  <si>
    <t>ALIMENTOS INTERNACIONAL MARLO</t>
  </si>
  <si>
    <t>Transportes OA</t>
  </si>
  <si>
    <t>FERBA TECNOLOGIA</t>
  </si>
  <si>
    <t>FLECOSA LOGISTIC</t>
  </si>
  <si>
    <t>Granjas Avicolas Rancho Grande</t>
  </si>
  <si>
    <t>Hari Masa</t>
  </si>
  <si>
    <t>COMAPLE México</t>
  </si>
  <si>
    <t>Chazki</t>
  </si>
  <si>
    <t>Carnival Lenceria</t>
  </si>
  <si>
    <t>Grupo Lala</t>
  </si>
  <si>
    <t>Climaproyectos</t>
  </si>
  <si>
    <t>Carnival de México</t>
  </si>
  <si>
    <t>Luis Jorge De Loera Pérez</t>
  </si>
  <si>
    <t>Grupo Empaque Roquin</t>
  </si>
  <si>
    <t>New New</t>
  </si>
  <si>
    <t>Embalajes Industriales del pino</t>
  </si>
  <si>
    <t>Emicol de México</t>
  </si>
  <si>
    <t>Papalotes Felizardo Elizondo Guajardo</t>
  </si>
  <si>
    <t>CORTEZ SEA FOOD</t>
  </si>
  <si>
    <t>Instapouch</t>
  </si>
  <si>
    <t>PULPISSIMO</t>
  </si>
  <si>
    <t>MOZ AGENCIA ADUANALES DE MANZANILLO</t>
  </si>
  <si>
    <t>Veolus Energia yGestion Tecnica</t>
  </si>
  <si>
    <t>Timoteo Hernández Arteaga</t>
  </si>
  <si>
    <t>Peri Cimbras y Andamios</t>
  </si>
  <si>
    <t>MAQUINARIA VARUSA DEL BAJIO</t>
  </si>
  <si>
    <t>MINERALES INGUARAN</t>
  </si>
  <si>
    <t>GRUPO CIMA</t>
  </si>
  <si>
    <t>Lactoproductos La Loma</t>
  </si>
  <si>
    <t>GRUPO PAPER GREEN</t>
  </si>
  <si>
    <t>Juan Rosas</t>
  </si>
  <si>
    <t>DIBAR NUTRICIONAL</t>
  </si>
  <si>
    <t>Basurama</t>
  </si>
  <si>
    <t>Concretos Tancol</t>
  </si>
  <si>
    <t>SUKARGA</t>
  </si>
  <si>
    <t>Harinera Anahuac</t>
  </si>
  <si>
    <t>ELASTOMEROS TAZA</t>
  </si>
  <si>
    <t>Grupo Industrial Kosmos</t>
  </si>
  <si>
    <t>Grupo Metalmecanico Güemes</t>
  </si>
  <si>
    <t>Servicios Aéreos Across</t>
  </si>
  <si>
    <t>Grupo Verzatec</t>
  </si>
  <si>
    <t>Drager Medical México</t>
  </si>
  <si>
    <t>LEGUMBRES FRESCAS DE PUEBLA</t>
  </si>
  <si>
    <t>Team Foods Mexico</t>
  </si>
  <si>
    <t>Envases Plasticos la Vaca</t>
  </si>
  <si>
    <t>Desarrolladora de Energía Global</t>
  </si>
  <si>
    <t>Bestop</t>
  </si>
  <si>
    <t>Fundidos Y Componentes</t>
  </si>
  <si>
    <t>United Parcel Service de México</t>
  </si>
  <si>
    <t>Hacienda de Oro</t>
  </si>
  <si>
    <t>Industrias Tuzagreen</t>
  </si>
  <si>
    <t>Comercializadora de granos licona</t>
  </si>
  <si>
    <t>Presentación de propuesta</t>
  </si>
  <si>
    <t>IkkiDost Fruits</t>
  </si>
  <si>
    <t>revision de proyectos</t>
  </si>
  <si>
    <t>UNIVERSAL WIPES</t>
  </si>
  <si>
    <t>VALMER PAQUETERÍA Y MENSAJERÍA</t>
  </si>
  <si>
    <t>Plexa Poliestirenos Expandidos Mexicanos</t>
  </si>
  <si>
    <t>laboratorio de análisis clínico Gama</t>
  </si>
  <si>
    <t>Grupo Plastikrom</t>
  </si>
  <si>
    <t>NOVEM MEDICAL</t>
  </si>
  <si>
    <t>Cayco Construcción</t>
  </si>
  <si>
    <t>Rodillos y Maquinados</t>
  </si>
  <si>
    <t>MATERIALES Y BLOCKERA ARAMBURO</t>
  </si>
  <si>
    <t>Fisacero</t>
  </si>
  <si>
    <t>Sumacasa</t>
  </si>
  <si>
    <t>Grupo Gepp</t>
  </si>
  <si>
    <t>Pma Productos Metalicos y Acrilicos</t>
  </si>
  <si>
    <t>Alimentos Finos Del Norte</t>
  </si>
  <si>
    <t>Montacargas y Equipamiento Industrial FIVI</t>
  </si>
  <si>
    <t>BRASIMEX MADERAS Y EMBALAJES</t>
  </si>
  <si>
    <t>Corporativo Hospital Satélite</t>
  </si>
  <si>
    <t>Juan Pablo Ybarra Palafox</t>
  </si>
  <si>
    <t>Inosan Biopharma</t>
  </si>
  <si>
    <t>Ferrogranos</t>
  </si>
  <si>
    <t>GRUPO SURMAN</t>
  </si>
  <si>
    <t>Compañia Impresora Especializada</t>
  </si>
  <si>
    <t>MINERALES RIO ROMA</t>
  </si>
  <si>
    <t>Alianza Estratégica Portuaria</t>
  </si>
  <si>
    <t>Logística Multimodal Especializada</t>
  </si>
  <si>
    <t>NNA DEVELOPMENTS</t>
  </si>
  <si>
    <t>EQUIPAMIENTO VEHICULAR MEXICO</t>
  </si>
  <si>
    <t>Fastpack Industrial</t>
  </si>
  <si>
    <t>Transformaciones y servicios metalúrgicos</t>
  </si>
  <si>
    <t>Medtronic México</t>
  </si>
  <si>
    <t>Construcciones Rotter</t>
  </si>
  <si>
    <t>Asientos Prestige &amp; Comfort</t>
  </si>
  <si>
    <t>La Azteca Construcciones y Urbanizaciones</t>
  </si>
  <si>
    <t>Equipos de Biomedicina de México</t>
  </si>
  <si>
    <t>Agroservicios la Trinidad</t>
  </si>
  <si>
    <t>Rodrigo Niño</t>
  </si>
  <si>
    <t>Merit Technologies Worldwide</t>
  </si>
  <si>
    <t>Adhesivos San Cruz</t>
  </si>
  <si>
    <t>Chg hospitales</t>
  </si>
  <si>
    <t>Galdisa</t>
  </si>
  <si>
    <t>Agroindustrias Galdisa</t>
  </si>
  <si>
    <t>DEMAAR NORTH WEST FOOD TRADE</t>
  </si>
  <si>
    <t>Pescados Envasados de Sinaloa</t>
  </si>
  <si>
    <t>Smyle Clean</t>
  </si>
  <si>
    <t>Servicios Integrales Alhec</t>
  </si>
  <si>
    <t>Distribuidora del Pastelero</t>
  </si>
  <si>
    <t>Ricap</t>
  </si>
  <si>
    <t>Tradeg Consulting Services</t>
  </si>
  <si>
    <t>Concretos Union</t>
  </si>
  <si>
    <t>ARMAMPET</t>
  </si>
  <si>
    <t>PRINCER</t>
  </si>
  <si>
    <t>Rodrigo Velazquez</t>
  </si>
  <si>
    <t>VECSMA</t>
  </si>
  <si>
    <t>Bash Ingenieria</t>
  </si>
  <si>
    <t>GRUAS Y TRANSPORTES RENTERIA</t>
  </si>
  <si>
    <t>Providence Plastics</t>
  </si>
  <si>
    <t>Criogas</t>
  </si>
  <si>
    <t>Servicios en Cemento y Concreto SECEYCO</t>
  </si>
  <si>
    <t>Union Veracruzana</t>
  </si>
  <si>
    <t>BOLTRONIC</t>
  </si>
  <si>
    <t>Imagen Cosmetica</t>
  </si>
  <si>
    <t>Comercializadora Marlet</t>
  </si>
  <si>
    <t>Corporación CLC Solutions</t>
  </si>
  <si>
    <t>Fabrica De Harinas Elizondo</t>
  </si>
  <si>
    <t>ESCAPARATES Y DISPLAYS DE MÉXICO S.A. DE C.V.</t>
  </si>
  <si>
    <t>Grupo Zaragoza</t>
  </si>
  <si>
    <t>Industrias Proacero Monterrey</t>
  </si>
  <si>
    <t>CAPIX LEASING</t>
  </si>
  <si>
    <t>H&amp;G MORELS SERVICIOS Y SUMINISTROS INTEGRALES</t>
  </si>
  <si>
    <t>Agroproducto Diazteca</t>
  </si>
  <si>
    <t>Luca Mining</t>
  </si>
  <si>
    <t>Owner de la cuenta</t>
  </si>
  <si>
    <t>Validación Owner-Cuenta-Cita</t>
  </si>
  <si>
    <t>TRAPIKA</t>
  </si>
  <si>
    <t>Caabsa</t>
  </si>
  <si>
    <t>Transporte de Personal Tours Ejecutivos</t>
  </si>
  <si>
    <t>INDUSTRIAL MINERA SINALOA</t>
  </si>
  <si>
    <t>Autotransportes Dast</t>
  </si>
  <si>
    <t>Big Low Boy</t>
  </si>
  <si>
    <t>Itzcoatl Drilling &amp; Services</t>
  </si>
  <si>
    <t>Mauricio Ortiz</t>
  </si>
  <si>
    <t>Gracida Equipos Magnéticos</t>
  </si>
  <si>
    <t>SOLUCIONES ENERGÉTICAS JEA</t>
  </si>
  <si>
    <t>SRNS LATINOAMERICA</t>
  </si>
  <si>
    <t>Rentom</t>
  </si>
  <si>
    <t>Regiocolor Impresores</t>
  </si>
  <si>
    <t>Casa De Música De Luxe</t>
  </si>
  <si>
    <t>Christian Gamboa</t>
  </si>
  <si>
    <t>Black Development Group</t>
  </si>
  <si>
    <t>Rubio Pharma y Asociados</t>
  </si>
  <si>
    <t>TDA Telecomunicaciones</t>
  </si>
  <si>
    <t>Evoluciona Comunicaciones</t>
  </si>
  <si>
    <t>Formerra</t>
  </si>
  <si>
    <t>El Tomate de Oro</t>
  </si>
  <si>
    <t>AGRO SOIL DE MEXICO</t>
  </si>
  <si>
    <t>Industria de Alimentos Nutriwell</t>
  </si>
  <si>
    <t>Aplicaciones Industriales De Calidad</t>
  </si>
  <si>
    <t>GRUPO DE INYECCION IMG</t>
  </si>
  <si>
    <t>TRITURADOS Y PREMEZCLADOS DE AGUASCALIENTES</t>
  </si>
  <si>
    <t>Industrias Corrubox</t>
  </si>
  <si>
    <t>Seguimiento CAPEX 2025</t>
  </si>
  <si>
    <t>instalaciones e ingenierias industriales</t>
  </si>
  <si>
    <t>Old School Spirits</t>
  </si>
  <si>
    <t>SOCIEDAD DE PRODUCTORES DE LOS HERMANOS WIEBE</t>
  </si>
  <si>
    <t>Madin Impresores</t>
  </si>
  <si>
    <t>Meccano de México</t>
  </si>
  <si>
    <t>SOLUCONTROL Y PROYECTOS</t>
  </si>
  <si>
    <t>Productos Santa Ofelia</t>
  </si>
  <si>
    <t>Kensa Logistics México</t>
  </si>
  <si>
    <t>ACCIONA INFRAESTRUCTURAS MÉXICO</t>
  </si>
  <si>
    <t>Avo Rico Export</t>
  </si>
  <si>
    <t>Ecoshell</t>
  </si>
  <si>
    <t>Simon Electrica</t>
  </si>
  <si>
    <t>Grupo Maranik</t>
  </si>
  <si>
    <t>Supollo</t>
  </si>
  <si>
    <t>Transportes Privados De Guaymas</t>
  </si>
  <si>
    <t>SPRAY PERFECT</t>
  </si>
  <si>
    <t>Engie México</t>
  </si>
  <si>
    <t>Tecnomec Agricola</t>
  </si>
  <si>
    <t>Convergint</t>
  </si>
  <si>
    <t>Tagar Maquinaria</t>
  </si>
  <si>
    <t>PLASTINDEMEX</t>
  </si>
  <si>
    <t>ARAUCO INDUSTRIA DE MÉXICO</t>
  </si>
  <si>
    <t>BOMAQ</t>
  </si>
  <si>
    <t>Marco Lopez</t>
  </si>
  <si>
    <t>Patricia Jurado</t>
  </si>
  <si>
    <t>Endomédica</t>
  </si>
  <si>
    <t>Sistemas y Equipos Procesadores de Efectivo</t>
  </si>
  <si>
    <t>Fletes Industriales Mexicanos</t>
  </si>
  <si>
    <t>SYB Schmitt</t>
  </si>
  <si>
    <t>Tiba México</t>
  </si>
  <si>
    <t>Miland steel solutions</t>
  </si>
  <si>
    <t>viajes azteca de oro</t>
  </si>
  <si>
    <t>HOSPITAL PUERTA DE HIERRO SUR</t>
  </si>
  <si>
    <t>Centro de Cirugía Avanzada Siglo XXI</t>
  </si>
  <si>
    <t>Instacar</t>
  </si>
  <si>
    <t>Medical Scope</t>
  </si>
  <si>
    <t>Bulkmatic de México</t>
  </si>
  <si>
    <t>PROCESADORA DE CARBONATO DE CALCIO</t>
  </si>
  <si>
    <t>Aceros innova</t>
  </si>
  <si>
    <t>Ikano Group</t>
  </si>
  <si>
    <t>Productora y Distribuidora de frutos de Invernadero Hermanos Cortes</t>
  </si>
  <si>
    <t>Elaboradora De Alimentos Pachuca</t>
  </si>
  <si>
    <t>Edyen</t>
  </si>
  <si>
    <t>Ian Mendo</t>
  </si>
  <si>
    <t>Tecnología en Compresión Rex</t>
  </si>
  <si>
    <t>Reciclados Plásticos Alvarado</t>
  </si>
  <si>
    <t>MAQUINASIA LATAM</t>
  </si>
  <si>
    <t>Alta Cultura Empresarial De México</t>
  </si>
  <si>
    <t>Inamex De Cerveza y Malta</t>
  </si>
  <si>
    <t>Attached Solutions de México</t>
  </si>
  <si>
    <t>Plasticos Y Alambres Rogama</t>
  </si>
  <si>
    <t>Procesadora de alimentos El Bravo</t>
  </si>
  <si>
    <t>2box market</t>
  </si>
  <si>
    <t>Transportes Azalem</t>
  </si>
  <si>
    <t>PALETS, EMPAQUES Y EMBALAJES</t>
  </si>
  <si>
    <t>PJ TRAILERS COMPANY</t>
  </si>
  <si>
    <t>Buscando Oportunidades de Negocio</t>
  </si>
  <si>
    <t>Grupo Vallas</t>
  </si>
  <si>
    <t>Grupo Turbofin</t>
  </si>
  <si>
    <t>Diagnostico México Americano de Culiacán</t>
  </si>
  <si>
    <t>Ricardo Moreno</t>
  </si>
  <si>
    <t>INDAMEX Industrializadora de Alimentos Mexicanos</t>
  </si>
  <si>
    <t>Laboratorios Vanquish</t>
  </si>
  <si>
    <t>Sodequim</t>
  </si>
  <si>
    <t>Ilas México</t>
  </si>
  <si>
    <t>Tramusa Carrier de Mexico</t>
  </si>
  <si>
    <t>Transporte y logística mexicana</t>
  </si>
  <si>
    <t>Laminados Extruidos Plásticos</t>
  </si>
  <si>
    <t>Eyasa</t>
  </si>
  <si>
    <t>Operbus</t>
  </si>
  <si>
    <t>Celupal Internacional</t>
  </si>
  <si>
    <t>Kold Roll De Monterrey</t>
  </si>
  <si>
    <t>Sistemas de Empaque Industrial</t>
  </si>
  <si>
    <t>Jocar Eléctrica Integral</t>
  </si>
  <si>
    <t>impulsora de bienes alameda</t>
  </si>
  <si>
    <t>Puratos de México</t>
  </si>
  <si>
    <t>Grupo Comercial YAAVS</t>
  </si>
  <si>
    <t>Sistemas Automotrices de México</t>
  </si>
  <si>
    <t>Quimmco</t>
  </si>
  <si>
    <t>GRUPO OFFSET MONTERREY</t>
  </si>
  <si>
    <t>Acumuladores Omega</t>
  </si>
  <si>
    <t>Litográfica Puan</t>
  </si>
  <si>
    <t>Inmobiliaria Lorhnos</t>
  </si>
  <si>
    <t>ELH Infraestructura</t>
  </si>
  <si>
    <t>Visita de seguimiento</t>
  </si>
  <si>
    <t>Abraham Mejia</t>
  </si>
  <si>
    <t>Gruas Zavala</t>
  </si>
  <si>
    <t>Agro González</t>
  </si>
  <si>
    <t>Grupo Quimisor</t>
  </si>
  <si>
    <t>Distribuidora De Concretos Mxl</t>
  </si>
  <si>
    <t>Hortali Grow</t>
  </si>
  <si>
    <t>Cox Energy</t>
  </si>
  <si>
    <t>Seguimiento Propuesta</t>
  </si>
  <si>
    <t>Arcelormittal</t>
  </si>
  <si>
    <t>ISI Automotive de México</t>
  </si>
  <si>
    <t>Oxigeno y Acetileno</t>
  </si>
  <si>
    <t>Ferrero de México</t>
  </si>
  <si>
    <t>Concretos MJ</t>
  </si>
  <si>
    <t>MONTAJES INDUSTRIALES MYCA</t>
  </si>
  <si>
    <t>Transportes Bonampak</t>
  </si>
  <si>
    <t>HACHE TRANSPORTES TRC</t>
  </si>
  <si>
    <t>Cajas Plegadizas de Occidente</t>
  </si>
  <si>
    <t>Ingenio El Molino</t>
  </si>
  <si>
    <t>Bruker Mexicana</t>
  </si>
  <si>
    <t>GRUPO LOGISTICO GUCOR</t>
  </si>
  <si>
    <t>Alimentos Marinos y Agropecuarios</t>
  </si>
  <si>
    <t>Agricenter zevilla</t>
  </si>
  <si>
    <t>Holguin Foods</t>
  </si>
  <si>
    <t>Alimentos BAAB</t>
  </si>
  <si>
    <t>Proautomation</t>
  </si>
  <si>
    <t>Transportes Degam</t>
  </si>
  <si>
    <t>EMPAQUES 4F</t>
  </si>
  <si>
    <t>Ingeniería y Construcciones Sabodepa</t>
  </si>
  <si>
    <t>Enviopack Mexico</t>
  </si>
  <si>
    <t>Cremería Del Yaqui</t>
  </si>
  <si>
    <t>Lácteos Mojica</t>
  </si>
  <si>
    <t>XIMPLE Logistics</t>
  </si>
  <si>
    <t>Advanced Montacargas</t>
  </si>
  <si>
    <t>Vita Valley Foods</t>
  </si>
  <si>
    <t>Aleaciones Dentales Zeyco</t>
  </si>
  <si>
    <t>DLR Autotransportes</t>
  </si>
  <si>
    <t>Comercializadora de Plásticos de Alta Calidad</t>
  </si>
  <si>
    <t>Igsa</t>
  </si>
  <si>
    <t>Tequilera Tap</t>
  </si>
  <si>
    <t>Terramex Transporte Y Logística</t>
  </si>
  <si>
    <t>Gutiérrez Automotores</t>
  </si>
  <si>
    <t>INMOBILIARIA THH</t>
  </si>
  <si>
    <t>Ronal Mexicana</t>
  </si>
  <si>
    <t>SISA&amp;AUT</t>
  </si>
  <si>
    <t>SUMINISTRO DE ESPECIALIDADES</t>
  </si>
  <si>
    <t>International Metals de México</t>
  </si>
  <si>
    <t>Nexxus Harvest</t>
  </si>
  <si>
    <t>CAMPO HASS</t>
  </si>
  <si>
    <t>Cajas De Carton Sultana</t>
  </si>
  <si>
    <t>Distribución y Logística La Palma</t>
  </si>
  <si>
    <t>SURTIDORA MEDICA DE OCCIDENTE</t>
  </si>
  <si>
    <t>Alvajal Equipos y Servicios</t>
  </si>
  <si>
    <t>Centro de Reciclaje de Altiplano</t>
  </si>
  <si>
    <t>Hi-Tec Medical</t>
  </si>
  <si>
    <t>Rhino Express</t>
  </si>
  <si>
    <t>Lumicolor Equipo Eléctrico Industrial</t>
  </si>
  <si>
    <t>CARBOMET</t>
  </si>
  <si>
    <t>PROCUREMENT PROFESIONAL MEDICAL SERVICES</t>
  </si>
  <si>
    <t>Resolver dudas Riesgo</t>
  </si>
  <si>
    <t>Aselec Electricidad</t>
  </si>
  <si>
    <t>Ocean Leader</t>
  </si>
  <si>
    <t>Peal México</t>
  </si>
  <si>
    <t>Nb Foods</t>
  </si>
  <si>
    <t>Seguimiento Fleet 2025</t>
  </si>
  <si>
    <t>Pilgrims Pride</t>
  </si>
  <si>
    <t>EMM Home and Personal Care</t>
  </si>
  <si>
    <t>Steelex Estruturas Metálicas</t>
  </si>
  <si>
    <t>Asesoria Y Diseño Mecanico</t>
  </si>
  <si>
    <t>EMPACADORA GRUMA DEL SURESTE</t>
  </si>
  <si>
    <t>ZAGAPHARM</t>
  </si>
  <si>
    <t>Presentacion Factoraje Engen</t>
  </si>
  <si>
    <t>Safer Journeys</t>
  </si>
  <si>
    <t>Secure Nextgen Systems</t>
  </si>
  <si>
    <t>ROBERT BOSCH MEXICO SISTEMAS DE FRENOS</t>
  </si>
  <si>
    <t>Productos Agricolas y Forestales de Chihuahua</t>
  </si>
  <si>
    <t>Proin Laguna</t>
  </si>
  <si>
    <t>Grupo Jumex</t>
  </si>
  <si>
    <t>Vanrenta</t>
  </si>
  <si>
    <t>Naviera Hamar</t>
  </si>
  <si>
    <t>Manufacturera De Cigueñales de México</t>
  </si>
  <si>
    <t>Savare Medika</t>
  </si>
  <si>
    <t>Factoraje</t>
  </si>
  <si>
    <t>Star Médica</t>
  </si>
  <si>
    <t>Autotransportes Cova</t>
  </si>
  <si>
    <t>Aceros Industriales Tuvace</t>
  </si>
  <si>
    <t>AUTO TRANSPORTES 3REYES</t>
  </si>
  <si>
    <t>Pastas Alimenticias Laziali</t>
  </si>
  <si>
    <t>Microcart</t>
  </si>
  <si>
    <t>FGR Ingeniería y Montajes del Centro</t>
  </si>
  <si>
    <t>CLINICA IMATEK IMAGEN Y LABORATORIO</t>
  </si>
  <si>
    <t>Constructora Makro</t>
  </si>
  <si>
    <t>JDA STUDIO</t>
  </si>
  <si>
    <t>Exel Servigrafica</t>
  </si>
  <si>
    <t>RIVERFARMA</t>
  </si>
  <si>
    <t>Deposito de Contenedores Mopsa</t>
  </si>
  <si>
    <t>Sistemas Integrales para el Transporte</t>
  </si>
  <si>
    <t>Lerma Garcia Transportes</t>
  </si>
  <si>
    <t>Logística Express La Bufa</t>
  </si>
  <si>
    <t>Estado de México</t>
  </si>
  <si>
    <t>Estado</t>
  </si>
  <si>
    <t>Josue Olvera</t>
  </si>
  <si>
    <t>OPERADORA DE SERVICIOS TERRESTRES EL EDEN</t>
  </si>
  <si>
    <t>Estructurados Core</t>
  </si>
  <si>
    <t>Productos Alimenticios Cardin</t>
  </si>
  <si>
    <t>Vadifar</t>
  </si>
  <si>
    <t>Grupo cardín</t>
  </si>
  <si>
    <t>Universidad Anahuac Del Sur</t>
  </si>
  <si>
    <t>distribuidores de cerdos la libertad</t>
  </si>
  <si>
    <t>Doctoralia México</t>
  </si>
  <si>
    <t>TRBL</t>
  </si>
  <si>
    <t>GASOLINERA Y SERVICIOS DE LA CRUZ</t>
  </si>
  <si>
    <t>Autotransportes Pilot</t>
  </si>
  <si>
    <t>Compania De Transportes Nacionales Vim</t>
  </si>
  <si>
    <t>Comercializadora Fibrasan</t>
  </si>
  <si>
    <t>OCA ENSAYOS, INSPECCIÓN Y CERTIFICACIONES MÉXICO</t>
  </si>
  <si>
    <t>Grupo Agropecuario Integral AGROPRO</t>
  </si>
  <si>
    <t>RLH Properties</t>
  </si>
  <si>
    <t>Metalium industries</t>
  </si>
  <si>
    <t>Meeting - Factoraje</t>
  </si>
  <si>
    <t>Cita New</t>
  </si>
  <si>
    <t>H2e Mexico</t>
  </si>
  <si>
    <t>Distribuidora de Dulces NIla</t>
  </si>
  <si>
    <t>Libra Logistica</t>
  </si>
  <si>
    <t>Opl Logística de Valle de México</t>
  </si>
  <si>
    <t>Gurpa</t>
  </si>
  <si>
    <t>CITA NEW</t>
  </si>
  <si>
    <t>Karivandy</t>
  </si>
  <si>
    <t>SHELL PRIDE DE MEXICO</t>
  </si>
  <si>
    <t>Lacteos Montealban</t>
  </si>
  <si>
    <t>Gruas Alpha</t>
  </si>
  <si>
    <t>Prestadora de Servicios Alencastre</t>
  </si>
  <si>
    <t>Dynamo Fletes y Servicios</t>
  </si>
  <si>
    <t>Quimica Sagal</t>
  </si>
  <si>
    <t>Moti Digital</t>
  </si>
  <si>
    <t>Trebotti</t>
  </si>
  <si>
    <t>Postes De Alumbrado y Señalamiento</t>
  </si>
  <si>
    <t>Master Drilling México</t>
  </si>
  <si>
    <t>Transportes México Laguna</t>
  </si>
  <si>
    <t>Servicios Especiales Martinez Chavarria García</t>
  </si>
  <si>
    <t>A&amp;H Creations</t>
  </si>
  <si>
    <t>Pakmail Centro Logístico</t>
  </si>
  <si>
    <t>Promotora y comercializadora de parafinas</t>
  </si>
  <si>
    <t>Grupo Gusi</t>
  </si>
  <si>
    <t>Inmobiliaria Desercom</t>
  </si>
  <si>
    <t>Eduardo Rosales Barraza</t>
  </si>
  <si>
    <t>CITA PRESENCIAL</t>
  </si>
  <si>
    <t>Plásticos Alica</t>
  </si>
  <si>
    <t>Baja Gas and Oil Transportes</t>
  </si>
  <si>
    <t>Procesadora y Comercializadora Conagro</t>
  </si>
  <si>
    <t>Chantilly</t>
  </si>
  <si>
    <t>PRAVINOR</t>
  </si>
  <si>
    <t>Grupo J. Noriega y Asociados</t>
  </si>
  <si>
    <t>Maquinaria y Tractores de Morelos</t>
  </si>
  <si>
    <t>cita presencial</t>
  </si>
  <si>
    <t>INMOBILIARIA JACAME</t>
  </si>
  <si>
    <t>Grupo Amaya Astron</t>
  </si>
  <si>
    <t>Maiz Edificaciones</t>
  </si>
  <si>
    <t>Ultraorganics Worlwide</t>
  </si>
  <si>
    <t>Vsl Corporation México</t>
  </si>
  <si>
    <t>Rittal</t>
  </si>
  <si>
    <t>COMERCIALIZADORA CANO FRESH</t>
  </si>
  <si>
    <t>Somi Transportes</t>
  </si>
  <si>
    <t>CONSEJO REGULADOR DEL TEQUILA</t>
  </si>
  <si>
    <t>Mega Label</t>
  </si>
  <si>
    <t>Alvaro de Garay</t>
  </si>
  <si>
    <t>TRANSPORTES LACTEOS DEL NORTE</t>
  </si>
  <si>
    <t>Rotainers Logistics</t>
  </si>
  <si>
    <t>Polimeros Nacionales</t>
  </si>
  <si>
    <t>Soluciones de Movilidad Terreste</t>
  </si>
  <si>
    <t>Especialidades Troqueladas</t>
  </si>
  <si>
    <t>DICOM Fresnillo</t>
  </si>
  <si>
    <t>Grupo las Américas</t>
  </si>
  <si>
    <t>Lyncott Alimentaria</t>
  </si>
  <si>
    <t>Grupo Gazpro</t>
  </si>
  <si>
    <t>Jesus Abraham Hernandez Castillo</t>
  </si>
  <si>
    <t>Recubrimientos Plásticos</t>
  </si>
  <si>
    <t>Transportadora de Culiacan</t>
  </si>
  <si>
    <t>Grupo Alerta</t>
  </si>
  <si>
    <t>Grupo Garza Ponce</t>
  </si>
  <si>
    <t>Constructodo de Juárez</t>
  </si>
  <si>
    <t>Productos Zam-Fre</t>
  </si>
  <si>
    <t>Sazón Natural (Genaro Robles Serrano) (Persona Física)</t>
  </si>
  <si>
    <t>Refrigerados Maverick</t>
  </si>
  <si>
    <t>INGENIERIA METALICA Y PLASTICA DE MEXICO</t>
  </si>
  <si>
    <t>NOGAB COMERCE COMPANY</t>
  </si>
  <si>
    <t>Empresas L.M.</t>
  </si>
  <si>
    <t>COMERCIALIZADORA EL SURCO</t>
  </si>
  <si>
    <t>Grupo Vazol (Grupo Empresarial Angeles)</t>
  </si>
  <si>
    <t>Sustenta Polymers</t>
  </si>
  <si>
    <t>Industrializadora De Prod. Lácteos Y Derivados Los Cuates</t>
  </si>
  <si>
    <t>Semaqsa</t>
  </si>
  <si>
    <t>SP MANUFACTURAS</t>
  </si>
  <si>
    <t>Ciudad de México</t>
  </si>
  <si>
    <t>Nuevo León</t>
  </si>
  <si>
    <t>COMERCIALIZADORA MAYORISTA DEL GOLFO</t>
  </si>
  <si>
    <t>Salci</t>
  </si>
  <si>
    <t>Agroalimentos Fresh Harvest</t>
  </si>
  <si>
    <t>Grupo Regio Cal</t>
  </si>
  <si>
    <t>LANDMARK FBC</t>
  </si>
  <si>
    <t>Kante Industries</t>
  </si>
  <si>
    <t>Distribuidora Springhouse</t>
  </si>
  <si>
    <t>Suministros Básicos Industriales</t>
  </si>
  <si>
    <t>Alimentos Saludables Valle</t>
  </si>
  <si>
    <t>Saint-Gobain México</t>
  </si>
  <si>
    <t>ESPACIO CEP</t>
  </si>
  <si>
    <t>Utility Trailers de México</t>
  </si>
  <si>
    <t>Grupo GET</t>
  </si>
  <si>
    <t>Equipar</t>
  </si>
  <si>
    <t>EL ZAR DE LA LIMPIEZA, ARTICULOS &amp; SERVICIOS</t>
  </si>
  <si>
    <t>Frysa Manufacturas</t>
  </si>
  <si>
    <t>Sigpack (En frío)</t>
  </si>
  <si>
    <t>Cristacurva</t>
  </si>
  <si>
    <t>Transportes Unidos Tampiqueños</t>
  </si>
  <si>
    <t>Nutriwell | Engen  [En persona]</t>
  </si>
  <si>
    <t>Servicios y Reparaciones LYP</t>
  </si>
  <si>
    <t>SUSANA LEDESMA PEREZ</t>
  </si>
  <si>
    <t>Dogo</t>
  </si>
  <si>
    <t>Erich Jaeger México</t>
  </si>
  <si>
    <t>Grupo Regional Santa Fé</t>
  </si>
  <si>
    <t>TITAN ESTRUCTURAS Y CIMENTACION</t>
  </si>
  <si>
    <t>conferencia</t>
  </si>
  <si>
    <t>Maverick Express Carriers</t>
  </si>
  <si>
    <t>ATENTO | ENGEN [En persona]</t>
  </si>
  <si>
    <t>ENERGIAS RENOVABLES EXACTA</t>
  </si>
  <si>
    <t>Grupo Minco</t>
  </si>
  <si>
    <t>ZAGO TRANSPORTES ESPECIALIZADOS</t>
  </si>
  <si>
    <t>AGUA PURIFICADA LOS VOLCANES</t>
  </si>
  <si>
    <t>GS AGROINDUSTRIAL</t>
  </si>
  <si>
    <t>Meeting_Revisión_Proyectos</t>
  </si>
  <si>
    <t>Propuesta USK</t>
  </si>
  <si>
    <t>Nava Hermanos</t>
  </si>
  <si>
    <t>Tzinapu</t>
  </si>
  <si>
    <t>Aquanima</t>
  </si>
  <si>
    <t>STUDIO 36 MEX</t>
  </si>
  <si>
    <t>Comercializadora Soluciones Lumínicas Plus</t>
  </si>
  <si>
    <t>José Manuel Aragón.</t>
  </si>
  <si>
    <t>SITRAK | ENGEN</t>
  </si>
  <si>
    <t>TRANSPORTES MINEROS DEL COBRE</t>
  </si>
  <si>
    <t>Palma Real del Sureste</t>
  </si>
  <si>
    <t>GRUPO EMPRESARIAL MIXERPLUS</t>
  </si>
  <si>
    <t>GGD Bandas y Servicios</t>
  </si>
  <si>
    <t>SUMA GLOBAL PACK</t>
  </si>
  <si>
    <t>Distribución y Almacenaje Argo</t>
  </si>
  <si>
    <t>Cementation USA</t>
  </si>
  <si>
    <t>Odis Asversa</t>
  </si>
  <si>
    <t>TRANSPORTE DIRZO</t>
  </si>
  <si>
    <t>Nordstern Technologies</t>
  </si>
  <si>
    <t>Reckitt Benckiser México</t>
  </si>
  <si>
    <t>Supervisión Técnica del Norte</t>
  </si>
  <si>
    <t>Saint Gobain Sekurit Servicios</t>
  </si>
  <si>
    <t>Airdonkey</t>
  </si>
  <si>
    <t>Alejandro Solorzano</t>
  </si>
  <si>
    <t>Laboratorios Jaloma</t>
  </si>
  <si>
    <t>Asfaltos Guadalajara</t>
  </si>
  <si>
    <t>Turismo Gargo</t>
  </si>
  <si>
    <t>Coliman Frutas Finas</t>
  </si>
  <si>
    <t>Grupo Industrial Vida</t>
  </si>
  <si>
    <t>Bachoco</t>
  </si>
  <si>
    <t>Miraclon</t>
  </si>
  <si>
    <t>Aligerados Padda</t>
  </si>
  <si>
    <t>Beta Procesos</t>
  </si>
  <si>
    <t>Ng Extrusion</t>
  </si>
  <si>
    <t>Ecologia En Combustion</t>
  </si>
  <si>
    <t>Mar Bran</t>
  </si>
  <si>
    <t>Proteina Animal</t>
  </si>
  <si>
    <t>Alimentos Extruidos</t>
  </si>
  <si>
    <t>Centracore de Mexico</t>
  </si>
  <si>
    <t>Obras y Terracerías González</t>
  </si>
  <si>
    <t>Bedacom</t>
  </si>
  <si>
    <t>Jardin Aleman</t>
  </si>
  <si>
    <t>Meeting_Emilio Martinez</t>
  </si>
  <si>
    <t>Soluciones Para El Control De Recursos</t>
  </si>
  <si>
    <t>Kn Materiales</t>
  </si>
  <si>
    <t>Semillas Escalera de la Laguna</t>
  </si>
  <si>
    <t>Farben Haus</t>
  </si>
  <si>
    <t>Grupo Cepron</t>
  </si>
  <si>
    <t>Centro Médico de Especialidades de Ciudad Juarez</t>
  </si>
  <si>
    <t>Hi-Fos</t>
  </si>
  <si>
    <t>Danhil de México</t>
  </si>
  <si>
    <t>Interdeli</t>
  </si>
  <si>
    <t>Enlace Logistico Industrial</t>
  </si>
  <si>
    <t>Empacadora Santa Engracia</t>
  </si>
  <si>
    <t>Kay Alimentos</t>
  </si>
  <si>
    <t>Transportes Santa Maria</t>
  </si>
  <si>
    <t>LEMONHEZ</t>
  </si>
  <si>
    <t>CONSTRUCCION Y MANTENIMIENTO GALVEZ</t>
  </si>
  <si>
    <t>Laboratorios Pisa</t>
  </si>
  <si>
    <t>Artículos Subterráneos y Aéreos</t>
  </si>
  <si>
    <t>Viterra y Asociados</t>
  </si>
  <si>
    <t>Plantagro</t>
  </si>
  <si>
    <t>Transportadora Carga Mundial</t>
  </si>
  <si>
    <t>Ezi Metales</t>
  </si>
  <si>
    <t>MEXICANA DE TRITURADOS</t>
  </si>
  <si>
    <t>Lypsa</t>
  </si>
  <si>
    <t>Sistemas Kinedyne</t>
  </si>
  <si>
    <t>Cms International</t>
  </si>
  <si>
    <t>Agriexport</t>
  </si>
  <si>
    <t>Nutrinueces y más</t>
  </si>
  <si>
    <t>BEPALLET</t>
  </si>
  <si>
    <t>GE CAPITAL EMPRESARIAL</t>
  </si>
  <si>
    <t>Industrial Constructor Peninsular</t>
  </si>
  <si>
    <t>Mecsa Steel</t>
  </si>
  <si>
    <t>FERREYSA</t>
  </si>
  <si>
    <t>SUMINISTROS EN ACERO TOLUCA</t>
  </si>
  <si>
    <t>PERFIL DE CHIHUAHUA CM</t>
  </si>
  <si>
    <t>LUMIGAR COMERCIALIZACION Y PRODUCCION</t>
  </si>
  <si>
    <t>Empaques y Envolturas</t>
  </si>
  <si>
    <t>Cibum Tecnologia</t>
  </si>
  <si>
    <t>TRESS INN</t>
  </si>
  <si>
    <t>Grupo Frisa</t>
  </si>
  <si>
    <t>Adoblocks de chiapas</t>
  </si>
  <si>
    <t>Edvesa</t>
  </si>
  <si>
    <t>Bloquera Moderna</t>
  </si>
  <si>
    <t>Murguía Consultores Agente de Seguros y Fianzas</t>
  </si>
  <si>
    <t>Productora y Comercializadora Internacional Mexicana</t>
  </si>
  <si>
    <t>361 Grados Logística P.O.P.</t>
  </si>
  <si>
    <t>El tsunami de Miguel</t>
  </si>
  <si>
    <t>Revision de nuevo proyecto</t>
  </si>
  <si>
    <t>Next Energy Mexicana</t>
  </si>
  <si>
    <t>Arte Plastics</t>
  </si>
  <si>
    <t>Hugo Eli Gutiérrez Fernandez</t>
  </si>
  <si>
    <t>Cita Factoraje / Seguimiento CAPEX 2025</t>
  </si>
  <si>
    <t>A&amp;c international supply</t>
  </si>
  <si>
    <t>Comercializadora Nareci</t>
  </si>
  <si>
    <t>Grupo Industrial Verduzco</t>
  </si>
  <si>
    <t>CUETARA | One Fleet Services</t>
  </si>
  <si>
    <t>Kunstoff Technologie</t>
  </si>
  <si>
    <t>AF CNC &amp; MILLS MACHINERY</t>
  </si>
  <si>
    <t>Baja Aqua Farms</t>
  </si>
  <si>
    <t>Menita Comercial Oceánica</t>
  </si>
  <si>
    <t>Meeting_Seguimiento_PROYECTOS 2025</t>
  </si>
  <si>
    <t>Impresos Mera</t>
  </si>
  <si>
    <t>Baja Marine Foods</t>
  </si>
  <si>
    <t>HISHTIL MEXICO</t>
  </si>
  <si>
    <t>Aene Foods</t>
  </si>
  <si>
    <t>Alimentos Par</t>
  </si>
  <si>
    <t>Ram Pack</t>
  </si>
  <si>
    <t>Ecosintex</t>
  </si>
  <si>
    <t>Compania Constructora</t>
  </si>
  <si>
    <t>Materiales y Prefabricados de Oriente</t>
  </si>
  <si>
    <t>Factoring Corporativo</t>
  </si>
  <si>
    <t>IG Anuncios</t>
  </si>
  <si>
    <t>Empacadora Naturamex</t>
  </si>
  <si>
    <t>Seguimiento Linea de Factoraje</t>
  </si>
  <si>
    <t>Teleresonancia de Jalisco</t>
  </si>
  <si>
    <t>Guadalajara P.E.T.</t>
  </si>
  <si>
    <t>Alimentos Convenientes San Patric</t>
  </si>
  <si>
    <t>Crayola Mexico</t>
  </si>
  <si>
    <t>Sistema Bea</t>
  </si>
  <si>
    <t>Accesorios Para Laboratorios</t>
  </si>
  <si>
    <t>Aceros y Acanalados Monterrey</t>
  </si>
  <si>
    <t>Cita Factoraje / Visita de seguimiento CAPEX</t>
  </si>
  <si>
    <t>Comercializadora Cantú</t>
  </si>
  <si>
    <t>Transportes Unidos De Morelos</t>
  </si>
  <si>
    <t>Lácteos Dulcem</t>
  </si>
  <si>
    <t>Reunión_Proyectos 2025</t>
  </si>
  <si>
    <t>Casa Lumbre</t>
  </si>
  <si>
    <t>Lukoil Lubricants Mexico</t>
  </si>
  <si>
    <t>Agropecuaria Tres Ositas</t>
  </si>
  <si>
    <t>CONSORCIO INMOBILIARIO Y CONSTRUCTOR ASPEN</t>
  </si>
  <si>
    <t>COYATOC CONSTRUCCIONES</t>
  </si>
  <si>
    <t>NETWEY | One Fleet Services</t>
  </si>
  <si>
    <t>Alz Construcciones</t>
  </si>
  <si>
    <t>Dánica Termo industrial México</t>
  </si>
  <si>
    <t>Seguimiento propuesta - Revolvedoras</t>
  </si>
  <si>
    <t>Cita con Broker</t>
  </si>
  <si>
    <t>Hospital Aranda de la Parra</t>
  </si>
  <si>
    <t>Uyeda Industrial de México</t>
  </si>
  <si>
    <t>Consorcio Procomia</t>
  </si>
  <si>
    <t>Yusen Logistics (México)</t>
  </si>
  <si>
    <t>NDA y contratos Bosch-Engen</t>
  </si>
  <si>
    <t>Transportes Jr CHAVANA</t>
  </si>
  <si>
    <t>GRANJA PALESTINA</t>
  </si>
  <si>
    <t>El Bronco Autopartes</t>
  </si>
  <si>
    <t>Torrico Alimentos</t>
  </si>
  <si>
    <t>DESSERT SUPER SERVIVCIOS</t>
  </si>
  <si>
    <t>Transportes El Olvido</t>
  </si>
  <si>
    <t>Buen Capital</t>
  </si>
  <si>
    <t>diatomix</t>
  </si>
  <si>
    <t>Metálicos Mayran</t>
  </si>
  <si>
    <t>HOLDIN GAINS</t>
  </si>
  <si>
    <t>Reunión H&amp;H</t>
  </si>
  <si>
    <t>Lacteos Menonitas de Chihuahua</t>
  </si>
  <si>
    <t>Carducci</t>
  </si>
  <si>
    <t>Tecnología y calidad en asfaltos</t>
  </si>
  <si>
    <t>PRESENTACIÓN_PROPUESTA</t>
  </si>
  <si>
    <t>DOZA CAPITAL</t>
  </si>
  <si>
    <t>Proveedora De Materiales Peña</t>
  </si>
  <si>
    <t>Diseñadora y Comercializadora</t>
  </si>
  <si>
    <t>Union De Ganaderos Lecheros De Juarez</t>
  </si>
  <si>
    <t>CANTERA MONBASA</t>
  </si>
  <si>
    <t>Sky Business Empresarial</t>
  </si>
  <si>
    <t>Uriotech</t>
  </si>
  <si>
    <t>cita presentacion</t>
  </si>
  <si>
    <t>Empaques Carma</t>
  </si>
  <si>
    <t>Silodisa Servicio Integral De Logística y Distribución</t>
  </si>
  <si>
    <t>Ahumados Noruegos</t>
  </si>
  <si>
    <t>Il Diagnostics</t>
  </si>
  <si>
    <t>BrandBros</t>
  </si>
  <si>
    <t>NUTRIWELL | ENGEN</t>
  </si>
  <si>
    <t>Constructora Bogax</t>
  </si>
  <si>
    <t>Transforza</t>
  </si>
  <si>
    <t>Acrílicos Newton</t>
  </si>
  <si>
    <t>Alas del Monte | Engen Cap  [En persona]</t>
  </si>
  <si>
    <t>Alas Del Monte</t>
  </si>
  <si>
    <t>Diga</t>
  </si>
  <si>
    <t>Transportes Colins</t>
  </si>
  <si>
    <t>AV PRECISION MFG</t>
  </si>
  <si>
    <t>REVISIÓN CASO TIENDAS NETO</t>
  </si>
  <si>
    <t>MVC PRODUCCIONES INTERNACIONALES</t>
  </si>
  <si>
    <t>Transporte nacional 3 Ordoñez</t>
  </si>
  <si>
    <t>Kyocera Document Solutions México</t>
  </si>
  <si>
    <t>Grupo Entremaderas</t>
  </si>
  <si>
    <t>PROYECTOS INDUSTRIALES Y COMERCIALES DINAM</t>
  </si>
  <si>
    <t>Botanas Ric</t>
  </si>
  <si>
    <t>GDI Grupo Diamante Internacional</t>
  </si>
  <si>
    <t>Hieleria Veracruz</t>
  </si>
  <si>
    <t>ALEJANDRO VALEDES</t>
  </si>
  <si>
    <t>medicina electricidad y construccion</t>
  </si>
  <si>
    <t>Materiales Sta Fe</t>
  </si>
  <si>
    <t>Tostadas y Botanas Premium</t>
  </si>
  <si>
    <t>Travel Fruits</t>
  </si>
  <si>
    <t>Cita Factoraje</t>
  </si>
  <si>
    <t>Tuercas y Abrazaderas Ensa</t>
  </si>
  <si>
    <t>Agroindrustrias gramex</t>
  </si>
  <si>
    <t>Almanza Villarreal Agencia Aduanal</t>
  </si>
  <si>
    <t>Sango Autopartes</t>
  </si>
  <si>
    <t>Mova Printing Solutions</t>
  </si>
  <si>
    <t>Grupo Diagnostico Aries</t>
  </si>
  <si>
    <t>Garibaldi México</t>
  </si>
  <si>
    <t>Maquinaría Innovativa De Veracruz</t>
  </si>
  <si>
    <t>Lerma Construcciones y Mantenimiento</t>
  </si>
  <si>
    <t>Laboratorio de Metales</t>
  </si>
  <si>
    <t>Interlub</t>
  </si>
  <si>
    <t>Cita_NEW</t>
  </si>
  <si>
    <t>DIMSA INGENIERIA</t>
  </si>
  <si>
    <t>Sonne Energeticos</t>
  </si>
  <si>
    <t>Harsco-Multiserv</t>
  </si>
  <si>
    <t>Rocio Karina Gutierrez de Hoyos</t>
  </si>
  <si>
    <t>Evolutia Construcciones e Infraestructura</t>
  </si>
  <si>
    <t>GERARDO ABRAHAM CABALLERO VALADEZ</t>
  </si>
  <si>
    <t>CIA YEPAL</t>
  </si>
  <si>
    <t>GRUPO CASTAL TRANSPORTE Y LOGISTICA</t>
  </si>
  <si>
    <t>Laboratorios Corne</t>
  </si>
  <si>
    <t>Tufesa Logist</t>
  </si>
  <si>
    <t>Industrial Forestal El Yaqui</t>
  </si>
  <si>
    <t>Arpema Plasticos</t>
  </si>
  <si>
    <t>CONSTRUCTORA COPRISMA</t>
  </si>
  <si>
    <t>Citricola Del Yaqui</t>
  </si>
  <si>
    <t>Asociación de Productores de Hortalizas del Yaqui y Mayo</t>
  </si>
  <si>
    <t>RECUBRIMIENTOS Y ADHESIVOS DE LA LAGUNA</t>
  </si>
  <si>
    <t>Naturesweet Invernaderos</t>
  </si>
  <si>
    <t>Ingeniería y Productos de Acero</t>
  </si>
  <si>
    <t>Trans Neyno</t>
  </si>
  <si>
    <t>A MENARINI MÉXICO</t>
  </si>
  <si>
    <t>Agrocir</t>
  </si>
  <si>
    <t>Leonali</t>
  </si>
  <si>
    <t>Troquelados Modulares</t>
  </si>
  <si>
    <t>Recicladora Cypa</t>
  </si>
  <si>
    <t>Transporte y Logistica Buzmyr de México</t>
  </si>
  <si>
    <t>GRUPO MOC</t>
  </si>
  <si>
    <t>Omega Aleaciones</t>
  </si>
  <si>
    <t>Fastek de México</t>
  </si>
  <si>
    <t>Grupo Red Frío</t>
  </si>
  <si>
    <t>Marisol Monroy</t>
  </si>
  <si>
    <t>Sesión con riesgo</t>
  </si>
  <si>
    <t>Grupo Frio</t>
  </si>
  <si>
    <t>Grupo Canutarra</t>
  </si>
  <si>
    <t>Dmarque Corp Global</t>
  </si>
  <si>
    <t>Sanatorio Oftalmologico Merida</t>
  </si>
  <si>
    <t>AC Logistics México</t>
  </si>
  <si>
    <t>GRAN KINO SINALOENSE</t>
  </si>
  <si>
    <t>Metalfrio Solutions México</t>
  </si>
  <si>
    <t>Grupo Integral Monarka</t>
  </si>
  <si>
    <t>Construcciones Industriales y Civiles el puente</t>
  </si>
  <si>
    <t>CGI Logistics</t>
  </si>
  <si>
    <t>Aromáticos y Químicos del Centro</t>
  </si>
  <si>
    <t>Industrias Guacamaya</t>
  </si>
  <si>
    <t>Rafias Industriales</t>
  </si>
  <si>
    <t>Sautem</t>
  </si>
  <si>
    <t>Ivan Gonzalez</t>
  </si>
  <si>
    <t>Auto Camiones Universidad</t>
  </si>
  <si>
    <t>Petroil</t>
  </si>
  <si>
    <t>Motsa Industrial</t>
  </si>
  <si>
    <t>Staubli México</t>
  </si>
  <si>
    <t>Sistemas Agropecuarios Jat</t>
  </si>
  <si>
    <t>LAZOS INTERNACIONALES</t>
  </si>
  <si>
    <t>Karilo Credit</t>
  </si>
  <si>
    <t>HARINERA MONARCA</t>
  </si>
  <si>
    <t>Bebida Bui</t>
  </si>
  <si>
    <t>Boysen Exhaust System de Mexico</t>
  </si>
  <si>
    <t>Plásticos Universales de los Altos</t>
  </si>
  <si>
    <t>Muebles Placencia</t>
  </si>
  <si>
    <t>Quattro Comercializadora Industrial y de Servicios</t>
  </si>
  <si>
    <t>Eysen</t>
  </si>
  <si>
    <t>Richard Lopez Lopez</t>
  </si>
  <si>
    <t>Componentes Avanzados de México</t>
  </si>
  <si>
    <t>Empacadora Promarmex</t>
  </si>
  <si>
    <t>Visita planta EFA- AMAG</t>
  </si>
  <si>
    <t>Heavy Lift Rigging Services And Consulting Mexico</t>
  </si>
  <si>
    <t>Zinbend</t>
  </si>
  <si>
    <t>Abastecedora La Diligencia</t>
  </si>
  <si>
    <t>Michel Ontiveros, Pablo Ignacio</t>
  </si>
  <si>
    <t>Grupo Industrial Michel</t>
  </si>
  <si>
    <t>Super Flama | Engen Capital</t>
  </si>
  <si>
    <t>Cita Equipo Nuevo de Horno Termoformado</t>
  </si>
  <si>
    <t>PERFORADORA TRIPLE P</t>
  </si>
  <si>
    <t>Fusión Electrica Global</t>
  </si>
  <si>
    <t>IMAGCHINE</t>
  </si>
  <si>
    <t>Queseria Dos Lagunas</t>
  </si>
  <si>
    <t>Diseño Manufactura e integración</t>
  </si>
  <si>
    <t>meeting</t>
  </si>
  <si>
    <t>Agua purificada Cimazul</t>
  </si>
  <si>
    <t>COMERCIALIZADORA AUTOMOTRIZ DE CUAUHTEMOC</t>
  </si>
  <si>
    <t>WALL COMPUTER SOLUTIONS</t>
  </si>
  <si>
    <t>Grupo Summa | Engen Capital (Seguimiento)</t>
  </si>
  <si>
    <t>GVA Maquinaria</t>
  </si>
  <si>
    <t>WIT TRANSPORT</t>
  </si>
  <si>
    <t>Comercializadora de Neumáticos Tarahumara</t>
  </si>
  <si>
    <t>Presentacion Propuesta Fleet</t>
  </si>
  <si>
    <t>Mexamerik</t>
  </si>
  <si>
    <t>SERVICIOS INTEGRALES MARITIMOS Y PORTUARIOS</t>
  </si>
  <si>
    <t>Transberra</t>
  </si>
  <si>
    <t>Alimentos De Alta Calidad El Pedregal</t>
  </si>
  <si>
    <t>SALVADOR RODRIGUEZ DE LA TORRE</t>
  </si>
  <si>
    <t>Autoediciones el Potosí</t>
  </si>
  <si>
    <t>TRANSPORTES EMPRESARIALES MEDELLIN</t>
  </si>
  <si>
    <t>ASIA MAQUINARIA DE MEXICO</t>
  </si>
  <si>
    <t>KNIGT INDUSTRIAL DE MEXICO</t>
  </si>
  <si>
    <t>CITA_</t>
  </si>
  <si>
    <t>Investigación y Desarrollo Médico</t>
  </si>
  <si>
    <t>Agropecuaria El Gran Chaparral</t>
  </si>
  <si>
    <t>Even Telecom</t>
  </si>
  <si>
    <t>Concretos y agregados obregón</t>
  </si>
  <si>
    <t>AZUCARERA SAN JOSÉ DE ABAJO</t>
  </si>
  <si>
    <t>Pintex De México</t>
  </si>
  <si>
    <t>Laboratorios Quiver</t>
  </si>
  <si>
    <t>Maquinaria cames</t>
  </si>
  <si>
    <t>AGENCIA ADUANAL PASCAL</t>
  </si>
  <si>
    <t>ACEROS Y ESTRUCTURAS DEL NORTE</t>
  </si>
  <si>
    <t>CONSTRUACERO DEL NORTE</t>
  </si>
  <si>
    <t>Plasman Precision Parts</t>
  </si>
  <si>
    <t>Plasman Automotive</t>
  </si>
  <si>
    <t>COMERCIALIZADORA METALICA DEL CENTRO</t>
  </si>
  <si>
    <t>Solfium</t>
  </si>
  <si>
    <t>Viveros del valle del norte</t>
  </si>
  <si>
    <t>Grupo Aduanero Peninsular</t>
  </si>
  <si>
    <t>Movii Rent a Car</t>
  </si>
  <si>
    <t>Empaques y Corrugados del Bajío</t>
  </si>
  <si>
    <t>MINERIA Y CONSTRUCCION XCALIVUR</t>
  </si>
  <si>
    <t>Reciclados y Servicios del Noroeste</t>
  </si>
  <si>
    <t>Viscosificantes Mexicanos</t>
  </si>
  <si>
    <t>Flexi?Vel</t>
  </si>
  <si>
    <t>Sun Grain Comercial</t>
  </si>
  <si>
    <t>Amerimed | Engen Capital</t>
  </si>
  <si>
    <t>Instituto San Roberto</t>
  </si>
  <si>
    <t>Zubex Industrial</t>
  </si>
  <si>
    <t>Resortes Monticello De México</t>
  </si>
  <si>
    <t>Icomsa Ingenieria</t>
  </si>
  <si>
    <t>Corporación de Productos Industriales</t>
  </si>
  <si>
    <t>Técnicos Especializados de Chiapas</t>
  </si>
  <si>
    <t>Auto Express Perla</t>
  </si>
  <si>
    <t>Ht Foods</t>
  </si>
  <si>
    <t>Seguimiento Fleet / CAPEX 2025</t>
  </si>
  <si>
    <t>Transportes Refrigerados Martínez</t>
  </si>
  <si>
    <t>Castilla Estructuras</t>
  </si>
  <si>
    <t>Baco Transportes</t>
  </si>
  <si>
    <t>Desarrolladora Inmobiliaria de Restaurantes</t>
  </si>
  <si>
    <t>HI-WAY TRANSPORT</t>
  </si>
  <si>
    <t>Acrilicos Sablon</t>
  </si>
  <si>
    <t>Meeting_NEW_PROYECTOS_2025</t>
  </si>
  <si>
    <t>GRAFICAS DEL MIERA</t>
  </si>
  <si>
    <t>PQ Integradora Logística</t>
  </si>
  <si>
    <t>Arva Laboratorio De Analisis Industriales</t>
  </si>
  <si>
    <t>Carnes Selectas el Jalisciense</t>
  </si>
  <si>
    <t>Omnigreen</t>
  </si>
  <si>
    <t>Ferranico</t>
  </si>
  <si>
    <t>Especialidades Industriales en Corrugado</t>
  </si>
  <si>
    <t>INGENIERIA APLICADA EN CORRUGADO</t>
  </si>
  <si>
    <t>Calza Sider</t>
  </si>
  <si>
    <t>Extrusiones de los Altos</t>
  </si>
  <si>
    <t>Handling Healthcare</t>
  </si>
  <si>
    <t>Travel and Live</t>
  </si>
  <si>
    <t>A&amp;A Distribuidores Industriales</t>
  </si>
  <si>
    <t>LOGISTICA 3 GUERRERAS</t>
  </si>
  <si>
    <t>Grupo Soindyco</t>
  </si>
  <si>
    <t>INNOVACION EN ETIQUETAS Y REVISTAS DE TOLUCA</t>
  </si>
  <si>
    <t>Nutriesence</t>
  </si>
  <si>
    <t>Sociedad Cooperativa De Transporte De Segunda Clase Ometochtli</t>
  </si>
  <si>
    <t>Estructuras Metalicas Argo</t>
  </si>
  <si>
    <t>TRANSPORTES ESPECIALIZADOS LT</t>
  </si>
  <si>
    <t>Factoraje y AP | Sigpack/Engen</t>
  </si>
  <si>
    <t>CITA_NEW_INVERSIÓN_2025</t>
  </si>
  <si>
    <t>RH Urban Developers</t>
  </si>
  <si>
    <t>Itolsa Agricola</t>
  </si>
  <si>
    <t>MATERIALES DE RECICLAJE RAMIREZ</t>
  </si>
  <si>
    <t>DYH MEXICANA</t>
  </si>
  <si>
    <t>Maquinaria de Elevacion</t>
  </si>
  <si>
    <t>Maquinaria y Elevacion de Juarez</t>
  </si>
  <si>
    <t>CONSTRUCCIONES FERREAS DE DURANGO</t>
  </si>
  <si>
    <t>Argento De Torreon</t>
  </si>
  <si>
    <t>EQUIPOS DINAMICOS SOTO</t>
  </si>
  <si>
    <t>Transportes Jego</t>
  </si>
  <si>
    <t>Belleza y Vanidad</t>
  </si>
  <si>
    <t>Transportes Especializados Montellano</t>
  </si>
  <si>
    <t>Kysor Warren de México</t>
  </si>
  <si>
    <t>JAFRA MANUFACTURING</t>
  </si>
  <si>
    <t>Grupo Venti</t>
  </si>
  <si>
    <t>GRUPO AMAREA</t>
  </si>
  <si>
    <t>Farmacia Agroquímica de México</t>
  </si>
  <si>
    <t>Salud Digna Para Todos</t>
  </si>
  <si>
    <t>Gelpharma</t>
  </si>
  <si>
    <t>Gerardo Pedroza</t>
  </si>
  <si>
    <t>Botanas La Lupita</t>
  </si>
  <si>
    <t>MINTCSA</t>
  </si>
  <si>
    <t>GRUPO JCR</t>
  </si>
  <si>
    <t>Fundicion Aguilas</t>
  </si>
  <si>
    <t>Promotora de Maderas Monterrey</t>
  </si>
  <si>
    <t>Jsp International de México</t>
  </si>
  <si>
    <t>Hjb Química Internacional</t>
  </si>
  <si>
    <t>Grupo Emorfe</t>
  </si>
  <si>
    <t>Chocolates Cacep</t>
  </si>
  <si>
    <t>Compañía Minera y Beneficiadora Purísima</t>
  </si>
  <si>
    <t>Neumáticos Industriales y Servicios</t>
  </si>
  <si>
    <t>Croncretab Concretos y Agregados</t>
  </si>
  <si>
    <t>Desarrolladora de Caminos</t>
  </si>
  <si>
    <t>TECHNOFOODS</t>
  </si>
  <si>
    <t>Laboratorios Zeyco</t>
  </si>
  <si>
    <t>Giant Motors Latinoamérica</t>
  </si>
  <si>
    <t>TECNO ARRENDAMIENTOS Y CONSTRUCCIONES</t>
  </si>
  <si>
    <t>Procesadora La Nogalera</t>
  </si>
  <si>
    <t>Pasteurizadora De León</t>
  </si>
  <si>
    <t>Grote Industries de México</t>
  </si>
  <si>
    <t>Salvador Lopez Lopez</t>
  </si>
  <si>
    <t>Ecap</t>
  </si>
  <si>
    <t>Carbones Industriales Mexicanos</t>
  </si>
  <si>
    <t>Material González</t>
  </si>
  <si>
    <t>CITA_PROYECTOS 2025</t>
  </si>
  <si>
    <t>IXCART</t>
  </si>
  <si>
    <t>Grupo Pecuario Arce</t>
  </si>
  <si>
    <t>Transportes Rápidos La Sultana</t>
  </si>
  <si>
    <t>RBA Banca de Inversión</t>
  </si>
  <si>
    <t>Panarte</t>
  </si>
  <si>
    <t>Cremeria la estacion de Lupita</t>
  </si>
  <si>
    <t>Promotora y operadora de empleo UNZ</t>
  </si>
  <si>
    <t>EL JAROCHO CARNICERIAS</t>
  </si>
  <si>
    <t>ISRAEL CASTILLA LUCA</t>
  </si>
  <si>
    <t>Grupo Acuícola Mexicano</t>
  </si>
  <si>
    <t>Reunión</t>
  </si>
  <si>
    <t>Agrotileno de México</t>
  </si>
  <si>
    <t>K-FLEX DE MEXICO</t>
  </si>
  <si>
    <t>Revisión de Propuesta</t>
  </si>
  <si>
    <t>Grupo Fitcor</t>
  </si>
  <si>
    <t>Diseño y Construcciones ASA</t>
  </si>
  <si>
    <t>Gama Materiales</t>
  </si>
  <si>
    <t>CORPORACION OPERADORA DE REPRESENTACIONES Y NEGOCIOS</t>
  </si>
  <si>
    <t>JL Logistica</t>
  </si>
  <si>
    <t>Botanas Crujikronch</t>
  </si>
  <si>
    <t>TRANSPORTES MONTES LIQUIDOS ESPECIALIZADOS</t>
  </si>
  <si>
    <t>Concorde Group</t>
  </si>
  <si>
    <t>La Rosa de Sarón</t>
  </si>
  <si>
    <t>PRODIDSA</t>
  </si>
  <si>
    <t>CITA_NEW</t>
  </si>
  <si>
    <t>SERVICIOS INDUSTRIALES BATIA</t>
  </si>
  <si>
    <t>ADVANCE SERVICES INTERNATIONAL</t>
  </si>
  <si>
    <t>PLASTICOS GONZALEZ</t>
  </si>
  <si>
    <t>Proyectos y Servicios FERZAVI</t>
  </si>
  <si>
    <t>Tme Maquinados</t>
  </si>
  <si>
    <t>Bursamerica</t>
  </si>
  <si>
    <t>Obras y Proyectos Hauma</t>
  </si>
  <si>
    <t>FD Berries</t>
  </si>
  <si>
    <t>Gsa Leasing</t>
  </si>
  <si>
    <t>SFS Group Fastening Technology Mexico</t>
  </si>
  <si>
    <t>Sychab Industrial</t>
  </si>
  <si>
    <t>Obras y Suministros Joyca</t>
  </si>
  <si>
    <t>GCH Construcciones</t>
  </si>
  <si>
    <t>VALO BIOMEDIA MEXICO</t>
  </si>
  <si>
    <t>Gino Ferrara Villarreal</t>
  </si>
  <si>
    <t>Grupo Industrial Belmont</t>
  </si>
  <si>
    <t>QUALITY K</t>
  </si>
  <si>
    <t>TECAL DEL NORTE</t>
  </si>
  <si>
    <t>Meor</t>
  </si>
  <si>
    <t>Remolques, Tanques y Equipos</t>
  </si>
  <si>
    <t>SERTI</t>
  </si>
  <si>
    <t>Chilera Tapatia</t>
  </si>
  <si>
    <t>EcoTecPlast</t>
  </si>
  <si>
    <t>Presentación Propuesta</t>
  </si>
  <si>
    <t>Agrícola Savannah</t>
  </si>
  <si>
    <t>mee</t>
  </si>
  <si>
    <t>DURAN DURAN INDUSTRIAS</t>
  </si>
  <si>
    <t>Yellow Equipment Rental | Engen Capital  [En persona]</t>
  </si>
  <si>
    <t>Yellow Equipment Rental Store</t>
  </si>
  <si>
    <t>IOMPAR</t>
  </si>
  <si>
    <t>Jesús Pulido</t>
  </si>
  <si>
    <t>Productos Químicos Industriales Potosinos</t>
  </si>
  <si>
    <t>GT+logistics</t>
  </si>
  <si>
    <t>GRUPO ALIANZA-JT</t>
  </si>
  <si>
    <t>Productos Pesqueros De Guaymas</t>
  </si>
  <si>
    <t>Cita_Proyectos 2025</t>
  </si>
  <si>
    <t>RAJ PACK</t>
  </si>
  <si>
    <t>Reguica</t>
  </si>
  <si>
    <t>Cargo Export Import</t>
  </si>
  <si>
    <t>VIKING FARMS</t>
  </si>
  <si>
    <t>Thanos Steel S.A. de C.V.</t>
  </si>
  <si>
    <t>Revisión propuesta</t>
  </si>
  <si>
    <t>Fibras Opticas de México</t>
  </si>
  <si>
    <t>Jose Salvador Rodriguez Dueñas</t>
  </si>
  <si>
    <t>EQUIPOS Y MATERIALES DE PRECISION DE MEXICO</t>
  </si>
  <si>
    <t>Cubiertos y Desechables Fantasy</t>
  </si>
  <si>
    <t>Mont-Co</t>
  </si>
  <si>
    <t>W2G LOGISTICA</t>
  </si>
  <si>
    <t>SPM Servicios y Proyectos Mineros de México</t>
  </si>
  <si>
    <t>Alco Diseño y Manufactura</t>
  </si>
  <si>
    <t>Aqually</t>
  </si>
  <si>
    <t>Garin Etiquetas</t>
  </si>
  <si>
    <t>Peon SF</t>
  </si>
  <si>
    <t>Agro Servicios A Productores Del Valle</t>
  </si>
  <si>
    <t>RECUPERACIONES INDUSTRIALES INTERNACIONALES</t>
  </si>
  <si>
    <t>Técnica Industrial Miranda</t>
  </si>
  <si>
    <t>12 BACANORA</t>
  </si>
  <si>
    <t>Polychem</t>
  </si>
  <si>
    <t>TRANSPORTES RBA</t>
  </si>
  <si>
    <t>Control De Potencia Y Regulación Eléctrica</t>
  </si>
  <si>
    <t>MEVI Energías Limpias</t>
  </si>
  <si>
    <t>RE: Catch Up Meeting - Financiamiento, flotilla y factoraje para Empaques 4F</t>
  </si>
  <si>
    <t>Alfa Omega Obras y Estructuras</t>
  </si>
  <si>
    <t>UNIDADES DE PERSONAL Y ALUMNOS</t>
  </si>
  <si>
    <t>Vacoisa</t>
  </si>
  <si>
    <t>Parangolab</t>
  </si>
  <si>
    <t>Embutidos De Luna</t>
  </si>
  <si>
    <t>VMX MinePro</t>
  </si>
  <si>
    <t>Contrastes y equipos radiologicos</t>
  </si>
  <si>
    <t>Consorcio Omega</t>
  </si>
  <si>
    <t>JUAN LUIS CRUZ FLORES</t>
  </si>
  <si>
    <t>Yellow equipment</t>
  </si>
  <si>
    <t>LOGISTICA MYA</t>
  </si>
  <si>
    <t>Autotanques Barron</t>
  </si>
  <si>
    <t>COMERCIALIZADORA GOLMEX DE MEXICO</t>
  </si>
  <si>
    <t>Grupo Minero Dumas México</t>
  </si>
  <si>
    <t>super flama | engen</t>
  </si>
  <si>
    <t>Fortacero</t>
  </si>
  <si>
    <t>Ejidos El Largo y Anexos Zona Norte</t>
  </si>
  <si>
    <t>WANHUA CHEMICAL GROUP</t>
  </si>
  <si>
    <t>Q. Digital</t>
  </si>
  <si>
    <t>Transportes De Los Santos</t>
  </si>
  <si>
    <t>Coresa Partes y Equipos</t>
  </si>
  <si>
    <t>La Nacional</t>
  </si>
  <si>
    <t>Constructora Santandreu</t>
  </si>
  <si>
    <t>Juguera Allende</t>
  </si>
  <si>
    <t>Bari Poliestirenos</t>
  </si>
  <si>
    <t>Kartell de México</t>
  </si>
  <si>
    <t>TRAX CHIHUAHUA</t>
  </si>
  <si>
    <t>Basculas Revuelta</t>
  </si>
  <si>
    <t>Agropecuaria Foresta y Avícola U</t>
  </si>
  <si>
    <t>GRUPO ANTOLIN TLAXCALA</t>
  </si>
  <si>
    <t>Leasing enchapadora</t>
  </si>
  <si>
    <t>TEME GRUPO INDUSTRIAL</t>
  </si>
  <si>
    <t>Transporte Tapia</t>
  </si>
  <si>
    <t>Raquel Adriana Suarez Najera</t>
  </si>
  <si>
    <t>Cita seguimiento</t>
  </si>
  <si>
    <t>Kp Extrusion de México</t>
  </si>
  <si>
    <t>Genericos Veterinarios</t>
  </si>
  <si>
    <t>MEGLIO INDUSTRIAL</t>
  </si>
  <si>
    <t>CITA_SEGUIMIENTO</t>
  </si>
  <si>
    <t>ELECTRO METALIC SOLUTIONS</t>
  </si>
  <si>
    <t>Botanas Parios</t>
  </si>
  <si>
    <t>Distribuidora Amasa</t>
  </si>
  <si>
    <t>Supermercado de básicos</t>
  </si>
  <si>
    <t>PROTEOCX</t>
  </si>
  <si>
    <t>2bglobal</t>
  </si>
  <si>
    <t>Junta</t>
  </si>
  <si>
    <t>Industria Alimentaria Oaxaqueña</t>
  </si>
  <si>
    <t>Transmontes</t>
  </si>
  <si>
    <t>Argia México</t>
  </si>
  <si>
    <t>Argia</t>
  </si>
  <si>
    <t>Saltus Logistics</t>
  </si>
  <si>
    <t>comercializadora de perfumes originales</t>
  </si>
  <si>
    <t>Grupo Cruz Servicios Multidisciplinarios para la construccion</t>
  </si>
  <si>
    <t>GRUPO NUTEC</t>
  </si>
  <si>
    <t>ESTADO NATURAL</t>
  </si>
  <si>
    <t>Revisión de pendientes</t>
  </si>
  <si>
    <t>Autotravel México</t>
  </si>
  <si>
    <t>Rossbach de México</t>
  </si>
  <si>
    <t>Logica Interactiva</t>
  </si>
  <si>
    <t>Algodonera los pioneros</t>
  </si>
  <si>
    <t>Cal y Mayor y Asociados</t>
  </si>
  <si>
    <t>Curtidos Treviño</t>
  </si>
  <si>
    <t>Hospital y Clínica Oca</t>
  </si>
  <si>
    <t>Elite Produce</t>
  </si>
  <si>
    <t>Grupo Concreto San Luis</t>
  </si>
  <si>
    <t>Vertical Knits</t>
  </si>
  <si>
    <t>Industrias en Servicios Plásticos Manufactura</t>
  </si>
  <si>
    <t>CITA_CEO</t>
  </si>
  <si>
    <t>Maquinaria Intertorito</t>
  </si>
  <si>
    <t>Plastic Perfomance Solutions</t>
  </si>
  <si>
    <t>Seguimiento CAPEX / Impacto aranceles</t>
  </si>
  <si>
    <t>Floracopio Integradora</t>
  </si>
  <si>
    <t>MS HOMETECH</t>
  </si>
  <si>
    <t>Vialcoma</t>
  </si>
  <si>
    <t>Fleet Services MS</t>
  </si>
  <si>
    <t>Semillas Y Fertilizantes El Geyser</t>
  </si>
  <si>
    <t>Vegetal Prims</t>
  </si>
  <si>
    <t>Style Print</t>
  </si>
  <si>
    <t>Widechem</t>
  </si>
  <si>
    <t>Apícola Allende</t>
  </si>
  <si>
    <t>FABRICA ENVASES SOCESA</t>
  </si>
  <si>
    <t>Grupo Lomex</t>
  </si>
  <si>
    <t>Hopital San Jose Moscati</t>
  </si>
  <si>
    <t>Empacadora Therbal</t>
  </si>
  <si>
    <t>Sanatorio San José</t>
  </si>
  <si>
    <t>Procesadora Tecnológica De Polímeros</t>
  </si>
  <si>
    <t>Johan Froese Enns</t>
  </si>
  <si>
    <t>Industria Nacional de Detergentes</t>
  </si>
  <si>
    <t>Mayekawa de México</t>
  </si>
  <si>
    <t>revision de oportunidad</t>
  </si>
  <si>
    <t>Gas Metropolitano</t>
  </si>
  <si>
    <t>China Depot</t>
  </si>
  <si>
    <t>Comercializadora Farmacéutica De Chiapas</t>
  </si>
  <si>
    <t>Transportes RAM-MED</t>
  </si>
  <si>
    <t>Constructora Necaxa</t>
  </si>
  <si>
    <t>Meeting_Proyectos_2025</t>
  </si>
  <si>
    <t>Grupo Aluminio, Vidrio y Construcción</t>
  </si>
  <si>
    <t>Gla International Forwarding</t>
  </si>
  <si>
    <t>Desarrollo Industrial Logistico Mazatlan</t>
  </si>
  <si>
    <t>Muva Manufacturing</t>
  </si>
  <si>
    <t>Resolver Dudas Rentas Anticipadas</t>
  </si>
  <si>
    <t>Soluciones Flexoplasticas</t>
  </si>
  <si>
    <t>revisión de linea</t>
  </si>
  <si>
    <t>revision de propuesta</t>
  </si>
  <si>
    <t>revisión de equipo</t>
  </si>
  <si>
    <t>firma de contratos</t>
  </si>
  <si>
    <t>DESPERDICIOS INDUSTRIALES LOZANO, S.A. DE C.V.</t>
  </si>
  <si>
    <t>Aerogel México</t>
  </si>
  <si>
    <t>AVIT SOLUCIONES</t>
  </si>
  <si>
    <t>Ingenieros y Equipos Mecanicos</t>
  </si>
  <si>
    <t>Transportes Cariazur</t>
  </si>
  <si>
    <t>Odisa Obras y Desarrollos Industriales</t>
  </si>
  <si>
    <t>IT Workers</t>
  </si>
  <si>
    <t>ACEROS Y PRODUCTOS PERFICORTE</t>
  </si>
  <si>
    <t>call</t>
  </si>
  <si>
    <t>Reunion Alretech</t>
  </si>
  <si>
    <t>FLEET SUPER FLAMA</t>
  </si>
  <si>
    <t>Meeting_Presentación_Propuesta</t>
  </si>
  <si>
    <t>VERNICOLOR MEXICO</t>
  </si>
  <si>
    <t>Meeting_Revisión Proyectos</t>
  </si>
  <si>
    <t>GUILLERMO MONTES VEGA</t>
  </si>
  <si>
    <t>Tequila Siete Leguas</t>
  </si>
  <si>
    <t>Polyderivados</t>
  </si>
  <si>
    <t>IAMMOLD &amp; DIE</t>
  </si>
  <si>
    <t>Iamdmex</t>
  </si>
  <si>
    <t>Rybalsa Laguna</t>
  </si>
  <si>
    <t>Productos de Uva</t>
  </si>
  <si>
    <t>Transportes Monroy Schiavon</t>
  </si>
  <si>
    <t>REVISION DE OPORTUNIDADES</t>
  </si>
  <si>
    <t>MM Carga</t>
  </si>
  <si>
    <t>Detalles proximos equipos</t>
  </si>
  <si>
    <t>Conduit</t>
  </si>
  <si>
    <t>Distribuidora y Comercializadora San Andres</t>
  </si>
  <si>
    <t>OPERADORA MARRIOTT</t>
  </si>
  <si>
    <t>Ignacio Torres Jimenez</t>
  </si>
  <si>
    <t>Patiños Ranchs</t>
  </si>
  <si>
    <t>F&amp;F AROMATICS</t>
  </si>
  <si>
    <t>Corporacion Chihuahua</t>
  </si>
  <si>
    <t>Frutícola Steval</t>
  </si>
  <si>
    <t>Casa Rivero</t>
  </si>
  <si>
    <t>ALUMINIO VIDRIO Y ACABADOS</t>
  </si>
  <si>
    <t>HUMAN CORPORIS</t>
  </si>
  <si>
    <t>TRASNPORTES LORJA</t>
  </si>
  <si>
    <t>Fernanda Rangel</t>
  </si>
  <si>
    <t>Aluminios y derivados Arma</t>
  </si>
  <si>
    <t>Ejido Torrentera</t>
  </si>
  <si>
    <t>TRUE BRANDS</t>
  </si>
  <si>
    <t>EWS</t>
  </si>
  <si>
    <t>Ematec</t>
  </si>
  <si>
    <t>USK | Engen Capital [En persona]</t>
  </si>
  <si>
    <t>Del Tronix</t>
  </si>
  <si>
    <t>RE: Requerimientos para Arrendamiento</t>
  </si>
  <si>
    <t>Sierra Madre Gold and Silver</t>
  </si>
  <si>
    <t>Rosetta</t>
  </si>
  <si>
    <t>Garylop Rental Equipment</t>
  </si>
  <si>
    <t>Laboratorios Liomont</t>
  </si>
  <si>
    <t>Fundición Chorné</t>
  </si>
  <si>
    <t>SALERI MEXICO</t>
  </si>
  <si>
    <t>Transportadora GEOS</t>
  </si>
  <si>
    <t>Capex 2025</t>
  </si>
  <si>
    <t>Logística Mafa</t>
  </si>
  <si>
    <t>CAU</t>
  </si>
  <si>
    <t>Grupo Financiero Invex</t>
  </si>
  <si>
    <t>Invex Controladora</t>
  </si>
  <si>
    <t>Empaques y Embalajes Ecologicos</t>
  </si>
  <si>
    <t>Impresiones Eloram</t>
  </si>
  <si>
    <t>Grupo Textiles Leon</t>
  </si>
  <si>
    <t>Kunhwa Mexico</t>
  </si>
  <si>
    <t>Gluten y Almidones Industriales</t>
  </si>
  <si>
    <t>USK | Engen (Consolidación)</t>
  </si>
  <si>
    <t>CORAN QUALITY SOLUTIONS</t>
  </si>
  <si>
    <t>Grupo American Industries</t>
  </si>
  <si>
    <t>3R RECYCLING</t>
  </si>
  <si>
    <t>Agroexport De Sonora</t>
  </si>
  <si>
    <t>RECICLAJE Y RECOLECCION DEL BAJIO</t>
  </si>
  <si>
    <t>CORN GRITS MEXICO</t>
  </si>
  <si>
    <t>CHAD MANUFACTURING</t>
  </si>
  <si>
    <t>CITA_RENOVACIÓN FLOTILLA</t>
  </si>
  <si>
    <t>LANDUX</t>
  </si>
  <si>
    <t>ALBA DEL ARENAL GONZALEZ</t>
  </si>
  <si>
    <t>Servicio Metropolitano del Golfo</t>
  </si>
  <si>
    <t>CAMPESTRE DE CHIHUAHUA</t>
  </si>
  <si>
    <t>Algodonera los reyes</t>
  </si>
  <si>
    <t>Heineken</t>
  </si>
  <si>
    <t>Cervecería Cuauhtémoc Moctezuma</t>
  </si>
  <si>
    <t>Owens Corning México</t>
  </si>
  <si>
    <t>Resolver Pendientes AML</t>
  </si>
  <si>
    <t>Mna Nutrición Animal</t>
  </si>
  <si>
    <t>REVISION DE PROYECTOS</t>
  </si>
  <si>
    <t>FARUBER</t>
  </si>
  <si>
    <t>Seguimiento CAPEX 2025 / Factoraje</t>
  </si>
  <si>
    <t>Maderería Nasa</t>
  </si>
  <si>
    <t>INCOTECNICA</t>
  </si>
  <si>
    <t>Hospital San Rafael</t>
  </si>
  <si>
    <t>Transportes Frisa</t>
  </si>
  <si>
    <t>Transportes Aguila De Oro</t>
  </si>
  <si>
    <t>Bio Reciclados Folgueiras</t>
  </si>
  <si>
    <t>Comercializadora Folgueiras</t>
  </si>
  <si>
    <t>Constructora Apigro</t>
  </si>
  <si>
    <t>Hospital de Especialidades Jerez</t>
  </si>
  <si>
    <t>Rocka Gestion Proyectos y Construccion</t>
  </si>
  <si>
    <t>Agrovida Produce Noria Nueva</t>
  </si>
  <si>
    <t>Bala Consultoría de marca y diseño estratégico</t>
  </si>
  <si>
    <t>Todo Empanadas</t>
  </si>
  <si>
    <t>PROMOTORA CL</t>
  </si>
  <si>
    <t>BOTANAS BORJAS</t>
  </si>
  <si>
    <t>BITUMEN Y CONCRETO</t>
  </si>
  <si>
    <t>Alimentos y Golosinas de Calidad</t>
  </si>
  <si>
    <t>Artículos Industriales de Baquelita</t>
  </si>
  <si>
    <t>4 ON THE GO, S.A. DE C.V.</t>
  </si>
  <si>
    <t>Gpi Y Asociados</t>
  </si>
  <si>
    <t>Industrial Ferbus</t>
  </si>
  <si>
    <t>Grupo Retenum</t>
  </si>
  <si>
    <t>TESSAURUM</t>
  </si>
  <si>
    <t>TL LOGISTICS</t>
  </si>
  <si>
    <t>Chemo de Mexico</t>
  </si>
  <si>
    <t>Constructora Brigue</t>
  </si>
  <si>
    <t>Impelmex</t>
  </si>
  <si>
    <t>Duro Concretos</t>
  </si>
  <si>
    <t>Agregados Zacanta</t>
  </si>
  <si>
    <t>Revisión de proyectos</t>
  </si>
  <si>
    <t>INDUSTRIA GRANDE DE ALIMENTOS</t>
  </si>
  <si>
    <t>Mexicana de Anclas Mineras</t>
  </si>
  <si>
    <t>PYATRA MINERALS</t>
  </si>
  <si>
    <t>Seguimiento CAPEX / Factoraje / Fleet 2025</t>
  </si>
  <si>
    <t>Consultoría y Asesoría De Redes</t>
  </si>
  <si>
    <t>Semiremolques el Puma</t>
  </si>
  <si>
    <t>Empaques Moldeados De America Tecnologias</t>
  </si>
  <si>
    <t>Covimexi</t>
  </si>
  <si>
    <t>Seguimiento Integracion Expediente</t>
  </si>
  <si>
    <t>CITA_Revisión Inversiones</t>
  </si>
  <si>
    <t>Radiocare</t>
  </si>
  <si>
    <t>Calendarios Landin</t>
  </si>
  <si>
    <t>Gonhermex</t>
  </si>
  <si>
    <t>Comercializadora de Pescados y Mariscos el Charal</t>
  </si>
  <si>
    <t>El Charal</t>
  </si>
  <si>
    <t>Operadora Juventud</t>
  </si>
  <si>
    <t>Detalles administrativos ENGEN - Bosch</t>
  </si>
  <si>
    <t>Llamada</t>
  </si>
  <si>
    <t>Motorola Solutions de México</t>
  </si>
  <si>
    <t>Motorola Comercial</t>
  </si>
  <si>
    <t>GLOBAL TOTAL SERVICES LOGISTICS</t>
  </si>
  <si>
    <t>RUTER</t>
  </si>
  <si>
    <t>BOBIMEX</t>
  </si>
  <si>
    <t>ASM STEEL METAL</t>
  </si>
  <si>
    <t>Compa&amp;ia Industrial Plasvic</t>
  </si>
  <si>
    <t>Visita de seguimiento CAPEX 2025</t>
  </si>
  <si>
    <t>Grupo MOBINSA</t>
  </si>
  <si>
    <t>Mobinsa</t>
  </si>
  <si>
    <t>INDUSTRIAS PLASTICAS TARKUS</t>
  </si>
  <si>
    <t>Transportes Mexamerik | Engen Cap (seguimiento)</t>
  </si>
  <si>
    <t>GA Chem</t>
  </si>
  <si>
    <t>Qualy Plast</t>
  </si>
  <si>
    <t>Industrias Campos Hermanos</t>
  </si>
  <si>
    <t>Industrias Ch</t>
  </si>
  <si>
    <t>Enso Comunicacion</t>
  </si>
  <si>
    <t>Grupo MyT</t>
  </si>
  <si>
    <t>Komatsu Maquinarias México</t>
  </si>
  <si>
    <t>TRANSPORTES REASA LOGIST</t>
  </si>
  <si>
    <t>Condelmex</t>
  </si>
  <si>
    <t>CITA_NEW_ Proyectos_2025</t>
  </si>
  <si>
    <t>Adolfo Trejo Servicios Especiales</t>
  </si>
  <si>
    <t>Microformas</t>
  </si>
  <si>
    <t>PYATZ INGENIERIA BIOTECNOLÓGICA</t>
  </si>
  <si>
    <t>International Label</t>
  </si>
  <si>
    <t>REVERGY</t>
  </si>
  <si>
    <t>revision de factoraje</t>
  </si>
  <si>
    <t>Operadora de Terminales Marítimas</t>
  </si>
  <si>
    <t>Resolver Dudas Despacho NAPS</t>
  </si>
  <si>
    <t>Polimerida</t>
  </si>
  <si>
    <t>GRUPO COMERCOLOR SA DE CV</t>
  </si>
  <si>
    <t>Margger Ingenieros</t>
  </si>
  <si>
    <t>4M Industrias Plasticas</t>
  </si>
  <si>
    <t>Copeland de Mexico</t>
  </si>
  <si>
    <t>Trak Transportaciones</t>
  </si>
  <si>
    <t>Tiendas Nieto // Engen</t>
  </si>
  <si>
    <t>Grupo Canels</t>
  </si>
  <si>
    <t>UELITINI TONATIUTEOTL</t>
  </si>
  <si>
    <t>RE: Propuesta estructurada ? Consolidación de Pasivos USK ?</t>
  </si>
  <si>
    <t>comercializadora san german</t>
  </si>
  <si>
    <t>Laboratorio de Servicios Ambientales</t>
  </si>
  <si>
    <t>Procesadora de Alimentos Integrales</t>
  </si>
  <si>
    <t>Minera Rio Tinto</t>
  </si>
  <si>
    <t>Catalyst Cooper Corp</t>
  </si>
  <si>
    <t>Cooper-Standard Automotive Services</t>
  </si>
  <si>
    <t>Concretta</t>
  </si>
  <si>
    <t>Seguimiento Fleet / CAPEX</t>
  </si>
  <si>
    <t>Mision 21</t>
  </si>
  <si>
    <t>DESARROLLO RESIDENCIAS DEL CAÑON</t>
  </si>
  <si>
    <t>Postres Congelados Juárez</t>
  </si>
  <si>
    <t>Embutidos Corona</t>
  </si>
  <si>
    <t>Grupo Aldaramiz</t>
  </si>
  <si>
    <t>MACONDGMX</t>
  </si>
  <si>
    <t>Sypris Technologies México</t>
  </si>
  <si>
    <t>Grupo en Aceros del Sureste Mixteco</t>
  </si>
  <si>
    <t>Mexicana Automotriz</t>
  </si>
  <si>
    <t>Grupo ACMA</t>
  </si>
  <si>
    <t>MARIO ALBERTO SAENZ GARCIA</t>
  </si>
  <si>
    <t>Avícola Santo Madero</t>
  </si>
  <si>
    <t>Fletera Nacional de Gases</t>
  </si>
  <si>
    <t>PICK-ONE</t>
  </si>
  <si>
    <t>Corporativo IMT</t>
  </si>
  <si>
    <t>Evolucion en transporte</t>
  </si>
  <si>
    <t>Constructora Danso</t>
  </si>
  <si>
    <t>Copreci de México</t>
  </si>
  <si>
    <t>Transportes Nifer de Hidalgo</t>
  </si>
  <si>
    <t>Famep</t>
  </si>
  <si>
    <t>Meeting_Seguimiento_Revisión Activos</t>
  </si>
  <si>
    <t>Védat de Mexico</t>
  </si>
  <si>
    <t>Maquiladora Miniara</t>
  </si>
  <si>
    <t>Visita de Instalaciones</t>
  </si>
  <si>
    <t>Sweetsn Lolly Pops</t>
  </si>
  <si>
    <t>OPERADORA 2 MONTES</t>
  </si>
  <si>
    <t>CR INVERSIONES</t>
  </si>
  <si>
    <t>Eurus Aviation</t>
  </si>
  <si>
    <t>Shacman / Spartan Motors México</t>
  </si>
  <si>
    <t>Visita de seguimiento CAPEX</t>
  </si>
  <si>
    <t>Agricultores Unidos de Mexicali</t>
  </si>
  <si>
    <t>INDUSTRIAS PLASTICAS DEL CENTRO</t>
  </si>
  <si>
    <t>Agricola Mexicali</t>
  </si>
  <si>
    <t>Seguimiento_Operación</t>
  </si>
  <si>
    <t>Kaktus Seguridad Privada</t>
  </si>
  <si>
    <t>Empacadora el fresno</t>
  </si>
  <si>
    <t>TRANSPORTES MORELOS ZACATECAS</t>
  </si>
  <si>
    <t>Integradora de servicios UTCM</t>
  </si>
  <si>
    <t>Disposicion Nueva Linea</t>
  </si>
  <si>
    <t>Fabrica De Papel San Francisco</t>
  </si>
  <si>
    <t>Seguimiento CAPEX / Fleet / Factoraje</t>
  </si>
  <si>
    <t>Cacsa Saneamiento</t>
  </si>
  <si>
    <t>Seguimiento Disposicion Nueva linea</t>
  </si>
  <si>
    <t>PCH MAYOREO</t>
  </si>
  <si>
    <t>SUBASTAS PROFESIONALES SALPROF</t>
  </si>
  <si>
    <t>ALLTANSA</t>
  </si>
  <si>
    <t>RAFMEX</t>
  </si>
  <si>
    <t>SMART INDUSTRIES</t>
  </si>
  <si>
    <t>Drex Soluciones Comerciales</t>
  </si>
  <si>
    <t>Homero Castro Rodriguez</t>
  </si>
  <si>
    <t>Zirin Laboratorios</t>
  </si>
  <si>
    <t>LADAVINES COSMETICOS</t>
  </si>
  <si>
    <t>Llamada con nuestra area Legal</t>
  </si>
  <si>
    <t>En-trega</t>
  </si>
  <si>
    <t>Constructora y Edificadora GIA+A</t>
  </si>
  <si>
    <t>Simil Cuero Plymouth</t>
  </si>
  <si>
    <t>Dos Tercios y Medios</t>
  </si>
  <si>
    <t>CENTRO PRODUCTOR AGRICOLA EL CHAPOTEADERO</t>
  </si>
  <si>
    <t>Noxgen Biotech</t>
  </si>
  <si>
    <t>Especias de Amacuzac</t>
  </si>
  <si>
    <t>Gruas San Luis</t>
  </si>
  <si>
    <t>m</t>
  </si>
  <si>
    <t>Meeting_proyecto_2025</t>
  </si>
  <si>
    <t>BIG LOGISTICA INTEGRAL</t>
  </si>
  <si>
    <t>ZALXA SERVICIOS CULINARIOS</t>
  </si>
  <si>
    <t>FUSION DE NEGOCIOS</t>
  </si>
  <si>
    <t>Asofarma de México</t>
  </si>
  <si>
    <t>Urvina Servicios Internacionales</t>
  </si>
  <si>
    <t>INTEGRACIONES PLASTICAS</t>
  </si>
  <si>
    <t>Materiales y Etiquetas Millennium</t>
  </si>
  <si>
    <t>Prome Del Norte</t>
  </si>
  <si>
    <t>Investigación y Hematología</t>
  </si>
  <si>
    <t>Mazter Maderas</t>
  </si>
  <si>
    <t>Dimapesa</t>
  </si>
  <si>
    <t>Sbcbsg Company de México</t>
  </si>
  <si>
    <t>Interpack Solutions</t>
  </si>
  <si>
    <t>ETIXPRESS</t>
  </si>
  <si>
    <t>Giovani Aleksis Manzano Argoytia</t>
  </si>
  <si>
    <t>Grupo Inmobiliario Arrendador</t>
  </si>
  <si>
    <t>TORRE POLANCO</t>
  </si>
  <si>
    <t>Inversiones Turísticas Cancún</t>
  </si>
  <si>
    <t>Cita_Seguimiento_Flotilla</t>
  </si>
  <si>
    <t>Grupo Dipsa</t>
  </si>
  <si>
    <t>CITA_NEW_</t>
  </si>
  <si>
    <t>HASTEN</t>
  </si>
  <si>
    <t>UNIVERSIDAD ANÁHUAC MAYAB</t>
  </si>
  <si>
    <t>OPE MANUFACTURER MEXICO</t>
  </si>
  <si>
    <t>Administración Tultitlán</t>
  </si>
  <si>
    <t>Sparta Transportes de personal</t>
  </si>
  <si>
    <t>Driller Cimentaciones</t>
  </si>
  <si>
    <t>MINERA INDE DE DURANGO</t>
  </si>
  <si>
    <t>SINOBOOM</t>
  </si>
  <si>
    <t>GRUPO JINIM</t>
  </si>
  <si>
    <t>GRUINDAG INTERNATIONAL</t>
  </si>
  <si>
    <t>Autosistemas De Torreon</t>
  </si>
  <si>
    <t>Cycosa Plasticos</t>
  </si>
  <si>
    <t>Polytipo de Occidente</t>
  </si>
  <si>
    <t>Cajaplax</t>
  </si>
  <si>
    <t>Refacciones y Servicio Automotriz Denisse</t>
  </si>
  <si>
    <t>F.G. Electrical Representatives</t>
  </si>
  <si>
    <t>Saroma</t>
  </si>
  <si>
    <t>Central de Productos Químicos</t>
  </si>
  <si>
    <t>Bosch en México</t>
  </si>
  <si>
    <t>Drugmex Mexico</t>
  </si>
  <si>
    <t>Citrojugo</t>
  </si>
  <si>
    <t>Alimentos Naturales Rancho Viejo</t>
  </si>
  <si>
    <t>MARIA ESTELA FLORES HAMUE</t>
  </si>
  <si>
    <t>Transportes Hermanos Beltrán</t>
  </si>
  <si>
    <t>MGM SERVICIOS</t>
  </si>
  <si>
    <t>Prometálica</t>
  </si>
  <si>
    <t>Sissa Monitoring Integral</t>
  </si>
  <si>
    <t>OLE A&amp;D Mexico</t>
  </si>
  <si>
    <t>GRUAS OCOTLENSES</t>
  </si>
  <si>
    <t>Cargo y Porteo</t>
  </si>
  <si>
    <t>Reunión Fam. Garza</t>
  </si>
  <si>
    <t>Regio Gas</t>
  </si>
  <si>
    <t>Gruas Mendoza</t>
  </si>
  <si>
    <t>JTC PROVEEDOR MEDICO</t>
  </si>
  <si>
    <t>Revision Propuesta MACIMEX</t>
  </si>
  <si>
    <t>IC QUBA</t>
  </si>
  <si>
    <t>XICUCO INFRAESTRUCTURA Y CONSTRUCCION</t>
  </si>
  <si>
    <t>Desarrollo y Proyectos de las Huastecas</t>
  </si>
  <si>
    <t>Dedicated Transport</t>
  </si>
  <si>
    <t>Congelados Alysa</t>
  </si>
  <si>
    <t>Transportes Escobedo</t>
  </si>
  <si>
    <t>Sociedad Cooperativa De Producción De Servicios Juárez</t>
  </si>
  <si>
    <t>Medios Filtrantes Industriales</t>
  </si>
  <si>
    <t>COMERCIALIZADORA E INDUSTRIALIZADORA DEL NOROESTE</t>
  </si>
  <si>
    <t>Gas San Juan</t>
  </si>
  <si>
    <t>WKS Door Systems</t>
  </si>
  <si>
    <t>Parques Logisticos e Industriales</t>
  </si>
  <si>
    <t>Comercializadora Y Manufacturera Jfrb Rambel</t>
  </si>
  <si>
    <t>CHISEMEX</t>
  </si>
  <si>
    <t>Constructora Lan</t>
  </si>
  <si>
    <t>PRODUCTOS ALIMENTICIOS LA MORENA</t>
  </si>
  <si>
    <t>Integradora Aduanal y de Servicios Woodward</t>
  </si>
  <si>
    <t>Innoquality</t>
  </si>
  <si>
    <t>SUPERBAG DE MEXICO</t>
  </si>
  <si>
    <t>Logistorage</t>
  </si>
  <si>
    <t>Mueblerias Issa de Chihuahua</t>
  </si>
  <si>
    <t>Bodegas Yucatan</t>
  </si>
  <si>
    <t>Chiimpak</t>
  </si>
  <si>
    <t>Unicar Plastics</t>
  </si>
  <si>
    <t>Unicar Mexicana</t>
  </si>
  <si>
    <t>GRUPO SANSILVEX</t>
  </si>
  <si>
    <t>Metal Tec Industrial</t>
  </si>
  <si>
    <t>Linet de México</t>
  </si>
  <si>
    <t>UNIVERSIDAD MARISTA DE MÉRIDA</t>
  </si>
  <si>
    <t>FYC Multiservicios Generales Industriales</t>
  </si>
  <si>
    <t>Sermec</t>
  </si>
  <si>
    <t>Fabricaciones Industriales Computarizadas</t>
  </si>
  <si>
    <t>Forestal La Reforma</t>
  </si>
  <si>
    <t>Camen Quimica</t>
  </si>
  <si>
    <t>Aerocharter Swissport Mexico</t>
  </si>
  <si>
    <t>Grupo Constructor San Salvador</t>
  </si>
  <si>
    <t>MACAPEX</t>
  </si>
  <si>
    <t>Express Logistics Ramy</t>
  </si>
  <si>
    <t>JCB</t>
  </si>
  <si>
    <t>Soy Acero</t>
  </si>
  <si>
    <t>Logistic DL</t>
  </si>
  <si>
    <t>Equipos Agrícolas Jar</t>
  </si>
  <si>
    <t>Grupo El Nogal</t>
  </si>
  <si>
    <t>BLOQUERA STAR DE BC</t>
  </si>
  <si>
    <t>Hule y Silicon</t>
  </si>
  <si>
    <t>Tequila Herradura</t>
  </si>
  <si>
    <t>Carnicería La Alianza</t>
  </si>
  <si>
    <t>GOCO PAVIMENTOS Y TERRACERIAS</t>
  </si>
  <si>
    <t>Sociedad de Productores de Guanabana de la Cruz</t>
  </si>
  <si>
    <t>Cardboard and Boxes de México</t>
  </si>
  <si>
    <t>Manrent</t>
  </si>
  <si>
    <t>CBS Facility Services</t>
  </si>
  <si>
    <t>Controls &amp; Business Services</t>
  </si>
  <si>
    <t>Schmidt Schuler &amp; Herrick</t>
  </si>
  <si>
    <t>SUADCO</t>
  </si>
  <si>
    <t>Node Park</t>
  </si>
  <si>
    <t>Lito Etiquetas</t>
  </si>
  <si>
    <t>RENOVABLES Y SERVICIOS DEL NORTE</t>
  </si>
  <si>
    <t>Svifflug</t>
  </si>
  <si>
    <t>REFACCIONARIA REYES ROANMA</t>
  </si>
  <si>
    <t>visita</t>
  </si>
  <si>
    <t>Leon Plastics automotive de mexico</t>
  </si>
  <si>
    <t>IRONPLAST</t>
  </si>
  <si>
    <t>Organizacion Papelera Mexicana</t>
  </si>
  <si>
    <t>Alimentos y Servicios Pecuarios</t>
  </si>
  <si>
    <t>Transportes Oma</t>
  </si>
  <si>
    <t>G Y S Marketing</t>
  </si>
  <si>
    <t>Eléctrica Ab</t>
  </si>
  <si>
    <t>CITA_NEW_Proyectos_2025</t>
  </si>
  <si>
    <t>TRINITA GRUPO HOSPITALARIO</t>
  </si>
  <si>
    <t>Operaciones Internacionales Sabre</t>
  </si>
  <si>
    <t>INGENIERIA APLICADA</t>
  </si>
  <si>
    <t>Modelos yasiro</t>
  </si>
  <si>
    <t>JUAN AGUILAR HERRERA</t>
  </si>
  <si>
    <t>Ernesto Escalante Rondero</t>
  </si>
  <si>
    <t>Seguimiento Refinanciamiento</t>
  </si>
  <si>
    <t>C&amp;S DEL CENTRO</t>
  </si>
  <si>
    <t>Multiceras</t>
  </si>
  <si>
    <t>Nephosit Consultores</t>
  </si>
  <si>
    <t>Elizondo Agroalimentos</t>
  </si>
  <si>
    <t>Obrador San Pancho</t>
  </si>
  <si>
    <t>Consorcio Cuarzo JE</t>
  </si>
  <si>
    <t>Mimsa</t>
  </si>
  <si>
    <t>Proftech</t>
  </si>
  <si>
    <t>Ganaderos Industriales de la Leche</t>
  </si>
  <si>
    <t>ALCOHOLERA COMEGSA</t>
  </si>
  <si>
    <t>Nutri Seleccion</t>
  </si>
  <si>
    <t>Metecno</t>
  </si>
  <si>
    <t>Q-pumps</t>
  </si>
  <si>
    <t>Bingham de México</t>
  </si>
  <si>
    <t>Embutidos La Chicharronera</t>
  </si>
  <si>
    <t>CIALTIA</t>
  </si>
  <si>
    <t>Comercializadora Afzet</t>
  </si>
  <si>
    <t>seguimiento Propuesta Factoraje / CAPEX</t>
  </si>
  <si>
    <t>Tequila la piedra</t>
  </si>
  <si>
    <t>Oleoquimica Mexicana</t>
  </si>
  <si>
    <t>FAST COLD</t>
  </si>
  <si>
    <t>Seguimiento Fleet / Capex</t>
  </si>
  <si>
    <t>Galu Distribuciones</t>
  </si>
  <si>
    <t>Seguimiento Factoraje - Nidia Marcial</t>
  </si>
  <si>
    <t>Glezco Supply</t>
  </si>
  <si>
    <t>La Otra Post, Eventos y Video</t>
  </si>
  <si>
    <t>Traxys Mexico</t>
  </si>
  <si>
    <t>Hacienda la Boquilla</t>
  </si>
  <si>
    <t>Industrias Dinamek</t>
  </si>
  <si>
    <t>Scatel</t>
  </si>
  <si>
    <t>Tuto Power</t>
  </si>
  <si>
    <t>Mayan Resorts</t>
  </si>
  <si>
    <t>Manzanilla La Pastora</t>
  </si>
  <si>
    <t>Transportes Davila</t>
  </si>
  <si>
    <t>AZTEC PLUMBING</t>
  </si>
  <si>
    <t>Medidores Industriales y Médicos</t>
  </si>
  <si>
    <t>ABASTECEDORA DE HOTELES Y RESTAURANTES GARBHO</t>
  </si>
  <si>
    <t>Bagfort</t>
  </si>
  <si>
    <t>CORNELIUS OFFSHORE</t>
  </si>
  <si>
    <t>Industrias Komodo</t>
  </si>
  <si>
    <t>GS GRUAS INDUSTRIALES</t>
  </si>
  <si>
    <t>Abarrotes Hilo</t>
  </si>
  <si>
    <t>Ballotini Panamericana</t>
  </si>
  <si>
    <t>Auto Express Flores Guerra</t>
  </si>
  <si>
    <t>CIRSADI GASOLINERAS</t>
  </si>
  <si>
    <t>Industria Plastica de Queretaro</t>
  </si>
  <si>
    <t>Bohn de México</t>
  </si>
  <si>
    <t>Maquiladora Gráfica Mexicana</t>
  </si>
  <si>
    <t>SERVICIOS INDUSTRIALES FAFACI</t>
  </si>
  <si>
    <t>Industrias Geoeko</t>
  </si>
  <si>
    <t>mekanisch</t>
  </si>
  <si>
    <t>Hg Control Y Automatización</t>
  </si>
  <si>
    <t>T100 Corporativo</t>
  </si>
  <si>
    <t>EDINC</t>
  </si>
  <si>
    <t>Silos San Rafael</t>
  </si>
  <si>
    <t>CASA ELECTRICA INDUSTRIAL Y SERVICIOS DE AIRE</t>
  </si>
  <si>
    <t>ESCO del Noroeste</t>
  </si>
  <si>
    <t>Raising Brands</t>
  </si>
  <si>
    <t>Packaging</t>
  </si>
  <si>
    <t>Ibtest</t>
  </si>
  <si>
    <t>Operadora Comercial Purépecha</t>
  </si>
  <si>
    <t>Colliers Lomelin</t>
  </si>
  <si>
    <t>Cuestionario Calificacion de LInea</t>
  </si>
  <si>
    <t>Tracsa</t>
  </si>
  <si>
    <t>Emsan Consultoria y Asesoria</t>
  </si>
  <si>
    <t>Suburban</t>
  </si>
  <si>
    <t>Centro Oncologico Privado</t>
  </si>
  <si>
    <t>ASCENDUM MAQUINARIA MEXICO</t>
  </si>
  <si>
    <t>AGRICOLA HERMANOS MONDRAGON</t>
  </si>
  <si>
    <t>Corporate Travel Services Worldwide</t>
  </si>
  <si>
    <t>Comercons Gaisa</t>
  </si>
  <si>
    <t>Karol Alfaro</t>
  </si>
  <si>
    <t>Texturizados y Tejidos Windsor</t>
  </si>
  <si>
    <t>CIA DE MINERALES AVE FENIX</t>
  </si>
  <si>
    <t>Concretos La Silla</t>
  </si>
  <si>
    <t>Pinturas Y Recubrimientos Piramides</t>
  </si>
  <si>
    <t>ARES METALS</t>
  </si>
  <si>
    <t>HANGCHA MEXICO</t>
  </si>
  <si>
    <t>Transporte de personal RCJ</t>
  </si>
  <si>
    <t>TRANSPORTE DE PERSONAL JOSELYN</t>
  </si>
  <si>
    <t>Visita Riesgo</t>
  </si>
  <si>
    <t>GRUPO EMPRESARIAL ENLACE EN SISTEMAS DE AUTOTRANSPORTE</t>
  </si>
  <si>
    <t>Plegadizos y Corrugados Apolo</t>
  </si>
  <si>
    <t>LG Frutas</t>
  </si>
  <si>
    <t>Jose Jaime Paulin Cisneros</t>
  </si>
  <si>
    <t>Fabrica de Dulces y chocolates La poblana</t>
  </si>
  <si>
    <t>Alimentos Mager</t>
  </si>
  <si>
    <t>Optimal Berry Group</t>
  </si>
  <si>
    <t>Politriturados del Sur</t>
  </si>
  <si>
    <t>Citrofrut</t>
  </si>
  <si>
    <t>Proeza</t>
  </si>
  <si>
    <t>EDICOM MRZZANINE RACKS</t>
  </si>
  <si>
    <t>Tmis Equipos Industriales</t>
  </si>
  <si>
    <t>CORELA</t>
  </si>
  <si>
    <t>Seglo Mexicana</t>
  </si>
  <si>
    <t>Flexotecnia</t>
  </si>
  <si>
    <t>Ejecución de Proyectos Industriales</t>
  </si>
  <si>
    <t>The Gund Company</t>
  </si>
  <si>
    <t>TRACTOFULL MULTISERVICIOS</t>
  </si>
  <si>
    <t>GRUPO RPS AMERICAS</t>
  </si>
  <si>
    <t>Bombas Verticales Bnj</t>
  </si>
  <si>
    <t>Transportes Especializados Olmen</t>
  </si>
  <si>
    <t>Powerstein Paneles Solares</t>
  </si>
  <si>
    <t>Die Cut Solutions</t>
  </si>
  <si>
    <t>GRUPO APE</t>
  </si>
  <si>
    <t>Servicios Alimenticios Elma</t>
  </si>
  <si>
    <t>Comercial Ferbera</t>
  </si>
  <si>
    <t>Karen Davila</t>
  </si>
  <si>
    <t>Derecho y Naturaleza</t>
  </si>
  <si>
    <t>Co2 Liquid</t>
  </si>
  <si>
    <t>Firma Anexo 6 / Nuevas disposiciones</t>
  </si>
  <si>
    <t>QM Comercializadora</t>
  </si>
  <si>
    <t>COLTREGO</t>
  </si>
  <si>
    <t>Tubos y Depresibles Mexicanos</t>
  </si>
  <si>
    <t>TVT LOGISTIC AND TRANSPORT</t>
  </si>
  <si>
    <t>Aluminio Inyectado 5000</t>
  </si>
  <si>
    <t>Com foundry</t>
  </si>
  <si>
    <t>Maquinox Comercial</t>
  </si>
  <si>
    <t>Industrias Sandarey</t>
  </si>
  <si>
    <t>productos de limpieza Alondra</t>
  </si>
  <si>
    <t>Juama</t>
  </si>
  <si>
    <t>Gramosa Agroalimentos</t>
  </si>
  <si>
    <t>Operadora Mexicana de Chile</t>
  </si>
  <si>
    <t>Transbiaga Servicios</t>
  </si>
  <si>
    <t>Quesos las Mesitas</t>
  </si>
  <si>
    <t>Lácteos Gama</t>
  </si>
  <si>
    <t>LACTEOS EL ANGEL</t>
  </si>
  <si>
    <t>GLECO MEDICAL USA</t>
  </si>
  <si>
    <t>USA Mex Carrier</t>
  </si>
  <si>
    <t>Grupo Porteo Logístico</t>
  </si>
  <si>
    <t>Jorge Mariano Caballero Cordova</t>
  </si>
  <si>
    <t>POLIFORMAS PLÁSTICAS</t>
  </si>
  <si>
    <t>KNZ Logística</t>
  </si>
  <si>
    <t>COMUNIPETS LOGISTICS</t>
  </si>
  <si>
    <t>Titanx Engine Cooling de México</t>
  </si>
  <si>
    <t>Hospitales Familiares</t>
  </si>
  <si>
    <t>Agroservicios Del Norte</t>
  </si>
  <si>
    <t>Montaña ATP de México</t>
  </si>
  <si>
    <t>Agroquimicos Versa</t>
  </si>
  <si>
    <t>XILINAT</t>
  </si>
  <si>
    <t>Grupo Constructor Vagasa</t>
  </si>
  <si>
    <t>MABASA</t>
  </si>
  <si>
    <t>Hertrucks</t>
  </si>
  <si>
    <t>Bruce Medica</t>
  </si>
  <si>
    <t>Consorcio Uno</t>
  </si>
  <si>
    <t>PIECSA</t>
  </si>
  <si>
    <t>SEGUIMIENTO_</t>
  </si>
  <si>
    <t>Nor-Seg Servicios De Seguridad Privada</t>
  </si>
  <si>
    <t>PROVEEDORAA PIINSA</t>
  </si>
  <si>
    <t>Contrato Solar</t>
  </si>
  <si>
    <t>Nojisa</t>
  </si>
  <si>
    <t>Manufacturera Goertzen Y Asociados</t>
  </si>
  <si>
    <t>INDUSTRIAS FRIMAR</t>
  </si>
  <si>
    <t>AGROINDUSTRIA OLEICA DE LA REGION DE LOS RIOS</t>
  </si>
  <si>
    <t>Multimodal Logistica y Servicios</t>
  </si>
  <si>
    <t>Maquinados AEME</t>
  </si>
  <si>
    <t>Wc Móvil De Monterrey</t>
  </si>
  <si>
    <t>PRESENTACION DE SERVICIOS</t>
  </si>
  <si>
    <t>Triturados San Jeronimo</t>
  </si>
  <si>
    <t>Zulma Yaneth Arato Casillas</t>
  </si>
  <si>
    <t>Grupo Besco</t>
  </si>
  <si>
    <t>SRI Refrigeracion inteligente</t>
  </si>
  <si>
    <t>Constru Almar</t>
  </si>
  <si>
    <t>Apoyo logistico Aereo S.A de C.V</t>
  </si>
  <si>
    <t>Julio Alejandro Aguillon Meza</t>
  </si>
  <si>
    <t>SEGTEC VIDRIO</t>
  </si>
  <si>
    <t>Fab tech</t>
  </si>
  <si>
    <t>Procemmex</t>
  </si>
  <si>
    <t>Hospital Hispano Americano</t>
  </si>
  <si>
    <t>Sekura Agente de Seguros y de Fianzas</t>
  </si>
  <si>
    <t>Jala Group</t>
  </si>
  <si>
    <t>SERVICIOS INTEGRALES FLORES</t>
  </si>
  <si>
    <t>CARNICERIA ALCON</t>
  </si>
  <si>
    <t>Intermatex México</t>
  </si>
  <si>
    <t>OPERACIONES LITTCE</t>
  </si>
  <si>
    <t>Cipsa Electrificaciones,</t>
  </si>
  <si>
    <t>Fabagro Group</t>
  </si>
  <si>
    <t>Productora Nava de Semillas</t>
  </si>
  <si>
    <t>Grupo AP Alerta</t>
  </si>
  <si>
    <t>INTERNATIONAL CORPORATE &amp; CARGO SERVICES</t>
  </si>
  <si>
    <t>Ecolujo Lifestyle México</t>
  </si>
  <si>
    <t>Armstrong Laboratorios de México</t>
  </si>
  <si>
    <t>Estrategias y Transportes Jimenez</t>
  </si>
  <si>
    <t>SANDIN DISTRIBUIDORA DE ACERO Y MAQUILA</t>
  </si>
  <si>
    <t>Be Collection</t>
  </si>
  <si>
    <t>PREMEZCLADOS NAZAS</t>
  </si>
  <si>
    <t>Magueyeras</t>
  </si>
  <si>
    <t>Hotel Via Dorada</t>
  </si>
  <si>
    <t>JESUS JOSE SAENZ GABALDON</t>
  </si>
  <si>
    <t>Comercializadora De Frecuencias Satelitales</t>
  </si>
  <si>
    <t>Cemix</t>
  </si>
  <si>
    <t>IMBERA</t>
  </si>
  <si>
    <t>Logística Togua</t>
  </si>
  <si>
    <t>Servicios Empresariales 77</t>
  </si>
  <si>
    <t>Plásticos Y Distribuciones Arrisal</t>
  </si>
  <si>
    <t>Redbox Innovation</t>
  </si>
  <si>
    <t>S.I. SUPPLY</t>
  </si>
  <si>
    <t>Clúster Agroalimentario</t>
  </si>
  <si>
    <t>Eraquimicos</t>
  </si>
  <si>
    <t>DISPAC</t>
  </si>
  <si>
    <t>Explotaciones Agropecuarias de Aguascalientes</t>
  </si>
  <si>
    <t>Grupe</t>
  </si>
  <si>
    <t>Bolsas Delta</t>
  </si>
  <si>
    <t>Unión de ruteros 327 y anexas</t>
  </si>
  <si>
    <t>CITA_NEW_FACTORAJE</t>
  </si>
  <si>
    <t>IOTZONE</t>
  </si>
  <si>
    <t>GRUAS VIAJERAS Y POLIPASTOS DEL BAJIO</t>
  </si>
  <si>
    <t>Cydsa Corporativo</t>
  </si>
  <si>
    <t>Ingenio Santos</t>
  </si>
  <si>
    <t>Suelas Wyny</t>
  </si>
  <si>
    <t>Galvanizadora Comercial</t>
  </si>
  <si>
    <t>Almacén y Cruce de Occidente</t>
  </si>
  <si>
    <t>Metalwork &amp; Stamping</t>
  </si>
  <si>
    <t>GRUPO LA LUZ</t>
  </si>
  <si>
    <t>Mevisa Componentes</t>
  </si>
  <si>
    <t>Agrícola 3 marias</t>
  </si>
  <si>
    <t>Pharmet</t>
  </si>
  <si>
    <t>Alpe Fresh</t>
  </si>
  <si>
    <t>Triturados Sol y Luna</t>
  </si>
  <si>
    <t>Quanti Solutions</t>
  </si>
  <si>
    <t>Dmtress</t>
  </si>
  <si>
    <t>Milacron</t>
  </si>
  <si>
    <t>Dannova</t>
  </si>
  <si>
    <t>Autotransportes Generales de Carga Tamez</t>
  </si>
  <si>
    <t>Agropecuaria Sans Souci</t>
  </si>
  <si>
    <t>Anfora International</t>
  </si>
  <si>
    <t>INGENIERIA EN INSTALACIONES EN GASES MEDICINALES</t>
  </si>
  <si>
    <t>ACUICOLA BREYEAN</t>
  </si>
  <si>
    <t>LAVAL TIJUANA</t>
  </si>
  <si>
    <t>GRUPO AVOFRUSSION DE MICHOACAN</t>
  </si>
  <si>
    <t>Acuicola Belpa</t>
  </si>
  <si>
    <t>Tecnolite Iluminación</t>
  </si>
  <si>
    <t>Vemadec</t>
  </si>
  <si>
    <t>Comercializadora De Llantas Tres Siglos</t>
  </si>
  <si>
    <t>Tec Salud / Hospital Zambrano Hellion</t>
  </si>
  <si>
    <t>Zaga Techos Curvos</t>
  </si>
  <si>
    <t>Embotelladora Mayol</t>
  </si>
  <si>
    <t>Marca Prefabricados</t>
  </si>
  <si>
    <t>COMERCIALIZADORA DE SECOS ORO DE SOL DE OCCIDENTE</t>
  </si>
  <si>
    <t>Comercializadora Sol de los Arcos</t>
  </si>
  <si>
    <t>RECUBRIMIENTOS ECOLÓGICOS Y RECICLADOS</t>
  </si>
  <si>
    <t>Sitma de Mesoamérica</t>
  </si>
  <si>
    <t>SERVICIOS ESPECIALIZADOS EN MANTENIMIENTO AGUA Y AHORRO DE ENERGIA</t>
  </si>
  <si>
    <t>Forrajera Acatepec</t>
  </si>
  <si>
    <t>Eficiencia en Sistemas de Energía Renovable del Centro</t>
  </si>
  <si>
    <t>Fehr Bros. Industries</t>
  </si>
  <si>
    <t>Comercializadora Ganso</t>
  </si>
  <si>
    <t>SONIKA EQUIPOS MEDICOS</t>
  </si>
  <si>
    <t>OATLY</t>
  </si>
  <si>
    <t>Envio de Propuesta /Precalificacion de cartera</t>
  </si>
  <si>
    <t>Comercializadora Mecer Fresh</t>
  </si>
  <si>
    <t>CENTRO MEDICO INTERLOMAS</t>
  </si>
  <si>
    <t>Saverglass</t>
  </si>
  <si>
    <t>Servicios Administrados Mexis</t>
  </si>
  <si>
    <t>Industrias Pear</t>
  </si>
  <si>
    <t>BYRBIO</t>
  </si>
  <si>
    <t>Soporte y Suministro industrial del caribe</t>
  </si>
  <si>
    <t>AUTOMANUFACTURAS DE QUERETARO</t>
  </si>
  <si>
    <t>Cinca</t>
  </si>
  <si>
    <t>Envolpan de México</t>
  </si>
  <si>
    <t>GUSTAVO CAMPOS ZAMORA</t>
  </si>
  <si>
    <t>Arnime</t>
  </si>
  <si>
    <t>VIDRIO BISEL</t>
  </si>
  <si>
    <t>Tranportes San Baron</t>
  </si>
  <si>
    <t>Pack Mach</t>
  </si>
  <si>
    <t>central economica de productos y alimentos</t>
  </si>
  <si>
    <t>Productora y comercializadora Jem</t>
  </si>
  <si>
    <t>Manufacturas Especializadas</t>
  </si>
  <si>
    <t>Viñedos La Redonda</t>
  </si>
  <si>
    <t>cita presentacion de servicios</t>
  </si>
  <si>
    <t>Grupo Viva Aerobus</t>
  </si>
  <si>
    <t>Talleres Industriales Steelgo</t>
  </si>
  <si>
    <t>Extracciones y Triturados del Pacifico</t>
  </si>
  <si>
    <t>Rancho Aguamarina</t>
  </si>
  <si>
    <t>Aceros Alcade</t>
  </si>
  <si>
    <t>GXO Logistics</t>
  </si>
  <si>
    <t>Productos Medellín</t>
  </si>
  <si>
    <t>Transportes Medrano</t>
  </si>
  <si>
    <t>Autotransporte y Logística Especializada XA</t>
  </si>
  <si>
    <t>ACMI MEXICO</t>
  </si>
  <si>
    <t>Vive Grupo Constructor</t>
  </si>
  <si>
    <t>Epóxicos y Pintura Industrial</t>
  </si>
  <si>
    <t>Tarimex Empaques</t>
  </si>
  <si>
    <t>Transportes alamo</t>
  </si>
  <si>
    <t>Wyn de México Productos Químicos</t>
  </si>
  <si>
    <t>Tracto Termos del Sureste</t>
  </si>
  <si>
    <t>GRUPO JOSE EDUARDO FIMBRES MURRIETA</t>
  </si>
  <si>
    <t>LATECOERE MEXICO</t>
  </si>
  <si>
    <t>Tecnienvases plásticos</t>
  </si>
  <si>
    <t>Industrias Tugal</t>
  </si>
  <si>
    <t>DISTRIBUIDORA DE DULCES Y CACAHUATES DEL REY</t>
  </si>
  <si>
    <t>Reunión equipo de transporte</t>
  </si>
  <si>
    <t>Transportes Mazatlán</t>
  </si>
  <si>
    <t>Tiny Pack</t>
  </si>
  <si>
    <t>Innovaciones Servicios y Suministro Chontal</t>
  </si>
  <si>
    <t>Doisy</t>
  </si>
  <si>
    <t>TOR CAPITAL GLOBAL</t>
  </si>
  <si>
    <t>ARQCON J+E</t>
  </si>
  <si>
    <t>Clasificadora y Distribuidora De Materiales Para Construcción</t>
  </si>
  <si>
    <t>Salsas Castillo</t>
  </si>
  <si>
    <t>Productos Dietrix</t>
  </si>
  <si>
    <t>Aristeo de Jesús Muñoz Candia</t>
  </si>
  <si>
    <t>Grupo Indumil</t>
  </si>
  <si>
    <t>SOLUCIONES ENLACE XXI</t>
  </si>
  <si>
    <t>Oswaldo Ancona Ricalde</t>
  </si>
  <si>
    <t>Buho Media Shop</t>
  </si>
  <si>
    <t>Ganadera El Setenta</t>
  </si>
  <si>
    <t>Grúas Tuxpam</t>
  </si>
  <si>
    <t>Forma Diseño Industrial</t>
  </si>
  <si>
    <t>PLASTIC INNOVATION DE CHIHUAHUA</t>
  </si>
  <si>
    <t>Seguimiento Backlog / Flujo Cobranza</t>
  </si>
  <si>
    <t>ROSCH TRANSPORTE</t>
  </si>
  <si>
    <t>Kentho Química De Monterrey</t>
  </si>
  <si>
    <t>Castesa</t>
  </si>
  <si>
    <t>Brudden de México</t>
  </si>
  <si>
    <t>Manufacturas PITIC</t>
  </si>
  <si>
    <t>Almacenadora Jalisciense</t>
  </si>
  <si>
    <t>H2G Soluciones</t>
  </si>
  <si>
    <t>La Ruta Del Sol</t>
  </si>
  <si>
    <t>Moldeos Especializados</t>
  </si>
  <si>
    <t>Grupo Construcciones Planificadas</t>
  </si>
  <si>
    <t>Balper Toluca</t>
  </si>
  <si>
    <t>Carpentum</t>
  </si>
  <si>
    <t>PRODUCTOS DE DISEÑO EMPRESARIAL</t>
  </si>
  <si>
    <t>Match Corporate Group</t>
  </si>
  <si>
    <t>IMARCO</t>
  </si>
  <si>
    <t>CITA_NEW_PROYECTO_NUEVO</t>
  </si>
  <si>
    <t>Ricoh Mexicana</t>
  </si>
  <si>
    <t>Constructora y Arrendadora López</t>
  </si>
  <si>
    <t>Postes Registros y Aislamientos</t>
  </si>
  <si>
    <t>Lineas 1 de Mayo</t>
  </si>
  <si>
    <t>Tarimas y empaques de madera luca</t>
  </si>
  <si>
    <t>Tierra y Armonia</t>
  </si>
  <si>
    <t>Petrotekno</t>
  </si>
  <si>
    <t>Sistemas Contino</t>
  </si>
  <si>
    <t>CITA_NEW_OPORTUNIDAD_FLEET</t>
  </si>
  <si>
    <t>INDUCON ENERGY LIMITED</t>
  </si>
  <si>
    <t>Rapid transit</t>
  </si>
  <si>
    <t>Presentacion Engen Capital Core y Factoraje</t>
  </si>
  <si>
    <t>ERA Multimodal</t>
  </si>
  <si>
    <t>D' ARREDI IMPORTACIONES</t>
  </si>
  <si>
    <t>Ficosa North America</t>
  </si>
  <si>
    <t>FIERROS MONTERREY</t>
  </si>
  <si>
    <t>Cardenas Alimentos</t>
  </si>
  <si>
    <t>Flexo Soluciones</t>
  </si>
  <si>
    <t>Seguimiento CAPEX y Factoraje 2025</t>
  </si>
  <si>
    <t>HERSON CONSTRUCCIONES</t>
  </si>
  <si>
    <t>Kromasol Mexicana</t>
  </si>
  <si>
    <t>CITA_NUEVOS_PROYECTOS</t>
  </si>
  <si>
    <t>SERVICIO MADELL</t>
  </si>
  <si>
    <t>Transportes Nacionales Alfra</t>
  </si>
  <si>
    <t>Sanirent de México</t>
  </si>
  <si>
    <t>Gibanibb</t>
  </si>
  <si>
    <t>OFRUT</t>
  </si>
  <si>
    <t>AMD PLASTICS DE MEXICO</t>
  </si>
  <si>
    <t>Produce Acort</t>
  </si>
  <si>
    <t>Chef Mart</t>
  </si>
  <si>
    <t>ST F TECNOLOGY SAS</t>
  </si>
  <si>
    <t>Emulsiones y Pavimentos del Pacífico</t>
  </si>
  <si>
    <t>Ratificacion Firma Anexo 7</t>
  </si>
  <si>
    <t>Agropecuaria Cadena Hnos</t>
  </si>
  <si>
    <t>ROUND FOODS</t>
  </si>
  <si>
    <t>Guillermo Omar Gim Burruel</t>
  </si>
  <si>
    <t>Transportaciones e Industrial Cerecero</t>
  </si>
  <si>
    <t>Dimasa Industrial</t>
  </si>
  <si>
    <t>Elmet</t>
  </si>
  <si>
    <t>DE POLIESTIRENO</t>
  </si>
  <si>
    <t>Validación Owner</t>
  </si>
  <si>
    <t>Tiempo</t>
  </si>
  <si>
    <t>Res Internacional</t>
  </si>
  <si>
    <t>Servicios Integrales Vahsal</t>
  </si>
  <si>
    <t>SOLUCIONES INTELIGENTES EN EMBALAJE</t>
  </si>
  <si>
    <t>TMP Manufacturing Co. de México</t>
  </si>
  <si>
    <t>Jesus Ceceñas Salazar</t>
  </si>
  <si>
    <t>Mgs Plastics De Chihuahua</t>
  </si>
  <si>
    <t>LINMEX LUBRICANTES</t>
  </si>
  <si>
    <t>Alfredo Montes Hernandez</t>
  </si>
  <si>
    <t>Juventino Pulido Yepez</t>
  </si>
  <si>
    <t>GRUPO FORCHETTA</t>
  </si>
  <si>
    <t>Carnes Frías y Lácteos Doña Matty</t>
  </si>
  <si>
    <t>Nivel A Educacion</t>
  </si>
  <si>
    <t>American Brother</t>
  </si>
  <si>
    <t>Operadora Turistica El Cid Riviera Maya</t>
  </si>
  <si>
    <t>Industrias Piagui</t>
  </si>
  <si>
    <t>Slovensko</t>
  </si>
  <si>
    <t>Stepan México</t>
  </si>
  <si>
    <t>Servicios administrados Bss</t>
  </si>
  <si>
    <t>Centro De Productividad Avanzada</t>
  </si>
  <si>
    <t>COMERCIALIZADORA Y MAQUILADORA DE PLASTICOS JAGASA</t>
  </si>
  <si>
    <t>TEQUILA LOS ABUELOS</t>
  </si>
  <si>
    <t>Newko Tecnologies</t>
  </si>
  <si>
    <t>Mayoreo Ferretero Atlas</t>
  </si>
  <si>
    <t>SILLAS Y MAQUINADOS ALTA PRESICION</t>
  </si>
  <si>
    <t>Grupo Industrial Fabeva</t>
  </si>
  <si>
    <t>MATERIALES VIZCAINO</t>
  </si>
  <si>
    <t>Sigmapack</t>
  </si>
  <si>
    <t>Ientc</t>
  </si>
  <si>
    <t>Vimifos</t>
  </si>
  <si>
    <t>ROTO-MEX</t>
  </si>
  <si>
    <t>GRUPO RAFROS</t>
  </si>
  <si>
    <t>Frigocenter de Michoacán</t>
  </si>
  <si>
    <t>Navi Cargo</t>
  </si>
  <si>
    <t>Consultores y Asesores Tecva</t>
  </si>
  <si>
    <t>Cocineros del Mundo</t>
  </si>
  <si>
    <t>Arquitectura Integral Denver</t>
  </si>
  <si>
    <t>BET-GUI TELECOM</t>
  </si>
  <si>
    <t>Citrulsa de México</t>
  </si>
  <si>
    <t>Revision Propuesta Factoraje</t>
  </si>
  <si>
    <t>Comercial  Brillo</t>
  </si>
  <si>
    <t>protective foods</t>
  </si>
  <si>
    <t>Reunión Path logistic Engen</t>
  </si>
  <si>
    <t>Path Logistic + Copacker</t>
  </si>
  <si>
    <t>Astral Del Pacifico</t>
  </si>
  <si>
    <t>Christus Muguerza Monterrey</t>
  </si>
  <si>
    <t>Industrias Entry</t>
  </si>
  <si>
    <t>Carolina Block</t>
  </si>
  <si>
    <t>INDUSTRIAL DE ACERO VILSA</t>
  </si>
  <si>
    <t>The Anglo Mexican Foundation</t>
  </si>
  <si>
    <t>Grupo Técnico Impresor</t>
  </si>
  <si>
    <t>Cia. General De Viveres</t>
  </si>
  <si>
    <t>Gabriela Lopez</t>
  </si>
  <si>
    <t>Moov México</t>
  </si>
  <si>
    <t>Thermotech</t>
  </si>
  <si>
    <t>Vin-Tec de México</t>
  </si>
  <si>
    <t>Alfa Desarrollos Industriales</t>
  </si>
  <si>
    <t>Cultivos Naturales San Francisco</t>
  </si>
  <si>
    <t>PRESENTACION ENGEN</t>
  </si>
  <si>
    <t>KAL TIRE</t>
  </si>
  <si>
    <t>Corporativo Aries</t>
  </si>
  <si>
    <t>TRANSPORTADORA SERSAL DEL NORTE</t>
  </si>
  <si>
    <t>Magic Spa Corporation</t>
  </si>
  <si>
    <t>CONGELADORA DAYSA</t>
  </si>
  <si>
    <t>Tecnoprogramacion Humanas Especializada En Sistemas Operativos</t>
  </si>
  <si>
    <t>3C Arrenda Carrocerias de Fuerza</t>
  </si>
  <si>
    <t>Entelequia Biodegradables</t>
  </si>
  <si>
    <t>Probemedic Distribuciones</t>
  </si>
  <si>
    <t>Proagro del Noroeste</t>
  </si>
  <si>
    <t>Hospital Haltus Hope</t>
  </si>
  <si>
    <t>Selgel</t>
  </si>
  <si>
    <t>Selder</t>
  </si>
  <si>
    <t>Metales Lozano</t>
  </si>
  <si>
    <t>Grupo Corerepe</t>
  </si>
  <si>
    <t>Grupo Coinsa</t>
  </si>
  <si>
    <t>MT Colective</t>
  </si>
  <si>
    <t>Axmilab</t>
  </si>
  <si>
    <t>SL Agricola</t>
  </si>
  <si>
    <t>Inmobiliaria Vidusa</t>
  </si>
  <si>
    <t>Campo Alegre Alimentos</t>
  </si>
  <si>
    <t>Grupo Transportes Terrestres Aduanales</t>
  </si>
  <si>
    <t>GRUAS MAVISA</t>
  </si>
  <si>
    <t>COMERCIAL ROI DE MEXICO</t>
  </si>
  <si>
    <t>GDI Carriers</t>
  </si>
  <si>
    <t>SERVICIO 8 DE ENERO</t>
  </si>
  <si>
    <t>TRITURADOS CLQ</t>
  </si>
  <si>
    <t>Grupo Dragon</t>
  </si>
  <si>
    <t>Braulio Martinez</t>
  </si>
  <si>
    <t>SYRUS DISTRIBUTION</t>
  </si>
  <si>
    <t>COMERCIALIZADORA PEREZ SANCHEZ</t>
  </si>
  <si>
    <t>Construcciones Hidropac</t>
  </si>
  <si>
    <t>MD AGROPRODUCTORES</t>
  </si>
  <si>
    <t>7-Eleven México</t>
  </si>
  <si>
    <t>Grupo Chapa</t>
  </si>
  <si>
    <t>Langston Companies de México</t>
  </si>
  <si>
    <t>Agro pedregal</t>
  </si>
  <si>
    <t>Meeting_PROPUESTA_FORD BRONCO</t>
  </si>
  <si>
    <t>Limones Monica</t>
  </si>
  <si>
    <t>Ganfer Sociedad Agrícola</t>
  </si>
  <si>
    <t>Revisión_ Factoraje</t>
  </si>
  <si>
    <t>Reunión S&amp;L Racks</t>
  </si>
  <si>
    <t>SOLGIC SOLUCIONES EN LOGISTICA</t>
  </si>
  <si>
    <t>FIANZAS DORAMA</t>
  </si>
  <si>
    <t>Sandvik Mining And Construction de México</t>
  </si>
  <si>
    <t>Recolectora y Servicios Ambientales San Isidro</t>
  </si>
  <si>
    <t>Dyasa</t>
  </si>
  <si>
    <t>LLamada Riesgo Fleet</t>
  </si>
  <si>
    <t>Intraver</t>
  </si>
  <si>
    <t>Concretos 3000</t>
  </si>
  <si>
    <t>Salve Administracion</t>
  </si>
  <si>
    <t>TREXAN</t>
  </si>
  <si>
    <t>Alvaro Curiel Villarreal</t>
  </si>
  <si>
    <t>Grupo Azor México</t>
  </si>
  <si>
    <t>Transportes Bueno</t>
  </si>
  <si>
    <t>AGENCIA SINERGIS</t>
  </si>
  <si>
    <t>Comercializadora Construgap</t>
  </si>
  <si>
    <t>Productos Agropecuarios Cachanilla</t>
  </si>
  <si>
    <t>Kff Auto Group</t>
  </si>
  <si>
    <t>Alambique de Oro</t>
  </si>
  <si>
    <t>ABC Logistica</t>
  </si>
  <si>
    <t>Poliuretanos</t>
  </si>
  <si>
    <t>Grupo Avícola Quiñones</t>
  </si>
  <si>
    <t>Sephora México</t>
  </si>
  <si>
    <t>Avila Reyes Sucesores (Grupo LTM)</t>
  </si>
  <si>
    <t>Grupo Passini</t>
  </si>
  <si>
    <t>DUALATOR</t>
  </si>
  <si>
    <t>Lácteos Marber</t>
  </si>
  <si>
    <t>Joaquin Diestro Montaño</t>
  </si>
  <si>
    <t>Ug Services Energy Solutions</t>
  </si>
  <si>
    <t>Empaques Corrugados</t>
  </si>
  <si>
    <t>Gravase</t>
  </si>
  <si>
    <t>Quinta Gabilondo</t>
  </si>
  <si>
    <t>M25 INTERNATIONAL TECH</t>
  </si>
  <si>
    <t>Productos Loneg</t>
  </si>
  <si>
    <t>David Antonio Plauchu</t>
  </si>
  <si>
    <t>SERVICIOS INTEGRALES DE INGENIERIA Y ADMINISTRACION DE OBRAS</t>
  </si>
  <si>
    <t>IPSE</t>
  </si>
  <si>
    <t>Laboratorios Kener</t>
  </si>
  <si>
    <t>Grupo Quan</t>
  </si>
  <si>
    <t>HAKKAI MEXICO</t>
  </si>
  <si>
    <t>Destiladora De Los Altos</t>
  </si>
  <si>
    <t>LexFin</t>
  </si>
  <si>
    <t>Aceros Planos y Estructurales</t>
  </si>
  <si>
    <t>Transportes Bueno // Engen capital</t>
  </si>
  <si>
    <t>Productos Quimicos Monterrey</t>
  </si>
  <si>
    <t>Link Conexion Aerea</t>
  </si>
  <si>
    <t>Botanas Metropoli</t>
  </si>
  <si>
    <t>Empacadora de Carnes del Poniente</t>
  </si>
  <si>
    <t>Dimasur // Engen</t>
  </si>
  <si>
    <t>Soluciones Integrales Oftalmológicas Triana</t>
  </si>
  <si>
    <t>Greenmx Produce</t>
  </si>
  <si>
    <t>Agrícola SonorG</t>
  </si>
  <si>
    <t>Maeda // Engen</t>
  </si>
  <si>
    <t>Crystal Green de Mexico</t>
  </si>
  <si>
    <t>Kilker</t>
  </si>
  <si>
    <t>Grupo Agrostar</t>
  </si>
  <si>
    <t>Grupo Saao</t>
  </si>
  <si>
    <t>Fletera Itzae</t>
  </si>
  <si>
    <t>INDUSTRIAS CHAHIN DE ORIZABA</t>
  </si>
  <si>
    <t>Jarocho// Engen</t>
  </si>
  <si>
    <t>Aguas de Israel</t>
  </si>
  <si>
    <t>Fricongelados Citlaltepetl</t>
  </si>
  <si>
    <t>Veracitrus Packhouse</t>
  </si>
  <si>
    <t>Betos Trucking</t>
  </si>
  <si>
    <t>Grupo Sucro</t>
  </si>
  <si>
    <t>Tae Global Foods</t>
  </si>
  <si>
    <t>PROGOMEX</t>
  </si>
  <si>
    <t>Transportes Refrigerados Galvan</t>
  </si>
  <si>
    <t>CONEXIONES TORNADO</t>
  </si>
  <si>
    <t>Patricio Martinez Juarez</t>
  </si>
  <si>
    <t>GRUPO LOS FER 5</t>
  </si>
  <si>
    <t>Rancho Santa Rita // Engen Capital</t>
  </si>
  <si>
    <t>ENEREY LATINOAMERICA</t>
  </si>
  <si>
    <t>Obras e Infraestructura del Noroeste</t>
  </si>
  <si>
    <t>COMERCIAL FLORESCA</t>
  </si>
  <si>
    <t>LOGISTICA DE CARGA VAR</t>
  </si>
  <si>
    <t>Wingman</t>
  </si>
  <si>
    <t>PLASTI ENVASES ECOLÓGICOS</t>
  </si>
  <si>
    <t>Grupo Mayamel</t>
  </si>
  <si>
    <t>SC SERVICIOS DE CIMENTACION PROFUNDA</t>
  </si>
  <si>
    <t>INNOVA CONCRETO</t>
  </si>
  <si>
    <t>Innovative Recycling Solutions</t>
  </si>
  <si>
    <t>DSM RED DE ESTRATEGIAS Y SERVICIOS EMPRESARIALES</t>
  </si>
  <si>
    <t>Moléculas Finas de México</t>
  </si>
  <si>
    <t>Agromod</t>
  </si>
  <si>
    <t>CB METAL FAB</t>
  </si>
  <si>
    <t>grupo bill pack</t>
  </si>
  <si>
    <t>Productos Lirio</t>
  </si>
  <si>
    <t>Cirro Fulfillment México</t>
  </si>
  <si>
    <t>GRUPO EMPRESARIAL MARTINEZ CHAVARRIA</t>
  </si>
  <si>
    <t>ESTEBAN MALDONADO</t>
  </si>
  <si>
    <t>servicios logisticos balderas cruz</t>
  </si>
  <si>
    <t>ZURIAK TEX</t>
  </si>
  <si>
    <t>Shape pack</t>
  </si>
  <si>
    <t>Clave manufacturing de California</t>
  </si>
  <si>
    <t>Internacional Farmaceutica</t>
  </si>
  <si>
    <t>Sanchez y Martin</t>
  </si>
  <si>
    <t>Nexteer Automotive México</t>
  </si>
  <si>
    <t>Steeringmex</t>
  </si>
  <si>
    <t>Rentrip</t>
  </si>
  <si>
    <t>Consorcio Amesa</t>
  </si>
  <si>
    <t>Carlos Blanco</t>
  </si>
  <si>
    <t>Empaque y Diseño</t>
  </si>
  <si>
    <t>AUTOTRANSPORTES ESPECIALIZADOS MTL</t>
  </si>
  <si>
    <t>AUTOTRANSPORTES MTL</t>
  </si>
  <si>
    <t>BENJAMIN LUNA PEREZ</t>
  </si>
  <si>
    <t>Revisión de proyecto</t>
  </si>
  <si>
    <t>Transportadora Integral De Carga</t>
  </si>
  <si>
    <t>Lactica Creativa</t>
  </si>
  <si>
    <t>Box Supplier de Mexico</t>
  </si>
  <si>
    <t>COMERCIALIZADORA CENTURY RECYCLING</t>
  </si>
  <si>
    <t>Lavisa</t>
  </si>
  <si>
    <t>ADMINISTRACIONES CYBER POWER GLOBAL</t>
  </si>
  <si>
    <t>RIVERA GROUP</t>
  </si>
  <si>
    <t>Conservas Del Norte</t>
  </si>
  <si>
    <t>Meeting_SEGUIMIENTO_PROPUESTA</t>
  </si>
  <si>
    <t>BioEnergy</t>
  </si>
  <si>
    <t>REUNION</t>
  </si>
  <si>
    <t>SERVICIOS ECOLOGICOS Y RECICLADOS, S. DE R.L.M.I.</t>
  </si>
  <si>
    <t>Beyond pipe</t>
  </si>
  <si>
    <t>MUTUALIDAD DE PORCICULTORES ASOCIADOS</t>
  </si>
  <si>
    <t>Unitrans</t>
  </si>
  <si>
    <t>IACNA MEXICO</t>
  </si>
  <si>
    <t>SUGUIMIENTO_PROPUESTAS</t>
  </si>
  <si>
    <t>SEGUIMIENTO_NUEVAS_SUCURSALES</t>
  </si>
  <si>
    <t>Transportes Jalo</t>
  </si>
  <si>
    <t>Top Label</t>
  </si>
  <si>
    <t>Fandeli</t>
  </si>
  <si>
    <t>Autofletes Chihuahua</t>
  </si>
  <si>
    <t>501 rt</t>
  </si>
  <si>
    <t>Alfredo Ismael Roman Masso</t>
  </si>
  <si>
    <t>Orgachemics</t>
  </si>
  <si>
    <t>Grupo Zumi Kalan</t>
  </si>
  <si>
    <t>Hospitales Mac</t>
  </si>
  <si>
    <t>Hospital Sedna</t>
  </si>
  <si>
    <t>DICLINSA</t>
  </si>
  <si>
    <t>Rubber Logistic</t>
  </si>
  <si>
    <t>PRODUCTOS LACTEOS Y SERVICIOS LOGISTICOS LUCA</t>
  </si>
  <si>
    <t>GENVAMEX</t>
  </si>
  <si>
    <t>Cartographic</t>
  </si>
  <si>
    <t>Grupo Diagnostico Proa</t>
  </si>
  <si>
    <t>Logisitica coordinadora del golfo y el caribe</t>
  </si>
  <si>
    <t>Machines Warehouse</t>
  </si>
  <si>
    <t>100 Silva</t>
  </si>
  <si>
    <t>Fertilizantes Gómez</t>
  </si>
  <si>
    <t>Grupo Canfer</t>
  </si>
  <si>
    <t>Glass Fiber del Norte</t>
  </si>
  <si>
    <t>Alta Tecnologia En Cnc</t>
  </si>
  <si>
    <t>El pikacho</t>
  </si>
  <si>
    <t>A3 wiring solutions</t>
  </si>
  <si>
    <t>PSM Acero</t>
  </si>
  <si>
    <t>Construcciones civiles y electromecánicas de la laguna</t>
  </si>
  <si>
    <t>Emprestur</t>
  </si>
  <si>
    <t>InConcert</t>
  </si>
  <si>
    <t>Last Región</t>
  </si>
  <si>
    <t>Last Owner</t>
  </si>
  <si>
    <t>Diferencia de dias</t>
  </si>
  <si>
    <t>Last Date</t>
  </si>
  <si>
    <t>Agricola 76</t>
  </si>
  <si>
    <t>ALSAR</t>
  </si>
  <si>
    <t>Eco Zar</t>
  </si>
  <si>
    <t>Llamada con Riesgo</t>
  </si>
  <si>
    <t>Revision Precalificacion Auditoria Factoraje</t>
  </si>
  <si>
    <t>Equipos Y Motores Europeos</t>
  </si>
  <si>
    <t>Beyond Business</t>
  </si>
  <si>
    <t>GAS MAYASUR</t>
  </si>
  <si>
    <t>Proximedica</t>
  </si>
  <si>
    <t>INDUSTRIAL TAMTO DE PUEBLA</t>
  </si>
  <si>
    <t>Grupo Logístico Integral</t>
  </si>
  <si>
    <t>Remem Floral</t>
  </si>
  <si>
    <t>Metalco</t>
  </si>
  <si>
    <t>IQU TECHNOLOGIES</t>
  </si>
  <si>
    <t>Fletes Mex</t>
  </si>
  <si>
    <t>Arnor</t>
  </si>
  <si>
    <t>Barca de México</t>
  </si>
  <si>
    <t>Onilog</t>
  </si>
  <si>
    <t>Actia de México</t>
  </si>
  <si>
    <t>Petrom Logistics</t>
  </si>
  <si>
    <t>Fernando Martin</t>
  </si>
  <si>
    <t>Becton Dickinson de México</t>
  </si>
  <si>
    <t>Infraestructura Hidráulica y Servicios</t>
  </si>
  <si>
    <t>Granjas Ojai</t>
  </si>
  <si>
    <t>Plasticos Helios</t>
  </si>
  <si>
    <t>GRUPO GONORMA DE MEXICO</t>
  </si>
  <si>
    <t>MIGUEL ANGEL MARTINEZ MORALES</t>
  </si>
  <si>
    <t>Solin Pacakaging &amp; Logistic</t>
  </si>
  <si>
    <t>Keymex Energy</t>
  </si>
  <si>
    <t>TRANSPORTE DE PERSONAL ESPECIALIZADO</t>
  </si>
  <si>
    <t>ACMI Beverage</t>
  </si>
  <si>
    <t>Quirmex</t>
  </si>
  <si>
    <t>Montacargas Galeria</t>
  </si>
  <si>
    <t>Suministros Especializados en Manejo de Carga</t>
  </si>
  <si>
    <t>Hospital Churubusco</t>
  </si>
  <si>
    <t>BAÑOS Y AZULEJOS AYUNTAMIENTO</t>
  </si>
  <si>
    <t>Revision Oportunidad Granjas</t>
  </si>
  <si>
    <t>Materias Primas La Concepcion</t>
  </si>
  <si>
    <t>Minas de Oroco Resources</t>
  </si>
  <si>
    <t>Cheong Woon México</t>
  </si>
  <si>
    <t>Plensa</t>
  </si>
  <si>
    <t>EUROMAQUINAS HERRAMIENTAS</t>
  </si>
  <si>
    <t>Industrial Fluid Power</t>
  </si>
  <si>
    <t>MN BUSINESS SOLUTIONS</t>
  </si>
  <si>
    <t>Roomie It Services</t>
  </si>
  <si>
    <t>Empresas Dragon</t>
  </si>
  <si>
    <t>Concretos local</t>
  </si>
  <si>
    <t>CENTRO DE ENFOQUE A LA SALUD Y BELLEZA CESB</t>
  </si>
  <si>
    <t>Armando Estrada</t>
  </si>
  <si>
    <t>Organo Sintesis</t>
  </si>
  <si>
    <t>International AMS</t>
  </si>
  <si>
    <t>Caribe Maquinter</t>
  </si>
  <si>
    <t>Transportes Rugarva</t>
  </si>
  <si>
    <t>Ranver</t>
  </si>
  <si>
    <t>Transportacion  B&amp;B</t>
  </si>
  <si>
    <t>Velosa</t>
  </si>
  <si>
    <t>Concretos Chairel</t>
  </si>
  <si>
    <t>G&amp;H MANUFACTURING</t>
  </si>
  <si>
    <t>First Quality Chemicals</t>
  </si>
  <si>
    <t>Necontech de México</t>
  </si>
  <si>
    <t>SEGUIMIENTO_MUEVOS_PROYECTOS</t>
  </si>
  <si>
    <t>Radiología y Electrónica de México</t>
  </si>
  <si>
    <t>Viaxes</t>
  </si>
  <si>
    <t>Trans Operativo Express</t>
  </si>
  <si>
    <t>Ecoplating</t>
  </si>
  <si>
    <t>Valia Energía</t>
  </si>
  <si>
    <t>Materiales Asesoría y Servicios Para La Construcción</t>
  </si>
  <si>
    <t>Blue Box</t>
  </si>
  <si>
    <t>Informática Empresarial Integrada</t>
  </si>
  <si>
    <t>Nutrilag</t>
  </si>
  <si>
    <t>Goss Global</t>
  </si>
  <si>
    <t>PRESENTACIÓN OFS</t>
  </si>
  <si>
    <t>Nacional Monte De Piedad</t>
  </si>
  <si>
    <t>TERRAFLUX</t>
  </si>
  <si>
    <t>Karalundi</t>
  </si>
  <si>
    <t>Rising Farms</t>
  </si>
  <si>
    <t>CORPORATIVO NAERCRIS</t>
  </si>
  <si>
    <t>Lácteos Florida</t>
  </si>
  <si>
    <t>Marycruz Vega Velázquez</t>
  </si>
  <si>
    <t>Llamada Juridico Orden de Compra</t>
  </si>
  <si>
    <t>Prexon Prefabricados</t>
  </si>
  <si>
    <t>Corporativo Sanduze</t>
  </si>
  <si>
    <t>Resolver dudas Anexo 10</t>
  </si>
  <si>
    <t>SECARSA COMBUSTIBLES</t>
  </si>
  <si>
    <t>Videoconferencia CFO Picard</t>
  </si>
  <si>
    <t>Goncalves de México</t>
  </si>
  <si>
    <t>Verlogistics</t>
  </si>
  <si>
    <t>Ilumina Alimentos</t>
  </si>
  <si>
    <t>Semiremolques El paisano</t>
  </si>
  <si>
    <t>Revision Proyecto Ferropuerto</t>
  </si>
  <si>
    <t>Industrias Met Gri</t>
  </si>
  <si>
    <t>Tostadas libra</t>
  </si>
  <si>
    <t>Industria Vitalizadora Otto´s Tire</t>
  </si>
  <si>
    <t>Somaki de México</t>
  </si>
  <si>
    <t>Semillas Ceres</t>
  </si>
  <si>
    <t>Grupo Ceres</t>
  </si>
  <si>
    <t>Grupo Medesa</t>
  </si>
  <si>
    <t>Leasing Freidora</t>
  </si>
  <si>
    <t>International Foods Saltillo</t>
  </si>
  <si>
    <t>Centro Médico Alteño</t>
  </si>
  <si>
    <t>BERNAL FISH MARKET</t>
  </si>
  <si>
    <t>Plasticos Bajacal</t>
  </si>
  <si>
    <t>Maprysa</t>
  </si>
  <si>
    <t>Transportes Especializados Coronado Romo</t>
  </si>
  <si>
    <t>Comercializadora Confya</t>
  </si>
  <si>
    <t>Soluciones Químicas Para El Campo y La Industria</t>
  </si>
  <si>
    <t>Servicios  de Apoyo  Logistico a Productores del  Campo</t>
  </si>
  <si>
    <t>Industrias Cuamex</t>
  </si>
  <si>
    <t>ADRA Ingeniería</t>
  </si>
  <si>
    <t>SYNELMEX</t>
  </si>
  <si>
    <t>PL COCINA</t>
  </si>
  <si>
    <t>Productos Meza</t>
  </si>
  <si>
    <t>CMAS-CONSTRUMATERIALES</t>
  </si>
  <si>
    <t>Edelflex</t>
  </si>
  <si>
    <t>Grupo Perfimexa</t>
  </si>
  <si>
    <t>ATLINE MEXICO</t>
  </si>
  <si>
    <t>Corporativo Gran Relax Internacional</t>
  </si>
  <si>
    <t>Saya Group México</t>
  </si>
  <si>
    <t>Mexichem</t>
  </si>
  <si>
    <t>RENTCO CONSTRUCTION &amp; MACHINERY</t>
  </si>
  <si>
    <t>Grupo Bruluart</t>
  </si>
  <si>
    <t>Exportadora de Cítricos San Gabriel</t>
  </si>
  <si>
    <t>Agrojaba</t>
  </si>
  <si>
    <t>Metales y Equipos Mecanicos Regios</t>
  </si>
  <si>
    <t>AGR Medical</t>
  </si>
  <si>
    <t>Videollamada con CFO Grupo ISA</t>
  </si>
  <si>
    <t>Grupo ISA</t>
  </si>
  <si>
    <t>Hooke Diseño e Ingenieria</t>
  </si>
  <si>
    <t>Tecnología en Sistemas de Refrigeración</t>
  </si>
  <si>
    <t>Delaval</t>
  </si>
  <si>
    <t>Race Carreteras</t>
  </si>
  <si>
    <t>ELAM Hidalgo Ensambladora Latinoamericana de Motores</t>
  </si>
  <si>
    <t>Global Fuentes</t>
  </si>
  <si>
    <t>Antarix IP</t>
  </si>
  <si>
    <t>Connaught Consultancy Limited</t>
  </si>
  <si>
    <t>ZATO COMERCIALIZADORA BIOTECNOLOGICA</t>
  </si>
  <si>
    <t>AUTOLINEAS DEX</t>
  </si>
  <si>
    <t>Armo Diseño</t>
  </si>
  <si>
    <t>Productora De Quesos Sierra Verde</t>
  </si>
  <si>
    <t>CONTAINERS DEL PACIFICO</t>
  </si>
  <si>
    <t>Manzanillo Contenedores y Transporte LOGISTIC</t>
  </si>
  <si>
    <t>Sistemas Multidireccionales SM8 de Mexico</t>
  </si>
  <si>
    <t>Agroganadera waggoner</t>
  </si>
  <si>
    <t>IMPORTADORA RYM</t>
  </si>
  <si>
    <t>HEMAN MANUFACTURING</t>
  </si>
  <si>
    <t>JCI PACKING</t>
  </si>
  <si>
    <t>Alco. Alimentos Calidad Optima</t>
  </si>
  <si>
    <t>TG LOGISTIC</t>
  </si>
  <si>
    <t>Tecnología Tecnometal</t>
  </si>
  <si>
    <t>Honda de México</t>
  </si>
  <si>
    <t>Pasteurizadora Jersey Del Noroeste</t>
  </si>
  <si>
    <t>Avícola Linda Vista</t>
  </si>
  <si>
    <t>Alpha Cerámica</t>
  </si>
  <si>
    <t>Procesos y Cultivos Marinos</t>
  </si>
  <si>
    <t>Transportes Vencedor</t>
  </si>
  <si>
    <t>Miranda, Arana, Velasco</t>
  </si>
  <si>
    <t>Autotransportes Ejecutivos del Valle</t>
  </si>
  <si>
    <t>Kidde de México</t>
  </si>
  <si>
    <t>Kdm Fire Systems</t>
  </si>
  <si>
    <t>Ecro Capital</t>
  </si>
  <si>
    <t>MENDOL DISTRIBUIDORA</t>
  </si>
  <si>
    <t>Industrializadora De Maiz</t>
  </si>
  <si>
    <t>Embotelladora Gala</t>
  </si>
  <si>
    <t>Kickoff Proveedor De Anda</t>
  </si>
  <si>
    <t>Trisquel Co</t>
  </si>
  <si>
    <t>Compresores Cac De México</t>
  </si>
  <si>
    <t>Qts Mexico</t>
  </si>
  <si>
    <t>LEVA NEGOCIOS Y FRANQUICIAS</t>
  </si>
  <si>
    <t>GRUPO MAQUILADOR MERE</t>
  </si>
  <si>
    <t>Assurant Servicios de México</t>
  </si>
  <si>
    <t>Rheem de México</t>
  </si>
  <si>
    <t>GRUPO ORXE EMPRESARIAL DE MÉXICO</t>
  </si>
  <si>
    <t>Diinsel</t>
  </si>
  <si>
    <t>General Mills</t>
  </si>
  <si>
    <t>Reunión: Descubrimiento Oportunidad</t>
  </si>
  <si>
    <t>Hospital San José Zamora</t>
  </si>
  <si>
    <t>Aba</t>
  </si>
  <si>
    <t>Grupo Los Cerritos</t>
  </si>
  <si>
    <t>ATTA MONTACARGAS</t>
  </si>
  <si>
    <t>GREAT AVO</t>
  </si>
  <si>
    <t>COOPER TIRE &amp; RUBBER COMPANY DE MEXICO</t>
  </si>
  <si>
    <t>DENG MOTORS</t>
  </si>
  <si>
    <t>Reunión de presentación</t>
  </si>
  <si>
    <t>OMNIA TECHNOLOGIES MEXICO</t>
  </si>
  <si>
    <t>SERVICARGA BERISTAIN</t>
  </si>
  <si>
    <t>Aceros del Toro</t>
  </si>
  <si>
    <t>Vitti Logistics</t>
  </si>
  <si>
    <t>Modular Vanity Tops</t>
  </si>
  <si>
    <t>Formec</t>
  </si>
  <si>
    <t>Faist group</t>
  </si>
  <si>
    <t>María de Lourdes Inzunza Gallardo</t>
  </si>
  <si>
    <t>Reunión: Descubrimiento Oportunidad | Catch Up</t>
  </si>
  <si>
    <t>Transportes Tav</t>
  </si>
  <si>
    <t>Auto Transportes Cisneros</t>
  </si>
  <si>
    <t>Luis Fernando Gonzáles Cruz</t>
  </si>
  <si>
    <t>Bopisa</t>
  </si>
  <si>
    <t>JORGE IGNACIO MADRIGAL DEL TORO</t>
  </si>
  <si>
    <t>RECIKLA AMBIENTAL</t>
  </si>
  <si>
    <t>Fibrart</t>
  </si>
  <si>
    <t>Daniela Alvarado</t>
  </si>
  <si>
    <t>Grupo Julio</t>
  </si>
  <si>
    <t>Vantex</t>
  </si>
  <si>
    <t>Ureblock</t>
  </si>
  <si>
    <t>Laura Deni Flores Ruiz</t>
  </si>
  <si>
    <t>Transportadora Fat Guy</t>
  </si>
  <si>
    <t>Cbre</t>
  </si>
  <si>
    <t>Transportes San Jose</t>
  </si>
  <si>
    <t>Sixt Car Rental</t>
  </si>
  <si>
    <t>Especialidades Cabi 66</t>
  </si>
  <si>
    <t>Manaf Commerce</t>
  </si>
  <si>
    <t>Korodiesel Del Norte</t>
  </si>
  <si>
    <t>Wisdom Forwarding</t>
  </si>
  <si>
    <t>Hmg Hospital Coyoacan</t>
  </si>
  <si>
    <t>Impresos y Empaques FADM</t>
  </si>
  <si>
    <t>Lenomex</t>
  </si>
  <si>
    <t>MAURO VIVANCO REYNOSO</t>
  </si>
  <si>
    <t>M Chem</t>
  </si>
  <si>
    <t>Arturo Lazaro Sanchez De la Cruz</t>
  </si>
  <si>
    <t>ALDO CAMPOS SANDOVAL</t>
  </si>
  <si>
    <t>ALDO JESUS ALONSO CARREON</t>
  </si>
  <si>
    <t>MIGUEL ANGEL PEREZ FUENTES</t>
  </si>
  <si>
    <t>GRUPO LIRA</t>
  </si>
  <si>
    <t>VALLE DE ALTO CLUB DE GOLF</t>
  </si>
  <si>
    <t>Exportadora De Plasticos Agricolas</t>
  </si>
  <si>
    <t>HTR Infraestructura</t>
  </si>
  <si>
    <t>FCA-FASEMEX</t>
  </si>
  <si>
    <t>EQ MANUFACTURAS</t>
  </si>
  <si>
    <t>Leonel Alejandro Reyes Leyva</t>
  </si>
  <si>
    <t>Roberto Anaya</t>
  </si>
  <si>
    <t>Veronica Sesma</t>
  </si>
  <si>
    <t>Target Robotics Group</t>
  </si>
  <si>
    <t>Diego Rivas</t>
  </si>
  <si>
    <t>Huertos de Cotzocon</t>
  </si>
  <si>
    <t>BGA</t>
  </si>
  <si>
    <t>CENTRO DE DIAGNOSTICO CUAUTLA</t>
  </si>
  <si>
    <t>Hidroponica Sustentable</t>
  </si>
  <si>
    <t>JUMANDI GROUP</t>
  </si>
  <si>
    <t>SAJITEX</t>
  </si>
  <si>
    <t>Enterprise Telecomm</t>
  </si>
  <si>
    <t>COCO COLIMA</t>
  </si>
  <si>
    <t>Recolección y Disposición De Desechos</t>
  </si>
  <si>
    <t>Compañía Comercializadora Prodín Centro</t>
  </si>
  <si>
    <t>Servicios de Anuncios Publicitarios</t>
  </si>
  <si>
    <t>Avicola El Caudal</t>
  </si>
  <si>
    <t>Gifan Internacional</t>
  </si>
  <si>
    <t>Tres cg group</t>
  </si>
  <si>
    <t>Transportadora Pergut</t>
  </si>
  <si>
    <t>Sauro logistics</t>
  </si>
  <si>
    <t>MHFL Transportes</t>
  </si>
  <si>
    <t>Metrocolor de Mexico</t>
  </si>
  <si>
    <t>Alfonso Ortiz</t>
  </si>
  <si>
    <t>Oportunidad de recinanciamiento</t>
  </si>
  <si>
    <t>Alcast</t>
  </si>
  <si>
    <t>TPS RENTAL</t>
  </si>
  <si>
    <t>FARMADEXTRUM</t>
  </si>
  <si>
    <t>Revision Dudas Financieras / Legal</t>
  </si>
  <si>
    <t>Ruta 341 Pesqueria</t>
  </si>
  <si>
    <t>Axity</t>
  </si>
  <si>
    <t>Marelli Saltillo Mexico</t>
  </si>
  <si>
    <t>Ladrillera Mecanizada</t>
  </si>
  <si>
    <t>Corporación Zapata</t>
  </si>
  <si>
    <t>Ingeniería y Obras Hidráulicas</t>
  </si>
  <si>
    <t>Grupo Refricool</t>
  </si>
  <si>
    <t>OBRA CIVIL TRITURACIÓN Y MAQUINARIA</t>
  </si>
  <si>
    <t>San Jose Tropical Fruit</t>
  </si>
  <si>
    <t>David Shaw</t>
  </si>
  <si>
    <t>Soccer Media Solutions</t>
  </si>
  <si>
    <t>Agroindustrias Tombell</t>
  </si>
  <si>
    <t>Remax Electronics</t>
  </si>
  <si>
    <t>Frigorizados La Huerta</t>
  </si>
  <si>
    <t>Alianza Eléctrica</t>
  </si>
  <si>
    <t>VITMA</t>
  </si>
  <si>
    <t>Sommusa</t>
  </si>
  <si>
    <t>Panam de México</t>
  </si>
  <si>
    <t>Grupo MACA</t>
  </si>
  <si>
    <t>Grupo Zapata</t>
  </si>
  <si>
    <t>ER GENERACIÓN</t>
  </si>
  <si>
    <t>INDIV DE MEXICO</t>
  </si>
  <si>
    <t>FMW INDUSTRIES</t>
  </si>
  <si>
    <t>Aceros  escobedo</t>
  </si>
  <si>
    <t>revision de necedidades</t>
  </si>
  <si>
    <t>Grupo Rewo</t>
  </si>
  <si>
    <t>Promoplast</t>
  </si>
  <si>
    <t>Soskende</t>
  </si>
  <si>
    <t>Recuperadora Metalera Jalisciense</t>
  </si>
  <si>
    <t>MOLDERAMA</t>
  </si>
  <si>
    <t>Talleres Lozano</t>
  </si>
  <si>
    <t>Foam de México</t>
  </si>
  <si>
    <t>White Linen Services</t>
  </si>
  <si>
    <t>Unidad De Radiologia Irm</t>
  </si>
  <si>
    <t>ANDRITZ FABRICS AND ROLLS</t>
  </si>
  <si>
    <t>Sistemas De Energia Internacional</t>
  </si>
  <si>
    <t>Servicios Corporativos Zapata</t>
  </si>
  <si>
    <t>Productora y Comercializadora Sphenarium</t>
  </si>
  <si>
    <t>Markets International Wood</t>
  </si>
  <si>
    <t>Presentación cliente,/revisar pendientes</t>
  </si>
  <si>
    <t>Construcciones Velasco</t>
  </si>
  <si>
    <t>GRUPO HALMEX</t>
  </si>
  <si>
    <t>JP CONVEYORS</t>
  </si>
  <si>
    <t>Comercializadora de maiz Sierra Azul</t>
  </si>
  <si>
    <t>Almacenadora Mercader</t>
  </si>
  <si>
    <t>Fabricaciones Industriales y Agroindustriales</t>
  </si>
  <si>
    <t>Grupo Distribuidor GDP</t>
  </si>
  <si>
    <t>Grupo Alimentario Dolce Terra</t>
  </si>
  <si>
    <t>AGROSERVICIOS DE COLIMA</t>
  </si>
  <si>
    <t>Rawmaxx</t>
  </si>
  <si>
    <t>Urban Waste</t>
  </si>
  <si>
    <t>Yal Tapes Conversiones</t>
  </si>
  <si>
    <t>Seguimiento Disposicion Fleet</t>
  </si>
  <si>
    <t>Toreo Motors</t>
  </si>
  <si>
    <t>Reunión AP y Factoraje</t>
  </si>
  <si>
    <t>Dan Sanabria</t>
  </si>
  <si>
    <t>McLane Internacional</t>
  </si>
  <si>
    <t>DESARROLLO DE INGENIERIA Y CONTRATACIÓN</t>
  </si>
  <si>
    <t>me</t>
  </si>
  <si>
    <t>Suplementos Alimenticios Fercel</t>
  </si>
  <si>
    <t>Transportes Industriales Vita, S.A. de C.V.</t>
  </si>
  <si>
    <t>TRESSA CONSTRUNORTE</t>
  </si>
  <si>
    <t>Francisco Porragas</t>
  </si>
  <si>
    <t>Coordinadora de Servicios Opera</t>
  </si>
  <si>
    <t>ANA ROSA CHAVEZ PELAYO</t>
  </si>
  <si>
    <t>Orfrutas del Noreste</t>
  </si>
  <si>
    <t>Agencia Naviera Consignataria Marine Continental Offshore</t>
  </si>
  <si>
    <t>Traddex</t>
  </si>
  <si>
    <t>Rancho el Manantial</t>
  </si>
  <si>
    <t>Dixmat Negocios</t>
  </si>
  <si>
    <t>Terrenos y Bodegas de Queretaro</t>
  </si>
  <si>
    <t>Vaconsa Productos Industriales</t>
  </si>
  <si>
    <t>Texlamp</t>
  </si>
  <si>
    <t>Aurora Power</t>
  </si>
  <si>
    <t>Star Del Norte</t>
  </si>
  <si>
    <t>Eslabon Logistico</t>
  </si>
  <si>
    <t>Grupo La Moderna</t>
  </si>
  <si>
    <t>Aparatos Electromecanicos Von Haucke</t>
  </si>
  <si>
    <t>Productos Selectos de Agave</t>
  </si>
  <si>
    <t>Une Medica Servicios Médicos Integrales y Abastecimiento Hospitalario</t>
  </si>
  <si>
    <t>Mindray Medical México</t>
  </si>
  <si>
    <t>ML LOGISTICA PORTUARIA</t>
  </si>
  <si>
    <t>SABOR Y CALIDAD</t>
  </si>
  <si>
    <t>Bicicletas Mercurio</t>
  </si>
  <si>
    <t>Boomerang Manufactura En Metal</t>
  </si>
  <si>
    <t>SUMINSA CORPORATION</t>
  </si>
  <si>
    <t>Leadec</t>
  </si>
  <si>
    <t>WST Express</t>
  </si>
  <si>
    <t>Interlux Persianas</t>
  </si>
  <si>
    <t>Alambres Potosí</t>
  </si>
  <si>
    <t>Pigamex</t>
  </si>
  <si>
    <t>Ratificacion virtual Anexos 3 y 5</t>
  </si>
  <si>
    <t>Proyectos Nacionales de Transporte</t>
  </si>
  <si>
    <t>cita factoraje</t>
  </si>
  <si>
    <t>Grupo Abx</t>
  </si>
  <si>
    <t>Movilidad Integral de Hermosillo</t>
  </si>
  <si>
    <t>Corredor Insurgentes</t>
  </si>
  <si>
    <t>Envaserv</t>
  </si>
  <si>
    <t>Kayser Automotive Systems</t>
  </si>
  <si>
    <t>Feiva</t>
  </si>
  <si>
    <t>Aceros y Overollings de México</t>
  </si>
  <si>
    <t>Industrializadora de Plásticos y Flejes</t>
  </si>
  <si>
    <t>Megaluminio Servicios</t>
  </si>
  <si>
    <t>Draeger Medical</t>
  </si>
  <si>
    <t>Cargatel</t>
  </si>
  <si>
    <t>Visita Oficina, Presentación productos y posible financiamiento.</t>
  </si>
  <si>
    <t>Arrendadora Datamovil</t>
  </si>
  <si>
    <t>Phoenix Packaging México</t>
  </si>
  <si>
    <t>BELUGA DE MÉXICO</t>
  </si>
  <si>
    <t>Sistemas de bombas y motores</t>
  </si>
  <si>
    <t>STELL &amp; RAL</t>
  </si>
  <si>
    <t>EQUIPOS ELECTROMECANICOS</t>
  </si>
  <si>
    <t>MT Pesca Industrial</t>
  </si>
  <si>
    <t>Asia Product Network</t>
  </si>
  <si>
    <t>Racing Cargo México</t>
  </si>
  <si>
    <t>Operadora TRH Merida</t>
  </si>
  <si>
    <t>revisar requerimientos con C Vazquez</t>
  </si>
  <si>
    <t>Ranchacero</t>
  </si>
  <si>
    <t>Recesur</t>
  </si>
  <si>
    <t>Transportes Especializados Orizabeños</t>
  </si>
  <si>
    <t>Venameca</t>
  </si>
  <si>
    <t>S&amp;L CNC y Vehículos</t>
  </si>
  <si>
    <t>Empacadora De Citricos De Los Altos</t>
  </si>
  <si>
    <t>Girbau</t>
  </si>
  <si>
    <t>BOMESA</t>
  </si>
  <si>
    <t>Ingeniería para el cuidado de la salud</t>
  </si>
  <si>
    <t>Grupo Rotoplas</t>
  </si>
  <si>
    <t>CALL CENTER SERVICES</t>
  </si>
  <si>
    <t>LA MISIÓN SUPERMERCADOS</t>
  </si>
  <si>
    <t>Ríos Corrugadora</t>
  </si>
  <si>
    <t>Impocarnes</t>
  </si>
  <si>
    <t>Tecnología y Diseño Industrial</t>
  </si>
  <si>
    <t>Grupo 3R Ingeniería</t>
  </si>
  <si>
    <t>Artifibras</t>
  </si>
  <si>
    <t>Radio Huamantla</t>
  </si>
  <si>
    <t>COMERCIALIZADORA EIPRAC</t>
  </si>
  <si>
    <t>Laxma</t>
  </si>
  <si>
    <t>Seidor México</t>
  </si>
  <si>
    <t>CMD LOGISTICA</t>
  </si>
  <si>
    <t>GREENBRICK</t>
  </si>
  <si>
    <t>Revision de proyecto</t>
  </si>
  <si>
    <t>Cmi de México International</t>
  </si>
  <si>
    <t>Idea Ingenieria</t>
  </si>
  <si>
    <t>Ucin Médica</t>
  </si>
  <si>
    <t>Grupo Oceano Haman</t>
  </si>
  <si>
    <t>New Dynacast de México</t>
  </si>
  <si>
    <t>Doctowers</t>
  </si>
  <si>
    <t>Contenedor Inteligente</t>
  </si>
  <si>
    <t>EGO MOVIL</t>
  </si>
  <si>
    <t>Precisión Moderna</t>
  </si>
  <si>
    <t>revisar Pendientes Tramite Linea</t>
  </si>
  <si>
    <t>Vina Inmobiliaria</t>
  </si>
  <si>
    <t>Euro Games Technology</t>
  </si>
  <si>
    <t>Estambres Vero</t>
  </si>
  <si>
    <t>PAMELA ITZEL MONTENEGRO GARCIA</t>
  </si>
  <si>
    <t>CATCH OF THE DAY</t>
  </si>
  <si>
    <t>Dy Auto Mexico</t>
  </si>
  <si>
    <t>GRUPO SEP</t>
  </si>
  <si>
    <t>HOSPITAL SOMAPLUS</t>
  </si>
  <si>
    <t>FABRICA DE CERILLOS Y FOSFOROS LA INDEPENDIENTE</t>
  </si>
  <si>
    <t>Mallas Plasticas Mexicanas</t>
  </si>
  <si>
    <t>Firma contratos nuevos equipos</t>
  </si>
  <si>
    <t>Clinica San Elian</t>
  </si>
  <si>
    <t>Hongos El Dorado Gpo</t>
  </si>
  <si>
    <t>TRITUASFALTOS</t>
  </si>
  <si>
    <t>VIÑEDOS ALDO CESAR PALAFOX</t>
  </si>
  <si>
    <t>Industrias Buin Mor</t>
  </si>
  <si>
    <t>Unidad de Servicios de Patología Clínica</t>
  </si>
  <si>
    <t>Vestir y Confeccion</t>
  </si>
  <si>
    <t>IMPULSORA DE SALUD DE BAJA CALIFORNIA</t>
  </si>
  <si>
    <t>Grupo Trigave</t>
  </si>
  <si>
    <t>Grupo Ica</t>
  </si>
  <si>
    <t>Flores de Chiltepec</t>
  </si>
  <si>
    <t>Fall-Pro de México</t>
  </si>
  <si>
    <t>BESS | ADVANCED BATTERIES &amp; ENERGY STORAGE</t>
  </si>
  <si>
    <t>Armoring Group</t>
  </si>
  <si>
    <t>NPC INDUSTRIAL DE MONTERREY</t>
  </si>
  <si>
    <t>Productos Sane Chapala</t>
  </si>
  <si>
    <t>Tersa del Golfo</t>
  </si>
  <si>
    <t>Procesadora De Alimentos Cale</t>
  </si>
  <si>
    <t>COMERCIALIZADORA DEPOSITO EL VALOR</t>
  </si>
  <si>
    <t>Servicios de Ingeniería Desarrollo de Proyectos y Mantenimiento General</t>
  </si>
  <si>
    <t>KALI SERVICIOS MEDICOS Y SUMINISTROS HOSPITALARIOS</t>
  </si>
  <si>
    <t>Triohmtec de México</t>
  </si>
  <si>
    <t>Strech Film Supplier</t>
  </si>
  <si>
    <t>Eurogerm México</t>
  </si>
  <si>
    <t>VETRO GALO</t>
  </si>
  <si>
    <t>Baja Frio</t>
  </si>
  <si>
    <t>ANUNCIOS UNIPOLARES</t>
  </si>
  <si>
    <t>Horbis Group</t>
  </si>
  <si>
    <t>Cremeria el Saucito</t>
  </si>
  <si>
    <t>Productos para el hogar lotus</t>
  </si>
  <si>
    <t>compañia minera avino</t>
  </si>
  <si>
    <t>Belara</t>
  </si>
  <si>
    <t>MANUFACTURERA PARSEC</t>
  </si>
  <si>
    <t>Grupo Securitas México</t>
  </si>
  <si>
    <t>SOFIPA CORPORATION</t>
  </si>
  <si>
    <t>Mc Gourmet</t>
  </si>
  <si>
    <t>Grupo Trimex</t>
  </si>
  <si>
    <t>Clavos Nacionales de México</t>
  </si>
  <si>
    <t>Materiales Industrializados</t>
  </si>
  <si>
    <t>Cita presencial</t>
  </si>
  <si>
    <t>FRACH MINERIA Y MAQUINARIA</t>
  </si>
  <si>
    <t>PRESTADORA DE SERVICIOS Y PRODUCTOS INDUSTRIAL MINEROS KIA</t>
  </si>
  <si>
    <t>Hospital San Felipe de Jesús</t>
  </si>
  <si>
    <t>Productos Mora</t>
  </si>
  <si>
    <t>Cortes Especializados de Papel</t>
  </si>
  <si>
    <t>Akzo Nobel Chemicals</t>
  </si>
  <si>
    <t>Plasticos Industriales De Monterrey</t>
  </si>
  <si>
    <t>Mauser Plastienvases Internacionals</t>
  </si>
  <si>
    <t>Yarda Castellanos</t>
  </si>
  <si>
    <t>Arrendadora y Constructora Maya</t>
  </si>
  <si>
    <t>Ontop Nutrition</t>
  </si>
  <si>
    <t>Cromher De Mexico</t>
  </si>
  <si>
    <t>Fructus Via</t>
  </si>
  <si>
    <t>Distribuidora Toymark</t>
  </si>
  <si>
    <t>Destileria Los Danzantes</t>
  </si>
  <si>
    <t>Industrias John Crane de México</t>
  </si>
  <si>
    <t>Hyrcosa</t>
  </si>
  <si>
    <t>Fungiterra</t>
  </si>
  <si>
    <t>SKY LEASING</t>
  </si>
  <si>
    <t>UPL Agro</t>
  </si>
  <si>
    <t>REACK</t>
  </si>
  <si>
    <t>Hospital Nuestra Señora de Guadalupe</t>
  </si>
  <si>
    <t>Opciones financiamiento Desamex</t>
  </si>
  <si>
    <t>Decorados y Satinados Mexicanos</t>
  </si>
  <si>
    <t>El Cid Vacations Club</t>
  </si>
  <si>
    <t>Leasing Pick-ups &amp; SLB</t>
  </si>
  <si>
    <t>Yukapioca</t>
  </si>
  <si>
    <t>Industrialización de Maderas Santa María Coyotepec</t>
  </si>
  <si>
    <t>ELITE SOLUCIONES DE INFRAESTRUCTURA ELECTRICA Y SUBESTACIONES</t>
  </si>
  <si>
    <t>Financiera por el Impulso Económico</t>
  </si>
  <si>
    <t>Mobility Holdco</t>
  </si>
  <si>
    <t>Guerrero Azteca</t>
  </si>
  <si>
    <t>Printel</t>
  </si>
  <si>
    <t>ANGEL JIMENEZ DE LA CRUZ</t>
  </si>
  <si>
    <t>Roberto Ambriz García</t>
  </si>
  <si>
    <t>4 Soluciones en Construcción</t>
  </si>
  <si>
    <t>Servicios Medicos Bmg</t>
  </si>
  <si>
    <t>Dasavena Gourmet</t>
  </si>
  <si>
    <t>Rancho Agropecuario Ramada</t>
  </si>
  <si>
    <t>Movimientos Terrestres De Carga</t>
  </si>
  <si>
    <t>Distribuidora Zinacantán</t>
  </si>
  <si>
    <t>Plásticos Uribe</t>
  </si>
  <si>
    <t>INDUSTRIAS PLASTICAS MAGICA</t>
  </si>
  <si>
    <t>Hendek Cimentación</t>
  </si>
  <si>
    <t>Gas Del Atlantico</t>
  </si>
  <si>
    <t>Transportes Transrapidos</t>
  </si>
  <si>
    <t>Llamada Rapid Tag</t>
  </si>
  <si>
    <t>GRUPO GILBERT CONCEPTOS ESTRUCTURALES</t>
  </si>
  <si>
    <t>Etiquetas Jalisco</t>
  </si>
  <si>
    <t>Picalsa</t>
  </si>
  <si>
    <t>Inmobiliaria Canels</t>
  </si>
  <si>
    <t>Beatriz García Ortega</t>
  </si>
  <si>
    <t>Siem Ingenieria</t>
  </si>
  <si>
    <t>Prodegal</t>
  </si>
  <si>
    <t>Acabados Jupiter</t>
  </si>
  <si>
    <t>Mexflex Logistics</t>
  </si>
  <si>
    <t>CEMENTOS, ACEROS Y ACABADOS XOCHITL</t>
  </si>
  <si>
    <t>ALLAN CRUZ</t>
  </si>
  <si>
    <t>Vitasanitas</t>
  </si>
  <si>
    <t>MINERA JAYNO</t>
  </si>
  <si>
    <t>Manlift Servicios</t>
  </si>
  <si>
    <t>Segrove Agencia</t>
  </si>
  <si>
    <t>Marchesi Manufactring Mexico</t>
  </si>
  <si>
    <t>Gandara Bienes de Capital</t>
  </si>
  <si>
    <t>presentacion de factoraje</t>
  </si>
  <si>
    <t>Electrica Automotriz Omega</t>
  </si>
  <si>
    <t>ARRENDA1</t>
  </si>
  <si>
    <t>Gunnebo México</t>
  </si>
  <si>
    <t>Fletes Tapatios</t>
  </si>
  <si>
    <t>Raul Romero Sanchez</t>
  </si>
  <si>
    <t>Marco Antonio González Valenzuela</t>
  </si>
  <si>
    <t>Sistemas Especializados de Diagnóstico</t>
  </si>
  <si>
    <t>Energroup</t>
  </si>
  <si>
    <t>Newell Rubbermaid de México</t>
  </si>
  <si>
    <t>Pasteko</t>
  </si>
  <si>
    <t>FarmAmigo</t>
  </si>
  <si>
    <t>MeetingI</t>
  </si>
  <si>
    <t>TRANSPORTES LOGA</t>
  </si>
  <si>
    <t>Monetización equipo de cocción</t>
  </si>
  <si>
    <t>Todo Marisco</t>
  </si>
  <si>
    <t>Lamex Agrialimentos</t>
  </si>
  <si>
    <t>GISE PARTS</t>
  </si>
  <si>
    <t>Van Zof</t>
  </si>
  <si>
    <t>Aceroteca México</t>
  </si>
  <si>
    <t>Aranzazu Holding</t>
  </si>
  <si>
    <t>Comerdel</t>
  </si>
  <si>
    <t>Baja Ferries</t>
  </si>
  <si>
    <t>Grupo CEMSA</t>
  </si>
  <si>
    <t>Villa Vainilla</t>
  </si>
  <si>
    <t>Impulse Telecommunications de México</t>
  </si>
  <si>
    <t>IDEALEASE NORESTE</t>
  </si>
  <si>
    <t>SERVICIO FAD</t>
  </si>
  <si>
    <t>Negocio Agrícola San Enrique</t>
  </si>
  <si>
    <t>INDUSTRIAS EDULKOR</t>
  </si>
  <si>
    <t>Dace Appliances north america</t>
  </si>
  <si>
    <t>Tekniplex</t>
  </si>
  <si>
    <t>Meeting | Presentación Propuesta + Next Steps</t>
  </si>
  <si>
    <t>Meeting | Presentación Propuesta - Next Steps</t>
  </si>
  <si>
    <t>BASHA TRANSPORTE ESPECIALIZADO DE PERSONAL</t>
  </si>
  <si>
    <t>Comercializadora Tletl</t>
  </si>
  <si>
    <t>Werner de Mexico</t>
  </si>
  <si>
    <t>AG Muebles y cocinas</t>
  </si>
  <si>
    <t>Soluciones de Negocios FNX SA de CV</t>
  </si>
  <si>
    <t>Visita nueva planta</t>
  </si>
  <si>
    <t>F8 Insumos Publicitarios</t>
  </si>
  <si>
    <t>Sama Etiquetas</t>
  </si>
  <si>
    <t>Transportes Cruz</t>
  </si>
  <si>
    <t>Casas Quintal</t>
  </si>
  <si>
    <t>Moldequipo Internacional</t>
  </si>
  <si>
    <t>Giddings Fruit</t>
  </si>
  <si>
    <t>GALECC TRADING</t>
  </si>
  <si>
    <t>Concretos Vimasa</t>
  </si>
  <si>
    <t>Fomential</t>
  </si>
  <si>
    <t>Transbec Logistica y transportes</t>
  </si>
  <si>
    <t>Bandai Corporación México</t>
  </si>
  <si>
    <t>Prince publicidad aplicada</t>
  </si>
  <si>
    <t>Assa Abloy México</t>
  </si>
  <si>
    <t>Grupo Mezgo</t>
  </si>
  <si>
    <t>MAQUINARIA Y AGROTECNOLOGIA DEL CENTRO-SUR</t>
  </si>
  <si>
    <t>Protexa Construcciones</t>
  </si>
  <si>
    <t>Marco Antonio Torres Tello Gutierrez</t>
  </si>
  <si>
    <t>Productos y Materiales Especializados en Servicios</t>
  </si>
  <si>
    <t>Madero Equipos De Ordeño</t>
  </si>
  <si>
    <t>Copachisa</t>
  </si>
  <si>
    <t>United Lima Filter</t>
  </si>
  <si>
    <t>Gentor</t>
  </si>
  <si>
    <t>Fletes y Materiales Forsis</t>
  </si>
  <si>
    <t>SEGUIMIENTO DE INVERION</t>
  </si>
  <si>
    <t>HMD SUMINISTRO INDUSTRIAL</t>
  </si>
  <si>
    <t>Víctor Bañuelos Romero</t>
  </si>
  <si>
    <t>LUBRICANTES MOTUL</t>
  </si>
  <si>
    <t>Conveyors Mx</t>
  </si>
  <si>
    <t>Taurus MG</t>
  </si>
  <si>
    <t>Grupo Maresa</t>
  </si>
  <si>
    <t>Asociación Mexicana de Laboratorios Farmacéuticos</t>
  </si>
  <si>
    <t>Antextextil</t>
  </si>
  <si>
    <t>Arcos Sercal de México</t>
  </si>
  <si>
    <t>Aspersoras Agricolas de Colima</t>
  </si>
  <si>
    <t>Cocofrut de Cancun</t>
  </si>
  <si>
    <t>Desarrolladora Imper</t>
  </si>
  <si>
    <t>Productos Alimenticios Dieteticos Relampago</t>
  </si>
  <si>
    <t>CHEMISETTE</t>
  </si>
  <si>
    <t>Gute Idee</t>
  </si>
  <si>
    <t>Universidad Tecnológica de Cancún</t>
  </si>
  <si>
    <t>Ermo Industrial</t>
  </si>
  <si>
    <t>Membresia Puerto Cancun</t>
  </si>
  <si>
    <t>Distribucion Organica Campo Vivo</t>
  </si>
  <si>
    <t>Industrias Peñoles</t>
  </si>
  <si>
    <t>Grupo Bal</t>
  </si>
  <si>
    <t>GRUPO INDUSTRIAL PROAVICOL</t>
  </si>
  <si>
    <t>SAL REAL DE COLIMA</t>
  </si>
  <si>
    <t>Estructuras Metálicas Prefabricadas</t>
  </si>
  <si>
    <t>LIVEK DEL CARIBE</t>
  </si>
  <si>
    <t>HYDROPONIC SOLUTIONS</t>
  </si>
  <si>
    <t>Laboratorios Licon</t>
  </si>
  <si>
    <t>CURVA VILLA IXTACALA CURVIX</t>
  </si>
  <si>
    <t>Outdoor México Servicios Publicitarios</t>
  </si>
  <si>
    <t>USD</t>
  </si>
  <si>
    <t>ADM Bio-Productos</t>
  </si>
  <si>
    <t>CONSTRUCTORA QUETZAL</t>
  </si>
  <si>
    <t>Grupo Austro</t>
  </si>
  <si>
    <t>Tractores y Maquinaria Real</t>
  </si>
  <si>
    <t>DCVMX VALVULAS DE CONTROL MEXICO</t>
  </si>
  <si>
    <t>SODETT CONSTRUCCIONES</t>
  </si>
  <si>
    <t>AGAVES LA PATRONA</t>
  </si>
  <si>
    <t>Pintacomex</t>
  </si>
  <si>
    <t>TRANSPORTE ESPECIALIZADO Y MECANICA DEL BAJIO</t>
  </si>
  <si>
    <t>Óptima Energía</t>
  </si>
  <si>
    <t>DISTRIBUIDORA IMOSA</t>
  </si>
  <si>
    <t>Presentación y seguimiento</t>
  </si>
  <si>
    <t>AMERICAN INDUSTRIES GROUP</t>
  </si>
  <si>
    <t>E6PR</t>
  </si>
  <si>
    <t>Médica Santa Carmen</t>
  </si>
  <si>
    <t>Ormco de Mexico</t>
  </si>
  <si>
    <t>Cita Inicial</t>
  </si>
  <si>
    <t>Possehl México</t>
  </si>
  <si>
    <t>Reiner Nafta</t>
  </si>
  <si>
    <t>Altopro</t>
  </si>
  <si>
    <t>EMINIC INDUSTRIAS</t>
  </si>
  <si>
    <t>Resolver Dudas Cuestionario - Factoraje</t>
  </si>
  <si>
    <t>Alimentos De La Granja</t>
  </si>
  <si>
    <t>ARG-PALMAR AGRONEGOCIOS</t>
  </si>
  <si>
    <t>Mankiewicz México y Compañía</t>
  </si>
  <si>
    <t>Kua Mex Foods</t>
  </si>
  <si>
    <t>Avicola y Ganadera De Jalisco</t>
  </si>
  <si>
    <t>SISTEMAS TECNICOS DE INFORMACION Y AVANCE</t>
  </si>
  <si>
    <t>Dragon Cargo</t>
  </si>
  <si>
    <t>Entia de México</t>
  </si>
  <si>
    <t>Garmo Industrial</t>
  </si>
  <si>
    <t>Leasing Vehiculos &amp; equipos Copachisa</t>
  </si>
  <si>
    <t>Grupo Industrial Vértice del Sureste</t>
  </si>
  <si>
    <t>Champs Superfoods</t>
  </si>
  <si>
    <t>Vsh Vigilancia y Protección</t>
  </si>
  <si>
    <t>Valentina Fruits</t>
  </si>
  <si>
    <t>Avexpress</t>
  </si>
  <si>
    <t>Curation Foods (antes Procesadora Tanok)</t>
  </si>
  <si>
    <t>Transportes Peñaloza</t>
  </si>
  <si>
    <t>Mina San Miguel</t>
  </si>
  <si>
    <t>Tensa Construcciones</t>
  </si>
  <si>
    <t>Productos Lacteos El Eden</t>
  </si>
  <si>
    <t>Atro motors</t>
  </si>
  <si>
    <t>Baxter</t>
  </si>
  <si>
    <t>Agfa de México</t>
  </si>
  <si>
    <t>Presentación y Seguimiento</t>
  </si>
  <si>
    <t>GLN MÉXICO</t>
  </si>
  <si>
    <t>REYPACO MX</t>
  </si>
  <si>
    <t>Transportes Orta</t>
  </si>
  <si>
    <t>Prospeccion</t>
  </si>
  <si>
    <t>Bioproducts GT</t>
  </si>
  <si>
    <t>AGROPECUARIA FINANCIERA</t>
  </si>
  <si>
    <t>Hospital HR Regiomontano</t>
  </si>
  <si>
    <t>MARTIN SPROCKET &amp; GEAR DE MEXICO</t>
  </si>
  <si>
    <t>Imprenta Perches</t>
  </si>
  <si>
    <t>Aeropuerto Del Sur de Chihuahua</t>
  </si>
  <si>
    <t>AVI G SERCOM</t>
  </si>
  <si>
    <t>FACTORAJE Y ARRENDAMIENTO</t>
  </si>
  <si>
    <t>Quick Shine Cleaning Service</t>
  </si>
  <si>
    <t>Enel Green Power</t>
  </si>
  <si>
    <t>Grupo Logístico Mares del Sur</t>
  </si>
  <si>
    <t>A &amp; F PROYECTOS METALMECANICOS</t>
  </si>
  <si>
    <t>Molinos Azteca y Juper</t>
  </si>
  <si>
    <t>Maquinaria y servicios profesionales</t>
  </si>
  <si>
    <t>MEZCLAS Y EMULSIONES PROFESIONALES</t>
  </si>
  <si>
    <t>Transporte y Autocarga Mexicana</t>
  </si>
  <si>
    <t>Matra Construccion</t>
  </si>
  <si>
    <t>SOLINDA</t>
  </si>
  <si>
    <t>REDES ANTICAIDAS</t>
  </si>
  <si>
    <t>Reactivos y Marcas de México</t>
  </si>
  <si>
    <t>Enlaces Mapa</t>
  </si>
  <si>
    <t>Excellence Freights de México</t>
  </si>
  <si>
    <t>Grupo Idesa</t>
  </si>
  <si>
    <t>Ilan Mizrahi</t>
  </si>
  <si>
    <t>Sesajal</t>
  </si>
  <si>
    <t>Cajas y Empaques Plegadizas</t>
  </si>
  <si>
    <t>Promotora Empresarial De Occidente</t>
  </si>
  <si>
    <t>Corrugados Especializados Del Bajío</t>
  </si>
  <si>
    <t>Pandener</t>
  </si>
  <si>
    <t>Premaco Asfaltos Básicos</t>
  </si>
  <si>
    <t>CMT de la Laguna</t>
  </si>
  <si>
    <t>FUNHEDI</t>
  </si>
  <si>
    <t>Sociedad Española De Beneficencia Puebla</t>
  </si>
  <si>
    <t>Grupo Logística Fros</t>
  </si>
  <si>
    <t>COMERCIALIZADORA FELMUS</t>
  </si>
  <si>
    <t>NORTHWAVE ELECTRONICS TOOLS</t>
  </si>
  <si>
    <t>Metaloplásticos Aural</t>
  </si>
  <si>
    <t>Dulcipan</t>
  </si>
  <si>
    <t>Groke</t>
  </si>
  <si>
    <t>S&amp;LB Mills</t>
  </si>
  <si>
    <t>Mills Products De Mexico</t>
  </si>
  <si>
    <t>Epccor</t>
  </si>
  <si>
    <t>Gutsa (Epccor)</t>
  </si>
  <si>
    <t>firma de contrato</t>
  </si>
  <si>
    <t>Pasteurizadora De Los Productores De Leche</t>
  </si>
  <si>
    <t>INSUMOS ELECTRICOS DEL NORTE</t>
  </si>
  <si>
    <t>Productos Uvaviña</t>
  </si>
  <si>
    <t>Distribuidora de Sosa y Ácidos</t>
  </si>
  <si>
    <t>Infoselective</t>
  </si>
  <si>
    <t>Lechería Escobar</t>
  </si>
  <si>
    <t>Distribuidora De Autoindustrias</t>
  </si>
  <si>
    <t>MARIA ELENA CHONG AMAYA</t>
  </si>
  <si>
    <t>AGRICOLA OJOS DE CIELO</t>
  </si>
  <si>
    <t>Balmoro</t>
  </si>
  <si>
    <t>INMOBILIARIA Y DESARROLLADORA FIRR</t>
  </si>
  <si>
    <t>PETERS IRRIGATION</t>
  </si>
  <si>
    <t>Reyco Renovables</t>
  </si>
  <si>
    <t>Cafes Tomari</t>
  </si>
  <si>
    <t>Industrias Plasticas Internacionales</t>
  </si>
  <si>
    <t>Distribution &amp; Services Logistics DH</t>
  </si>
  <si>
    <t>Frescar</t>
  </si>
  <si>
    <t>Manzanas la Instancia</t>
  </si>
  <si>
    <t>Rancho Nuevo Produce</t>
  </si>
  <si>
    <t>RER Energy Mexico</t>
  </si>
  <si>
    <t>Laboratorio Mexicano de Imágenes</t>
  </si>
  <si>
    <t>Gruas Keila</t>
  </si>
  <si>
    <t>KUYADI SUPPLY CHAIN</t>
  </si>
  <si>
    <t>Manufacturas Exel</t>
  </si>
  <si>
    <t>First Brands Group LLC</t>
  </si>
  <si>
    <t>Constructora Itai</t>
  </si>
  <si>
    <t>Output Management Services</t>
  </si>
  <si>
    <t>ZANEO</t>
  </si>
  <si>
    <t>Codere México</t>
  </si>
  <si>
    <t>CENTRO DE SERVICIO EL JAGUAR</t>
  </si>
  <si>
    <t>Prosutt Ecoquim</t>
  </si>
  <si>
    <t>HAPPY GREENHOUSE</t>
  </si>
  <si>
    <t>Aligonza</t>
  </si>
  <si>
    <t>Olan de México</t>
  </si>
  <si>
    <t>AGRICOLA EL FEO</t>
  </si>
  <si>
    <t>S&amp;L equipo de transporte</t>
  </si>
  <si>
    <t>Maderera y Ferretera Blanquita</t>
  </si>
  <si>
    <t>COMERSEGTEK</t>
  </si>
  <si>
    <t>MADERAS Y MATERIALES TAMPICO MIRAMAR</t>
  </si>
  <si>
    <t>Gp Logistics</t>
  </si>
  <si>
    <t>Zitum Desarrolladores</t>
  </si>
  <si>
    <t>Soluciones En Tecnología De Proceso</t>
  </si>
  <si>
    <t>Impresos Litopolis</t>
  </si>
  <si>
    <t>Mill Foods</t>
  </si>
  <si>
    <t>Food Solutions</t>
  </si>
  <si>
    <t>Industrias Plásticas NYC</t>
  </si>
  <si>
    <t>Triturados Industriales Monterrey</t>
  </si>
  <si>
    <t>Amecsa: S&amp;LB</t>
  </si>
  <si>
    <t>Carniceria Ocotal</t>
  </si>
  <si>
    <t>Estafeta Mexicana</t>
  </si>
  <si>
    <t>Grupo Comercial Maolma</t>
  </si>
  <si>
    <t>Integradora Comercial Del Golfo</t>
  </si>
  <si>
    <t>Flexitek de México</t>
  </si>
  <si>
    <t>Bao Ingenieria Y Servicios</t>
  </si>
  <si>
    <t>Brenda Vargas</t>
  </si>
  <si>
    <t>Hertz Ingeniería y Servicios</t>
  </si>
  <si>
    <t>reunion presencial</t>
  </si>
  <si>
    <t>Coal Del Norte</t>
  </si>
  <si>
    <t>Adapt Advance PlasticTechnnologies</t>
  </si>
  <si>
    <t>TECNO PACK CORRUGADOS</t>
  </si>
  <si>
    <t>PLASTIREYSA</t>
  </si>
  <si>
    <t>FLUXUS Inmobiliaria</t>
  </si>
  <si>
    <t>Orval Kent De Linares</t>
  </si>
  <si>
    <t>Boluda Coporación Marítima</t>
  </si>
  <si>
    <t>Productora De Cal De yucatan</t>
  </si>
  <si>
    <t>Acerocom y servicios comerciales</t>
  </si>
  <si>
    <t>FC FASHION</t>
  </si>
  <si>
    <t>VISION GRAFICA CONECTO S.A. DE C.V.</t>
  </si>
  <si>
    <t>GRUPO DIECAST MEXICO</t>
  </si>
  <si>
    <t>GM ROBOTIC</t>
  </si>
  <si>
    <t>Emergent cold Latam</t>
  </si>
  <si>
    <t>CRISOSA</t>
  </si>
  <si>
    <t>REDYTEL</t>
  </si>
  <si>
    <t>Mccann Erikson de México</t>
  </si>
  <si>
    <t>Seguimiento Nuevo CAPEX</t>
  </si>
  <si>
    <t>Gmifoods</t>
  </si>
  <si>
    <t>Mexproud Shipping</t>
  </si>
  <si>
    <t>3 Tratamientos Termicos</t>
  </si>
  <si>
    <t>UNION</t>
  </si>
  <si>
    <t>Aksi Herramientas</t>
  </si>
  <si>
    <t>Royal Creative</t>
  </si>
  <si>
    <t>Ramon Gonzalez Patron</t>
  </si>
  <si>
    <t>OPERADORA DE SERVICIOS Y PRODUCTOS INDEL</t>
  </si>
  <si>
    <t>Fábrica de Chocolates y Dulces Costanzo</t>
  </si>
  <si>
    <t>Mobinsa Baja</t>
  </si>
  <si>
    <t>KRISHKA</t>
  </si>
  <si>
    <t>NOPCHEM</t>
  </si>
  <si>
    <t>JORGE EDUARDO GONZALEZ MALDONADO</t>
  </si>
  <si>
    <t>Transportes De Carga Fema</t>
  </si>
  <si>
    <t>Videoconferencia Metalco</t>
  </si>
  <si>
    <t>Navarro Bros</t>
  </si>
  <si>
    <t>JEMAFLEX DE MEXICO</t>
  </si>
  <si>
    <t>Siloz - Express</t>
  </si>
  <si>
    <t>Demoliendo Mexico</t>
  </si>
  <si>
    <t>SIEMT</t>
  </si>
  <si>
    <t>PARMEX FILTRACION Y SOLUCIONES INDUSTRIALES</t>
  </si>
  <si>
    <t>Cafiver</t>
  </si>
  <si>
    <t>Coneprosa</t>
  </si>
  <si>
    <t>Handtmann Machinery México</t>
  </si>
  <si>
    <t>Erasto Pastor Hernández</t>
  </si>
  <si>
    <t>Industrializadora de maderas BC Pallets</t>
  </si>
  <si>
    <t>Rodrigo Israel Castillo Rocha</t>
  </si>
  <si>
    <t>COLAP</t>
  </si>
  <si>
    <t>FULARTEX</t>
  </si>
  <si>
    <t>Mavif Autotransporte</t>
  </si>
  <si>
    <t>SERVICIOS INDUSTRIALES Y DE INGENIERIA ITZAMNA</t>
  </si>
  <si>
    <t>Editorial Matro</t>
  </si>
  <si>
    <t>Cosmopolitan Group</t>
  </si>
  <si>
    <t>FMP Racks</t>
  </si>
  <si>
    <t>LINGOTES DEL CENTRO</t>
  </si>
  <si>
    <t>REVISIÓN_AUDITORIA</t>
  </si>
  <si>
    <t>Primarios</t>
  </si>
  <si>
    <t>Union Quimica</t>
  </si>
  <si>
    <t>Reviisón_Porpuesta</t>
  </si>
  <si>
    <t>Industrias Vermar</t>
  </si>
  <si>
    <t>Fg plastibolsas y empaques</t>
  </si>
  <si>
    <t>SEGUIMIENTO_CIEERE_OPERACIÓN</t>
  </si>
  <si>
    <t>Empacadora De Carnes Rivas</t>
  </si>
  <si>
    <t>MEXOCHEM CORPORATIVO</t>
  </si>
  <si>
    <t>Sofilab</t>
  </si>
  <si>
    <t>Transportes Unidos del Centro Tuc</t>
  </si>
  <si>
    <t>Grupo Grafico Saasil</t>
  </si>
  <si>
    <t>Transportes Marher</t>
  </si>
  <si>
    <t>Ecoquim</t>
  </si>
  <si>
    <t>Trena</t>
  </si>
  <si>
    <t>Innovaciones Asfálticas ALTEA</t>
  </si>
  <si>
    <t>industria y manufactura en acero GM</t>
  </si>
  <si>
    <t>Sistemas de Corte CNC</t>
  </si>
  <si>
    <t>Presentacion</t>
  </si>
  <si>
    <t>materiales GALINDO</t>
  </si>
  <si>
    <t>Triturados y Premezclados Altamira</t>
  </si>
  <si>
    <t>SERVICIOS AUBO</t>
  </si>
  <si>
    <t>Hortalizas De La Laguna</t>
  </si>
  <si>
    <t>Adhesivos Antiderrapantes Para Estibas</t>
  </si>
  <si>
    <t>COMPAÑIA CERVECERA HERCULES</t>
  </si>
  <si>
    <t>Laminaciones Tecnicas Para Empaques</t>
  </si>
  <si>
    <t>Audley Mexico</t>
  </si>
  <si>
    <t>Galber Ingenieria en Servicio</t>
  </si>
  <si>
    <t>SEÑOR PISTACHO</t>
  </si>
  <si>
    <t>Road Machinery</t>
  </si>
  <si>
    <t>Pinturas Doal</t>
  </si>
  <si>
    <t>Image Resources</t>
  </si>
  <si>
    <t>Moreno International</t>
  </si>
  <si>
    <t>Sanchez</t>
  </si>
  <si>
    <t>Ado</t>
  </si>
  <si>
    <t>Bonatti México</t>
  </si>
  <si>
    <t>Ceva Salud Animal</t>
  </si>
  <si>
    <t>Coordinacion Importacion Equipos FINOVA/FIBOSA</t>
  </si>
  <si>
    <t>Rada Alimentos</t>
  </si>
  <si>
    <t>Wireco Mex</t>
  </si>
  <si>
    <t>DAGO EXPORTADORA GLOBAL</t>
  </si>
  <si>
    <t>Bio Cosechas</t>
  </si>
  <si>
    <t>Nutrimentos Acuicola Azteca</t>
  </si>
  <si>
    <t>Dampack Comercial Packaging</t>
  </si>
  <si>
    <t>Mantenimiento Industrial de Polipastos</t>
  </si>
  <si>
    <t>SOLUCIONES INTEGRALES EN MATERIAL POP</t>
  </si>
  <si>
    <t>Fabricaciones Especializadas</t>
  </si>
  <si>
    <t>Dilabim</t>
  </si>
  <si>
    <t>Fábrica Mexicana de Torres</t>
  </si>
  <si>
    <t>Congeladora Nino</t>
  </si>
  <si>
    <t>Global Ends</t>
  </si>
  <si>
    <t>Presentación de Propuesta</t>
  </si>
  <si>
    <t>CONTROL DE SECTOR Y RASTREO</t>
  </si>
  <si>
    <t>Fresh Meat Market</t>
  </si>
  <si>
    <t>resolver Dudas Riesgo - Factoraje</t>
  </si>
  <si>
    <t>Envases Papeleros de México</t>
  </si>
  <si>
    <t>Gruppo Berlingo</t>
  </si>
  <si>
    <t>Filtros y Mallas Industriales</t>
  </si>
  <si>
    <t>Envases Pet de Tehuacan</t>
  </si>
  <si>
    <t>2010 Inyección de Plastico</t>
  </si>
  <si>
    <t>Servicios Coordinados Tlajomulco TIMOS</t>
  </si>
  <si>
    <t>Edilar</t>
  </si>
  <si>
    <t>IMPRESOS SANTIAGO</t>
  </si>
  <si>
    <t>Precision Metal Stamping</t>
  </si>
  <si>
    <t>Empacadora De Naranjas México</t>
  </si>
  <si>
    <t>Canace Transportes</t>
  </si>
  <si>
    <t>Trabba Prefabricados Concretos</t>
  </si>
  <si>
    <t>CARLOS SALVADOR LEAL ESPINOZA</t>
  </si>
  <si>
    <t>Skytex México</t>
  </si>
  <si>
    <t>Seguimiento Pendientes</t>
  </si>
  <si>
    <t>Minera Autlan</t>
  </si>
  <si>
    <t>TEAMCORE DE MEXICO</t>
  </si>
  <si>
    <t>EGOMARKETING</t>
  </si>
  <si>
    <t>Distribuidora Mexicana De Cítricos</t>
  </si>
  <si>
    <t>Polimeros y Derivados</t>
  </si>
  <si>
    <t>Flexi Seals</t>
  </si>
  <si>
    <t>Bienes de Equipo Ligero Construcción y Asesoramiento</t>
  </si>
  <si>
    <t>Pharmacur</t>
  </si>
  <si>
    <t>Distribuidora Industrial Del Norte</t>
  </si>
  <si>
    <t>Comercial Agrícola la Viña</t>
  </si>
  <si>
    <t>David Gonzalez</t>
  </si>
  <si>
    <t>Agregados y Bloques de Chetumal</t>
  </si>
  <si>
    <t>Servicios y Soluciones Electromecanicos</t>
  </si>
  <si>
    <t>Comercializadora del Bajío Sitrak</t>
  </si>
  <si>
    <t>Cancumisa</t>
  </si>
  <si>
    <t>Agpro Inc. de México</t>
  </si>
  <si>
    <t>Cosmeticos trujillo</t>
  </si>
  <si>
    <t>JAC FORKLIFT DE MEXICO</t>
  </si>
  <si>
    <t>Maverick Importaciones</t>
  </si>
  <si>
    <t>Rag Hermanos</t>
  </si>
  <si>
    <t>AGMEN SEGURIDAD PRIVADA</t>
  </si>
  <si>
    <t>Cometra</t>
  </si>
  <si>
    <t>Jose Armando Morales Ponce</t>
  </si>
  <si>
    <t>Marbel</t>
  </si>
  <si>
    <t>Productos Indy</t>
  </si>
  <si>
    <t>Representaciones Agroindustriales yamuni</t>
  </si>
  <si>
    <t>Cocanmex</t>
  </si>
  <si>
    <t>Paralelo 20</t>
  </si>
  <si>
    <t>DISTRIBUIDORA DE PLÁSTICOS SA</t>
  </si>
  <si>
    <t>Agricola Belher</t>
  </si>
  <si>
    <t>Humberto Acevedo</t>
  </si>
  <si>
    <t>Maderas y Ferreterías Durán</t>
  </si>
  <si>
    <t>Acesta</t>
  </si>
  <si>
    <t>GRUAS FILADELFIA</t>
  </si>
  <si>
    <t>CPK Printing</t>
  </si>
  <si>
    <t>Logistica en Reciclaje SLP</t>
  </si>
  <si>
    <t>MADERAS POLANCO</t>
  </si>
  <si>
    <t>FERTILITA MEDICINA REPRODUCTIVA</t>
  </si>
  <si>
    <t>Envialo Mexico</t>
  </si>
  <si>
    <t>LOGISTIK GRUPO ALPEZ</t>
  </si>
  <si>
    <t>Farco Perforaciones Y Bombeo</t>
  </si>
  <si>
    <t>Barmex</t>
  </si>
  <si>
    <t>Carredana De Empaques</t>
  </si>
  <si>
    <t>Cero Luz Cero Gas</t>
  </si>
  <si>
    <t>visita de credito</t>
  </si>
  <si>
    <t>visita de crédito</t>
  </si>
  <si>
    <t>NutriMex</t>
  </si>
  <si>
    <t>Etiquetas y Etiquetadoras Del Sureste</t>
  </si>
  <si>
    <t>Grupo Dialse</t>
  </si>
  <si>
    <t>Seguimiento Propuesta Fleet</t>
  </si>
  <si>
    <t>Grupo Mundotel</t>
  </si>
  <si>
    <t>EXEL DEL  NORTE</t>
  </si>
  <si>
    <t>MADRAX GREEN AUTOMATION</t>
  </si>
  <si>
    <t>Noverek &amp; Associates</t>
  </si>
  <si>
    <t>Automotriz R&amp;R</t>
  </si>
  <si>
    <t>Katcon</t>
  </si>
  <si>
    <t>Transportación y Logística de la Cruz</t>
  </si>
  <si>
    <t>Lester</t>
  </si>
  <si>
    <t>Ntd Ingredientes de México</t>
  </si>
  <si>
    <t>BOKOBA</t>
  </si>
  <si>
    <t>Regger</t>
  </si>
  <si>
    <t>Gutierrez Diez Grupo</t>
  </si>
  <si>
    <t>Junior de México</t>
  </si>
  <si>
    <t>Presentacion One Fleet Services</t>
  </si>
  <si>
    <t>Win Alimentos</t>
  </si>
  <si>
    <t>Comermares</t>
  </si>
  <si>
    <t>Universal Rental Cemam</t>
  </si>
  <si>
    <t>Grupo Gysapol</t>
  </si>
  <si>
    <t>MAYWEY</t>
  </si>
  <si>
    <t>Agencia Aduanal Sansores</t>
  </si>
  <si>
    <t>Ingenieria Perico</t>
  </si>
  <si>
    <t>BIOLOGICOS Y FARMACOS ASISTENCIALES</t>
  </si>
  <si>
    <t>Productos y Asfaltos Procesados</t>
  </si>
  <si>
    <t>CASA CRAVIOTO</t>
  </si>
  <si>
    <t>SINERGECIA MEXICANA</t>
  </si>
  <si>
    <t>CONSTRUCCIONES, SUMINISTROS Y MONTAJES</t>
  </si>
  <si>
    <t>Pitss Latinoamérica</t>
  </si>
  <si>
    <t>Longoria, Company</t>
  </si>
  <si>
    <t>ACUACULTORES DE LOS POZOS</t>
  </si>
  <si>
    <t>CONSTRUCTORA MAYRAN DE SAN PEDRO</t>
  </si>
  <si>
    <t>Grupo Traxion</t>
  </si>
  <si>
    <t>Pabisan</t>
  </si>
  <si>
    <t>Picex Chemicals</t>
  </si>
  <si>
    <t>Deacero</t>
  </si>
  <si>
    <t>Sacos Nava Kraft</t>
  </si>
  <si>
    <t>ASP Advanced Sterilization Products</t>
  </si>
  <si>
    <t>Portátil WC</t>
  </si>
  <si>
    <t>E-TEK Proveedores en Informática y Servicios</t>
  </si>
  <si>
    <t>Novalan Computadoras Y Redes</t>
  </si>
  <si>
    <t>Metalurgica De Xalostoc</t>
  </si>
  <si>
    <t>Grupo constructor geotécnico Animal Soil</t>
  </si>
  <si>
    <t>COFFEE MATTERS</t>
  </si>
  <si>
    <t>Videoconferencia CVA</t>
  </si>
  <si>
    <t>Roderick Technology</t>
  </si>
  <si>
    <t>Diseko Soluciones</t>
  </si>
  <si>
    <t>Atradium</t>
  </si>
  <si>
    <t>Mcgraw-Hill Interamericana Editores</t>
  </si>
  <si>
    <t>Grupo McGraw Hill</t>
  </si>
  <si>
    <t>Carlos Terminel</t>
  </si>
  <si>
    <t>DUTTON HERMANOS</t>
  </si>
  <si>
    <t>Hospitales H</t>
  </si>
  <si>
    <t>Constructora Sextin</t>
  </si>
  <si>
    <t>APCO</t>
  </si>
  <si>
    <t>Trank Transportaciones</t>
  </si>
  <si>
    <t>ESTRUCTURAS SOLANA</t>
  </si>
  <si>
    <t>LM Minería y Proyectos</t>
  </si>
  <si>
    <t>Amsu De Mexico</t>
  </si>
  <si>
    <t>All4labels México</t>
  </si>
  <si>
    <t>ADMINISTRACIONES CORPORATIVAS GUTIERREZ</t>
  </si>
  <si>
    <t>Grupo Adet</t>
  </si>
  <si>
    <t>Circus Confecciones</t>
  </si>
  <si>
    <t>PIP PIP MOBILITY</t>
  </si>
  <si>
    <t>Trob Transportes</t>
  </si>
  <si>
    <t>Opciones de leasing vehivular y factoraje</t>
  </si>
  <si>
    <t>CASKA MEXICO</t>
  </si>
  <si>
    <t>KOMATSU FINANCE MÉXICO</t>
  </si>
  <si>
    <t>Tyson México Trading Company</t>
  </si>
  <si>
    <t>Industrial &amp; Mining Solution</t>
  </si>
  <si>
    <t>Carl Zeiss de México</t>
  </si>
  <si>
    <t>SUPRA LOGISTICS</t>
  </si>
  <si>
    <t>Viabus</t>
  </si>
  <si>
    <t>Productos Menfrut</t>
  </si>
  <si>
    <t>Agricola Men</t>
  </si>
  <si>
    <t>TEREX GENIE MEXICO</t>
  </si>
  <si>
    <t>Fabrica Fralimbel Manufacturing</t>
  </si>
  <si>
    <t>Tecnobrick</t>
  </si>
  <si>
    <t>Higueral Produce</t>
  </si>
  <si>
    <t>Bueno Alimentos</t>
  </si>
  <si>
    <t>Rikar Comercializacion y Abastecimiento</t>
  </si>
  <si>
    <t>Tomsa Destil Mexico</t>
  </si>
  <si>
    <t>Visita ocular</t>
  </si>
  <si>
    <t>Insumos Cerveceros Del Sureste</t>
  </si>
  <si>
    <t>ALFAJARIN</t>
  </si>
  <si>
    <t>GRISI HERMANOS</t>
  </si>
  <si>
    <t>Grisi Hnos.</t>
  </si>
  <si>
    <t>Sennheiser México</t>
  </si>
  <si>
    <t>Gendifar</t>
  </si>
  <si>
    <t>COFREMEX</t>
  </si>
  <si>
    <t>Sunworks</t>
  </si>
  <si>
    <t>SILBEC Technology Group</t>
  </si>
  <si>
    <t>Energéticos Internacionales</t>
  </si>
  <si>
    <t>Trans-Energeticos</t>
  </si>
  <si>
    <t>Cipsa Industrias</t>
  </si>
  <si>
    <t>GRUPO FENEVI</t>
  </si>
  <si>
    <t>Jocar Products</t>
  </si>
  <si>
    <t>Revisar estatus Placas</t>
  </si>
  <si>
    <t>Distribuidora de Equipo Médico e Industrial de México</t>
  </si>
  <si>
    <t>Sermedicar</t>
  </si>
  <si>
    <t>Proteínas Especiales</t>
  </si>
  <si>
    <t>Gerresheimer Queretaro</t>
  </si>
  <si>
    <t>Grupo Consulmed</t>
  </si>
  <si>
    <t>Meeting_New</t>
  </si>
  <si>
    <t>ARTIC NATURE SOURCE IMPROVED PLANTS DE MÉXICO</t>
  </si>
  <si>
    <t>Ferromateriales Depro</t>
  </si>
  <si>
    <t>Tecnologia Del Hule</t>
  </si>
  <si>
    <t>Maiz Frito</t>
  </si>
  <si>
    <t>MLTI Logistics</t>
  </si>
  <si>
    <t>CENTRO DE ESTUDIOS SUPERIORES DEL NOROESTE</t>
  </si>
  <si>
    <t>Central De Bandas Y Mangueras</t>
  </si>
  <si>
    <t>CONSTRUCTORA EL ULTIMO  MIRMIDON</t>
  </si>
  <si>
    <t>RICHALUM</t>
  </si>
  <si>
    <t>visita a planta</t>
  </si>
  <si>
    <t>UVAS DE ALTURA</t>
  </si>
  <si>
    <t>Grupo Empresarial La Pirámide</t>
  </si>
  <si>
    <t>Suministro y Soluciones en Metal</t>
  </si>
  <si>
    <t>Guesos</t>
  </si>
  <si>
    <t>Colorado Industrial Supply</t>
  </si>
  <si>
    <t>Revision Pendientes Factoraje</t>
  </si>
  <si>
    <t>Pinturas Berel</t>
  </si>
  <si>
    <t>Meeting_Seguimiento</t>
  </si>
  <si>
    <t>Doble I Doble E</t>
  </si>
  <si>
    <t>teknocuero</t>
  </si>
  <si>
    <t>HERGOM MEDICAL</t>
  </si>
  <si>
    <t>Minerales y Arcillas</t>
  </si>
  <si>
    <t>Aerovias de México</t>
  </si>
  <si>
    <t>CAMPAÑA FACTORAJE</t>
  </si>
  <si>
    <t>Distribuidora de carnes grabic</t>
  </si>
  <si>
    <t>BOLCO</t>
  </si>
  <si>
    <t>PRODUCTOS FRESCOS LA HUERTA</t>
  </si>
  <si>
    <t>Global Plastic</t>
  </si>
  <si>
    <t>Grupo BM&amp;O</t>
  </si>
  <si>
    <t>Ingeniería Soluciones y Respaldo Profesional</t>
  </si>
  <si>
    <t>Coordinacion Inspeccion Equipos</t>
  </si>
  <si>
    <t>Industria Sigrama</t>
  </si>
  <si>
    <t>Papas Santa Fe</t>
  </si>
  <si>
    <t>Mccain México</t>
  </si>
  <si>
    <t>Gabino Jonathan Adriano Ceballos</t>
  </si>
  <si>
    <t>Comercializadora de aceros y suministros y colocacipon de señalamientos Carreteros</t>
  </si>
  <si>
    <t>BYB Transportes de Carga en General</t>
  </si>
  <si>
    <t>Presentación_Propuesta</t>
  </si>
  <si>
    <t>Gala Pharma</t>
  </si>
  <si>
    <t>Industrias Agrícolas Mexicanas</t>
  </si>
  <si>
    <t>Norson Holding</t>
  </si>
  <si>
    <t>Sanmina-Sci Systems de México</t>
  </si>
  <si>
    <t>COMER MART</t>
  </si>
  <si>
    <t>MEZCLAS Y DESARROLLO DE INGREDIENTES</t>
  </si>
  <si>
    <t>CONSTRUCCIONES VEGATI</t>
  </si>
  <si>
    <t>Autokimia</t>
  </si>
  <si>
    <t>TELECOMUNICACIONES Y TECNOLOGIAS DEL NOROESTE, S. de R.L. de C.V.</t>
  </si>
  <si>
    <t>Extrupack</t>
  </si>
  <si>
    <t>BEAVER TRAILERS DE MEXICO</t>
  </si>
  <si>
    <t>Fletera De Liquidos Gaal</t>
  </si>
  <si>
    <t>Villarreal Division Equipos</t>
  </si>
  <si>
    <t>Huf México</t>
  </si>
  <si>
    <t>Carvajal</t>
  </si>
  <si>
    <t>PETRO GRUAS INDUSTRIALES G&amp;G</t>
  </si>
  <si>
    <t>Transportes Loro</t>
  </si>
  <si>
    <t>Americas Mach Latam</t>
  </si>
  <si>
    <t>Surtidora Del Bajío</t>
  </si>
  <si>
    <t>Grupo Marhel</t>
  </si>
  <si>
    <t>Agricola Cuchujaqui</t>
  </si>
  <si>
    <t>TRANSPORTE DE PERSONAL PEQUENA</t>
  </si>
  <si>
    <t>Universidad De Especialidades</t>
  </si>
  <si>
    <t>Colores Dglass</t>
  </si>
  <si>
    <t>TRANSPORTES TREGUI</t>
  </si>
  <si>
    <t>Sociedad Cooperativa De Trabajadores De Pascual</t>
  </si>
  <si>
    <t>Eurolls de Mexico</t>
  </si>
  <si>
    <t>Construccion y Urbanizacion Prizma</t>
  </si>
  <si>
    <t>Villanueva Produce</t>
  </si>
  <si>
    <t>Grupo Agropecuario Avicola Johnny</t>
  </si>
  <si>
    <t>Industrias ARC</t>
  </si>
  <si>
    <t>El Cincuenton</t>
  </si>
  <si>
    <t>PRODUCTOS DON TACHO</t>
  </si>
  <si>
    <t>Construcciones Lizarraga</t>
  </si>
  <si>
    <t>Grupo Olsa</t>
  </si>
  <si>
    <t>Isgo Manufacturing</t>
  </si>
  <si>
    <t>ROMYC INDUSTRIAL</t>
  </si>
  <si>
    <t>Grupo Arcoiris</t>
  </si>
  <si>
    <t>Agroequipos Del Valle</t>
  </si>
  <si>
    <t>Grupo Avotarascas</t>
  </si>
  <si>
    <t>Alimentos Deshidratados</t>
  </si>
  <si>
    <t>ROCAMEX DISTRIBUIDORA</t>
  </si>
  <si>
    <t>Aldo Israel Martínez Quintero</t>
  </si>
  <si>
    <t>Escudero Industrial</t>
  </si>
  <si>
    <t>Avedia Valley Fruits</t>
  </si>
  <si>
    <t>Artigraf</t>
  </si>
  <si>
    <t>Continental contitech de chihuahua</t>
  </si>
  <si>
    <t>Carrocerías Hernandez</t>
  </si>
  <si>
    <t>Grupo Botanero Alteño</t>
  </si>
  <si>
    <t>Guantes Vargas</t>
  </si>
  <si>
    <t>Grupo Remolques del Norte</t>
  </si>
  <si>
    <t>Representaciones Insercom</t>
  </si>
  <si>
    <t>International Corporation </t>
  </si>
  <si>
    <t>Print Service</t>
  </si>
  <si>
    <t>TRANSPORMER</t>
  </si>
  <si>
    <t>Atlas Instalador De Maquinaria Industrial</t>
  </si>
  <si>
    <t>AB Pollo</t>
  </si>
  <si>
    <t>Especias Naturales de México</t>
  </si>
  <si>
    <t>Unifoods</t>
  </si>
  <si>
    <t>ABASTECEDORA Y COMERCIALIZADORA SUPER CHIQUIS</t>
  </si>
  <si>
    <t>Técnica Mineral Pecuaria</t>
  </si>
  <si>
    <t>ABASTECEDORA DE METALES Y ACEROS RIV</t>
  </si>
  <si>
    <t>COMPOSTELA PROMOCIONES</t>
  </si>
  <si>
    <t>Polysnop</t>
  </si>
  <si>
    <t>Tecmin Servicios</t>
  </si>
  <si>
    <t>Tejas Terracota Chihuahua</t>
  </si>
  <si>
    <t>Batz Mexicana</t>
  </si>
  <si>
    <t>Bupa México Compañía De Seguros</t>
  </si>
  <si>
    <t>PREFABRICADOS DEL CENTRO</t>
  </si>
  <si>
    <t>Yakult</t>
  </si>
  <si>
    <t>Ramcs Corporativo</t>
  </si>
  <si>
    <t>Revision Tasa</t>
  </si>
  <si>
    <t>Consulta deudor Wal Mart de Mexico</t>
  </si>
  <si>
    <t>DYA MANUFACTURAS</t>
  </si>
  <si>
    <t>SIE&amp;C</t>
  </si>
  <si>
    <t>Ratificacion Firma Anexo 9</t>
  </si>
  <si>
    <t>CAMPO PABLO BÓRQUEZ</t>
  </si>
  <si>
    <t>SEGUIMIENTO_PROYECTOS</t>
  </si>
  <si>
    <t>Mining Biotech</t>
  </si>
  <si>
    <t>ORGANIZACION DE PRODUCTORES PACIFICO-SUR</t>
  </si>
  <si>
    <t>Tecnica Mineral México</t>
  </si>
  <si>
    <t>Productos Rivial</t>
  </si>
  <si>
    <t>Tecnologías Y Soluciones Tridimensionales</t>
  </si>
  <si>
    <t>ENGINEERING AND SUSTAINABILITY CASTILLO &amp; CASTILLO</t>
  </si>
  <si>
    <t>Agrofertilizantes Del Sureste</t>
  </si>
  <si>
    <t>Productos Curtientes</t>
  </si>
  <si>
    <t>Leasing equipo de transporte</t>
  </si>
  <si>
    <t>The American British Cowdray Medical Center</t>
  </si>
  <si>
    <t>Concretos Sustentables Mexicanos</t>
  </si>
  <si>
    <t>Trammosa</t>
  </si>
  <si>
    <t>Servibev</t>
  </si>
  <si>
    <t>Pulido Truck And Parts</t>
  </si>
  <si>
    <t>Abastecedora de Aceros de Nayarit</t>
  </si>
  <si>
    <t>San patricio consultorios y oficinas</t>
  </si>
  <si>
    <t>Construcción del Bajío</t>
  </si>
  <si>
    <t>Agroindustrias Montser</t>
  </si>
  <si>
    <t>PROEBA PACK</t>
  </si>
  <si>
    <t>Industrias Ilsa Frigo</t>
  </si>
  <si>
    <t>HILARSA LAB</t>
  </si>
  <si>
    <t>Techsmart De Mexico</t>
  </si>
  <si>
    <t>AGUIVA AVOCADOS</t>
  </si>
  <si>
    <t>Arrocera de Nayarit</t>
  </si>
  <si>
    <t>SOLARIS FARMA</t>
  </si>
  <si>
    <t>OMNIBUS DEL VALLE DE AMECA</t>
  </si>
  <si>
    <t>VICENTE TORNS GROUP</t>
  </si>
  <si>
    <t>Transportes Casta</t>
  </si>
  <si>
    <t>Grupo Aduanal del Pacífico</t>
  </si>
  <si>
    <t>CONSON CONSTRUCCIONES</t>
  </si>
  <si>
    <t>Forrajera Elizondo</t>
  </si>
  <si>
    <t>PTM LA REYNA</t>
  </si>
  <si>
    <t>Grupo Shield México</t>
  </si>
  <si>
    <t>Gear Alimentos</t>
  </si>
  <si>
    <t>CENTRO QUIRURGICO SAN RAFAEL</t>
  </si>
  <si>
    <t>Janesville de México</t>
  </si>
  <si>
    <t>Yonke San Marcos</t>
  </si>
  <si>
    <t>Producciones Signaléticas Mexicanas</t>
  </si>
  <si>
    <t>Umet Handel</t>
  </si>
  <si>
    <t>Prodensa Noroeste</t>
  </si>
  <si>
    <t>Soluciones Liv</t>
  </si>
  <si>
    <t>Valkia Automotriz</t>
  </si>
  <si>
    <t>Yuki Logistics</t>
  </si>
  <si>
    <t>GRUPO AUTOMOTRIZ VMH</t>
  </si>
  <si>
    <t>Bajapack</t>
  </si>
  <si>
    <t>Productos Innovador</t>
  </si>
  <si>
    <t>GRUPO AGROALIMENTARIO DON VILLA</t>
  </si>
  <si>
    <t>Steel Serv</t>
  </si>
  <si>
    <t>Laureate Education</t>
  </si>
  <si>
    <t>Imhp De Mexico</t>
  </si>
  <si>
    <t>Reunión EmpaqueMx</t>
  </si>
  <si>
    <t>Papeles Especiales de Mexico</t>
  </si>
  <si>
    <t>CENTRAL DE LAMINAS QUERETARO</t>
  </si>
  <si>
    <t>Braskem Idesa Capi</t>
  </si>
  <si>
    <t>Distribuidora VW del Bajío</t>
  </si>
  <si>
    <t>Autolineas De Carga Jireh</t>
  </si>
  <si>
    <t>Perfobar</t>
  </si>
  <si>
    <t>Aceitera La Española</t>
  </si>
  <si>
    <t>Atlas Copco Mexicana</t>
  </si>
  <si>
    <t>El Crisol</t>
  </si>
  <si>
    <t>Chsisi Salud</t>
  </si>
  <si>
    <t>Médica TEC 100</t>
  </si>
  <si>
    <t>Inavant</t>
  </si>
  <si>
    <t>INNOVAK GLOBAL</t>
  </si>
  <si>
    <t>B Pack</t>
  </si>
  <si>
    <t>TECHNOLOGIS</t>
  </si>
  <si>
    <t>LOGISTICA PORTUARIA DE MANZANILLO</t>
  </si>
  <si>
    <t>TRANSPORTES COLMEX</t>
  </si>
  <si>
    <t>Grupo Malsa Constructora</t>
  </si>
  <si>
    <t>Mina Pica Piedra</t>
  </si>
  <si>
    <t>TRACMORSA</t>
  </si>
  <si>
    <t>Transporte Automatización de Materiales</t>
  </si>
  <si>
    <t>BSM FORWARDING</t>
  </si>
  <si>
    <t>Aluminios Desoxidantes de Occidente</t>
  </si>
  <si>
    <t>Desarrollos que trascienden</t>
  </si>
  <si>
    <t>Maclean Engineering Mexicana</t>
  </si>
  <si>
    <t>Concretos AVE</t>
  </si>
  <si>
    <t>Triturados El Roble</t>
  </si>
  <si>
    <t>Pinturas Osel</t>
  </si>
  <si>
    <t>SERTEC</t>
  </si>
  <si>
    <t>Amisa Monterrey</t>
  </si>
  <si>
    <t>Grupo Industrial Saltillo</t>
  </si>
  <si>
    <t>Suminregio</t>
  </si>
  <si>
    <t>Comercializadora Mayco</t>
  </si>
  <si>
    <t>MEC ESPEJOS Y RETROVISORES</t>
  </si>
  <si>
    <t>MOLIENDAS TECNICAS</t>
  </si>
  <si>
    <t>INSPIRE SOLUTIONS</t>
  </si>
  <si>
    <t>Salchichonería Fritz</t>
  </si>
  <si>
    <t>Aleciones Y Metales Industriales</t>
  </si>
  <si>
    <t>Materiales plasticos del centro</t>
  </si>
  <si>
    <t>Cribas y Productos Metalicos</t>
  </si>
  <si>
    <t>Saporis Comercial</t>
  </si>
  <si>
    <t>Juan Francisco Solis Gonzalez</t>
  </si>
  <si>
    <t>Seguimiento Oportunidad IT</t>
  </si>
  <si>
    <t>Afirme Grupo Financiero</t>
  </si>
  <si>
    <t>UNIVERSIDAD LICEO CERVANTINO</t>
  </si>
  <si>
    <t>Meganis Industrial</t>
  </si>
  <si>
    <t>MAGNOCENTRO FERRETERO</t>
  </si>
  <si>
    <t>Concretos Tepeyac</t>
  </si>
  <si>
    <t>presentacion de arrendamiento</t>
  </si>
  <si>
    <t>Grupo Mar De Cortez</t>
  </si>
  <si>
    <t>Comercializadora Mavero</t>
  </si>
  <si>
    <t>BERRY LOVERS</t>
  </si>
  <si>
    <t>Concretera Titan</t>
  </si>
  <si>
    <t>CAJAS Y PLASTICOS DE SINALOA</t>
  </si>
  <si>
    <t>Tequilas Del Señor</t>
  </si>
  <si>
    <t>Corrugados Logo</t>
  </si>
  <si>
    <t>Administracion Dimsa</t>
  </si>
  <si>
    <t>GALA LOGISTIC MZ</t>
  </si>
  <si>
    <t>Distribuidora De Naranjas Tamez</t>
  </si>
  <si>
    <t>Orocahui Mining</t>
  </si>
  <si>
    <t>Flexometal</t>
  </si>
  <si>
    <t>Hyundai Glovis México</t>
  </si>
  <si>
    <t>Nutroline</t>
  </si>
  <si>
    <t>Franquicias Josephinos</t>
  </si>
  <si>
    <t>R.O. Maquinaria</t>
  </si>
  <si>
    <t>MULTIMADERAS Y TRIPLAY</t>
  </si>
  <si>
    <t>ACEROS Y LAMINAS TREVALSA</t>
  </si>
  <si>
    <t>Yum-kax</t>
  </si>
  <si>
    <t>Induplastic de México</t>
  </si>
  <si>
    <t>Inter Servicio De Mexicosa</t>
  </si>
  <si>
    <t>Fariel</t>
  </si>
  <si>
    <t>PARTES HERRAMIENTAS Y MAQUINADOS</t>
  </si>
  <si>
    <t>Construcciones Covimex</t>
  </si>
  <si>
    <t>Supera Prestamos</t>
  </si>
  <si>
    <t>MARES SEA FOOD</t>
  </si>
  <si>
    <t>INDUSTRIAL PROCESS AND PROJECTS</t>
  </si>
  <si>
    <t>GRUPO RENGA SEGURIDAD PRIVADA</t>
  </si>
  <si>
    <t>Lacteos La Jolla</t>
  </si>
  <si>
    <t>CBOX MX</t>
  </si>
  <si>
    <t>Resortes y Partes</t>
  </si>
  <si>
    <t>FORESTAL LAGUNERA</t>
  </si>
  <si>
    <t>México Recicla GMP BV</t>
  </si>
  <si>
    <t>GMP BV</t>
  </si>
  <si>
    <t>PANAMOTORS CENTER</t>
  </si>
  <si>
    <t>HILADOS EGARA</t>
  </si>
  <si>
    <t>T-LINE MEXICO</t>
  </si>
  <si>
    <t>Finsa</t>
  </si>
  <si>
    <t>Seguimiento Oportunidad CAPEX</t>
  </si>
  <si>
    <t>TRANSPORTE LUXURY</t>
  </si>
  <si>
    <t>Yasunaga mexico</t>
  </si>
  <si>
    <t>V&amp;B Metalogistica</t>
  </si>
  <si>
    <t>Gorigeek</t>
  </si>
  <si>
    <t>Seguimiento CAPEX 2026</t>
  </si>
  <si>
    <t>Centro Medico Del Noroeste</t>
  </si>
  <si>
    <t>Clinica del Noroeste</t>
  </si>
  <si>
    <t>REMETA</t>
  </si>
  <si>
    <t>Ana Karen Arenas Mora</t>
  </si>
  <si>
    <t>MANUEL HERNÁNDEZ OCHOA</t>
  </si>
  <si>
    <t>Evolve Exploration Mexico</t>
  </si>
  <si>
    <t>Squeeze Tube International</t>
  </si>
  <si>
    <t> Coordinadora de Carrier´s</t>
  </si>
  <si>
    <t>Marcatel Com</t>
  </si>
  <si>
    <t>Avanxe Logístico</t>
  </si>
  <si>
    <t>Intec Group</t>
  </si>
  <si>
    <t>CALCIO Y MARMOLINAS</t>
  </si>
  <si>
    <t>Richel Group</t>
  </si>
  <si>
    <t>Decsa</t>
  </si>
  <si>
    <t>Concretos Tecnicos de México</t>
  </si>
  <si>
    <t>Contenedores Y Químicos De México</t>
  </si>
  <si>
    <t>Reunion Seguimiento Factoraje</t>
  </si>
  <si>
    <t>Arrendadora Cuanticus</t>
  </si>
  <si>
    <t>JAIR MEJIA ZAMORA</t>
  </si>
  <si>
    <t>Quesos la Ordeña</t>
  </si>
  <si>
    <t>Mego Afek</t>
  </si>
  <si>
    <t>RECICLA AMBIENTE</t>
  </si>
  <si>
    <t>Transportes Mar</t>
  </si>
  <si>
    <t>Super Farmacias Santa Maria</t>
  </si>
  <si>
    <t>Frío Express</t>
  </si>
  <si>
    <t>Meeting_Seguimiento_</t>
  </si>
  <si>
    <t>Border Freight</t>
  </si>
  <si>
    <t>Reunión Magnocentro</t>
  </si>
  <si>
    <t>Decisiones Inteligentes de Transporte</t>
  </si>
  <si>
    <t>Industrias Rochin</t>
  </si>
  <si>
    <t>Grupo R3</t>
  </si>
  <si>
    <t>Grupo Textil Altex</t>
  </si>
  <si>
    <t>Artes Gráficas Sinaloenses</t>
  </si>
  <si>
    <t>Olympo Farms</t>
  </si>
  <si>
    <t>Avi Glass</t>
  </si>
  <si>
    <t>Transportes Innovativos</t>
  </si>
  <si>
    <t>Concretos 2H</t>
  </si>
  <si>
    <t>SEPSTAR MEXICO</t>
  </si>
  <si>
    <t>PROFESIONALES EN MANTENIMIENTO Y LIMPIEZA JLS</t>
  </si>
  <si>
    <t>Dawn Foods</t>
  </si>
  <si>
    <t>UTCM UNION TRANSPORTISTA DE CARGA DE MANZANILLO</t>
  </si>
  <si>
    <t>DIGSSA PACKAGING AND SUPPLY</t>
  </si>
  <si>
    <t>Ep Insumos</t>
  </si>
  <si>
    <t>Meeting_new_Compras</t>
  </si>
  <si>
    <t>Plásticos Cantabria</t>
  </si>
  <si>
    <t>Proveedora de Dulcerías Regiomontana</t>
  </si>
  <si>
    <t>Plasticos Tecnicos Mexicanos</t>
  </si>
  <si>
    <t>MINERA DE COAHUILA</t>
  </si>
  <si>
    <t>Fábrica de Hielo Apodaca</t>
  </si>
  <si>
    <t>TRACTO REPARACIONES RODRIGO</t>
  </si>
  <si>
    <t>Productos Pesqueros De Matancitas</t>
  </si>
  <si>
    <t>DEM INDUSTRIAL</t>
  </si>
  <si>
    <t>Proveedora Del Panadero</t>
  </si>
  <si>
    <t>Bloquera Gonzalez</t>
  </si>
  <si>
    <t>Meeting_Seguimiento_Factoraje_ Refinanciamiento</t>
  </si>
  <si>
    <t>Isringhausen México</t>
  </si>
  <si>
    <t>Garbanzo Campo Nuevo</t>
  </si>
  <si>
    <t>Reparaciones y Equipos de la Laguna</t>
  </si>
  <si>
    <t>Agricola Cueto Produce</t>
  </si>
  <si>
    <t>Additius International</t>
  </si>
  <si>
    <t>Camionera Del Pacifico - Matriz</t>
  </si>
  <si>
    <t>Seguimiento_Expediente</t>
  </si>
  <si>
    <t>reunion de seguimiento</t>
  </si>
  <si>
    <t>RCI EMPAQUES</t>
  </si>
  <si>
    <t>LA DUEÑA</t>
  </si>
  <si>
    <t>BEMIS PACKAGING MEXICO</t>
  </si>
  <si>
    <t>Gen Industrial</t>
  </si>
  <si>
    <t>Promotora Ambiental</t>
  </si>
  <si>
    <t>Gold Data</t>
  </si>
  <si>
    <t>Irizar México</t>
  </si>
  <si>
    <t>8TRADE</t>
  </si>
  <si>
    <t>Toyota Motor De Mexico</t>
  </si>
  <si>
    <t>Llamada con MADISA</t>
  </si>
  <si>
    <t>Compania Isdamar</t>
  </si>
  <si>
    <t>Agroindustrias Unidas de Cacao</t>
  </si>
  <si>
    <t>Spakio</t>
  </si>
  <si>
    <t>Litoprint</t>
  </si>
  <si>
    <t>Denko Internacional</t>
  </si>
  <si>
    <t>PRECISION CABLE ASSEMBLIES MEXICO</t>
  </si>
  <si>
    <t>Deiman</t>
  </si>
  <si>
    <t>Ternium</t>
  </si>
  <si>
    <t>Nidec</t>
  </si>
  <si>
    <t>YAÑEZ LOGISTIC</t>
  </si>
  <si>
    <t>GRUPO CONSTRUCTOR ESPECIALIZADO</t>
  </si>
  <si>
    <t>Forsac mexico</t>
  </si>
  <si>
    <t>Innovaplast</t>
  </si>
  <si>
    <t>3 Quimica</t>
  </si>
  <si>
    <t>Bodegas Graneleras del Campo</t>
  </si>
  <si>
    <t>Familia 9 Soles</t>
  </si>
  <si>
    <t>Universidad de Arkansas Campus Querétaro</t>
  </si>
  <si>
    <t>Azelis</t>
  </si>
  <si>
    <t>Jose Luis Sanchez Morales</t>
  </si>
  <si>
    <t>Stephanie Aidyn García Pineda</t>
  </si>
  <si>
    <t>Revisar Dudas Propuesta CORE</t>
  </si>
  <si>
    <t>Servicios Urbanos y Suburbanos Xinantecatl</t>
  </si>
  <si>
    <t>Xebj comercializadora</t>
  </si>
  <si>
    <t>PELCON Inversiones</t>
  </si>
  <si>
    <t>Merck</t>
  </si>
  <si>
    <t>Granja Porcina los Girasolres</t>
  </si>
  <si>
    <t>Muebles Y Mudanzas Amado</t>
  </si>
  <si>
    <t>Grupo De Hongo Seta Endotzi</t>
  </si>
  <si>
    <t>LABORATORIOS VALDECASAS</t>
  </si>
  <si>
    <t>Invernaderos Mexicanos Del Pacífico</t>
  </si>
  <si>
    <t>AMERICAN SEAL</t>
  </si>
  <si>
    <t>Studio 3351</t>
  </si>
  <si>
    <t>Maxipet</t>
  </si>
  <si>
    <t>Grupo Comercial Rosmot</t>
  </si>
  <si>
    <t>Sanichem Latinoamérica</t>
  </si>
  <si>
    <t>ABM POLIURETANO</t>
  </si>
  <si>
    <t>Profarmer Sinaloa</t>
  </si>
  <si>
    <t>Servicio Comercial Garis</t>
  </si>
  <si>
    <t>CLINICA OFTALMOLOGICA DE OCCIDENTE</t>
  </si>
  <si>
    <t>fehrer automotive mexico</t>
  </si>
  <si>
    <t>Concentrados  Bovilac</t>
  </si>
  <si>
    <t>Transportes de Carga Madulsa</t>
  </si>
  <si>
    <t>Efigroup</t>
  </si>
  <si>
    <t>ELITE FARMS</t>
  </si>
  <si>
    <t>CIMA DEL TAJIN</t>
  </si>
  <si>
    <t>El Surtidor De Observatorio</t>
  </si>
  <si>
    <t>Empaques Mayan</t>
  </si>
  <si>
    <t>Mas Altura</t>
  </si>
  <si>
    <t>Alimentos Balanceados Lorgam</t>
  </si>
  <si>
    <t>GCT AGROPECUARIA Y GANADERA</t>
  </si>
  <si>
    <t>CENTRO DE ESPECIALIDADES MEDICAS DE LA MUJER</t>
  </si>
  <si>
    <t>Empacadora De Carnes San Francisco</t>
  </si>
  <si>
    <t>Abastecedora De Colchones Y Accesorios</t>
  </si>
  <si>
    <t>Xtrapak</t>
  </si>
  <si>
    <t>BIOGOLD</t>
  </si>
  <si>
    <t>Servicio y Mantenimiento Integral</t>
  </si>
  <si>
    <t>INGENIERIA OFRE</t>
  </si>
  <si>
    <t>M Arco &amp; M Arcos de México</t>
  </si>
  <si>
    <t>Ubictum</t>
  </si>
  <si>
    <t>Nadro</t>
  </si>
  <si>
    <t>ALFRIGO FRIGORIFICOS</t>
  </si>
  <si>
    <t>José Fernando Montes de Oca Padilla</t>
  </si>
  <si>
    <t>Especialidades Santa Maria</t>
  </si>
  <si>
    <t>POWERLUBE</t>
  </si>
  <si>
    <t>Siirto</t>
  </si>
  <si>
    <t>Packnovel</t>
  </si>
  <si>
    <t>José Antonio Montecinos Olivera</t>
  </si>
  <si>
    <t>Seguimiento Proyectos CAPEX 2026</t>
  </si>
  <si>
    <t>Nuevas Industrias Rodamex</t>
  </si>
  <si>
    <t>SOLUBLES Y CONCENTRADOS DEL NORTE</t>
  </si>
  <si>
    <t>Action Black</t>
  </si>
  <si>
    <t>Grupo Sinotek</t>
  </si>
  <si>
    <t>Grupo Promotor de Vivienda para Mexico</t>
  </si>
  <si>
    <t>YntegraPlast Industrial</t>
  </si>
  <si>
    <t>NBIO HEALTHCARE LOGISTICS</t>
  </si>
  <si>
    <t>Pendientes Linea CAPEX</t>
  </si>
  <si>
    <t>International Relocations de México</t>
  </si>
  <si>
    <t>Mini Grip de México</t>
  </si>
  <si>
    <t>Clinica Panamericana de Chihuahua</t>
  </si>
  <si>
    <t>AGROINDUSTRIA Y AVICOLA DEL MEZQUITAL</t>
  </si>
  <si>
    <t>FLS DIVISION SEDANES</t>
  </si>
  <si>
    <t>Karcher México</t>
  </si>
  <si>
    <t>Asesoria y Servicios Industriales ISI Nuevo Leon</t>
  </si>
  <si>
    <t>Financiamiento American Industries</t>
  </si>
  <si>
    <t>Integración de Negocios TAE</t>
  </si>
  <si>
    <t>INDUSTRIA REAL</t>
  </si>
  <si>
    <t>Meditiva Medical</t>
  </si>
  <si>
    <t>De Todo En Alambre</t>
  </si>
  <si>
    <t>Reunión presentación Kaizen</t>
  </si>
  <si>
    <t>Kaizen Institute</t>
  </si>
  <si>
    <t>Controladora De Autotransporte y Servicios Comerciales</t>
  </si>
  <si>
    <t>Maxion Wheels de México</t>
  </si>
  <si>
    <t>Comercializadora de Pollos y Carnes Yesaki</t>
  </si>
  <si>
    <t>CAJAS Y CORRUGADOS PARA EMPAQUE</t>
  </si>
  <si>
    <t>Grupo Espinosa</t>
  </si>
  <si>
    <t>Productos Eiffel</t>
  </si>
  <si>
    <t>Hamak Hotels</t>
  </si>
  <si>
    <t>Transportes Dedicados Arboleda</t>
  </si>
  <si>
    <t>Revision de proyectos</t>
  </si>
  <si>
    <t>Tdr Transportes</t>
  </si>
  <si>
    <t>Servicios Asturianos de Turismo</t>
  </si>
  <si>
    <t>Güntner de México</t>
  </si>
  <si>
    <t>Grupo Costeño</t>
  </si>
  <si>
    <t>Kickoff Proveedor Eurostar</t>
  </si>
  <si>
    <t>Bloquera Rochin</t>
  </si>
  <si>
    <t>GRANJA LA CONSENTIDA</t>
  </si>
  <si>
    <t>Lt&amp;I Group</t>
  </si>
  <si>
    <t>ASL PRODUCE</t>
  </si>
  <si>
    <t>SEGUIMIENTO_ANEXO CARTERA</t>
  </si>
  <si>
    <t>Peliculas Utiles</t>
  </si>
  <si>
    <t>Marmoles Puente</t>
  </si>
  <si>
    <t>RegioPak</t>
  </si>
  <si>
    <t>Enfoque Quimico</t>
  </si>
  <si>
    <t>Diken International</t>
  </si>
  <si>
    <t>JG Troquelados</t>
  </si>
  <si>
    <t>DIEGO CORTES ALVAREZ</t>
  </si>
  <si>
    <t>Grupo Bospatex</t>
  </si>
  <si>
    <t>Portenntum de México</t>
  </si>
  <si>
    <t>TIENDAS NATURISTA DEPORVIDA</t>
  </si>
  <si>
    <t>TRALUBSA</t>
  </si>
  <si>
    <t>Steel Cab</t>
  </si>
  <si>
    <t>Grupo Typ De Jalisco</t>
  </si>
  <si>
    <t>Bromo Productos Químicos</t>
  </si>
  <si>
    <t>Abastecedora De Carnes Los Corrales</t>
  </si>
  <si>
    <t>Industrias Ochoa Mexicana</t>
  </si>
  <si>
    <t>AGRICOLA COMERCIAL DE LA TRINIDAD</t>
  </si>
  <si>
    <t>KIRU PHARMA</t>
  </si>
  <si>
    <t>GRUPO MONTESSORI DE QUERETARO</t>
  </si>
  <si>
    <t>Reunión revisión de necesidades</t>
  </si>
  <si>
    <t>Desayuno con MP</t>
  </si>
  <si>
    <t>Distribuidora De Generadores</t>
  </si>
  <si>
    <t>Carlos Epifanio Segovia Mijares</t>
  </si>
  <si>
    <t>Midea México</t>
  </si>
  <si>
    <t>ACEROS Y HERRAMIENTAS MONTERREY</t>
  </si>
  <si>
    <t>RECILOGIC INDUSTRIAL COMPANY</t>
  </si>
  <si>
    <t>Industrias Lec</t>
  </si>
  <si>
    <t>Grupo Cdex</t>
  </si>
  <si>
    <t>Neta Systems</t>
  </si>
  <si>
    <t>Prosalud Mutuus</t>
  </si>
  <si>
    <t>Personales Consultoria y Servicios One Para Media &amp; Broadcast</t>
  </si>
  <si>
    <t>AKH DESARROLLADORA MEXICO</t>
  </si>
  <si>
    <t>Aurum Ortus México Mining Development</t>
  </si>
  <si>
    <t>EPAR</t>
  </si>
  <si>
    <t>Grupo Valfer</t>
  </si>
  <si>
    <t>Tejidos y muebles artesanales</t>
  </si>
  <si>
    <t>Limpieza Inteligente</t>
  </si>
  <si>
    <t>IBL</t>
  </si>
  <si>
    <t>Quimagro Industrial</t>
  </si>
  <si>
    <t>Corrugados Heavy Box</t>
  </si>
  <si>
    <t>Grupo Rimova</t>
  </si>
  <si>
    <t>Agrícola Tres Torres</t>
  </si>
  <si>
    <t>REGIO POLIDUCTOS</t>
  </si>
  <si>
    <t>AGRO EXPORTADORA SAN DIEGO</t>
  </si>
  <si>
    <t>Ferreterias Construrey</t>
  </si>
  <si>
    <t>RANGO</t>
  </si>
  <si>
    <t>Minero Diesel de México</t>
  </si>
  <si>
    <t>Empaque Don Jorge</t>
  </si>
  <si>
    <t>Progranos</t>
  </si>
  <si>
    <t>AVICOLA ABE</t>
  </si>
  <si>
    <t>Minera Siderurgica de Coahuila</t>
  </si>
  <si>
    <t>NIDEC GLOBAL APPLIANCE MEXICO</t>
  </si>
  <si>
    <t>Maquinaria Y Tren De Potencia</t>
  </si>
  <si>
    <t>MPC Manufacturas Plásticas de Cuernavaca</t>
  </si>
  <si>
    <t>BioPappel</t>
  </si>
  <si>
    <t>Servicios de Capital Humano Axo</t>
  </si>
  <si>
    <t>Ocean Technology Offshores Services</t>
  </si>
  <si>
    <t>Cosei</t>
  </si>
  <si>
    <t>Hellmann Contract Logistics</t>
  </si>
  <si>
    <t>REVISIÓN_NUEVA_PROPUESTA</t>
  </si>
  <si>
    <t>Proveedora General Popo</t>
  </si>
  <si>
    <t>TAFE MOTORS MEXICO</t>
  </si>
  <si>
    <t>AGRICOLA EL CAMPANARIO</t>
  </si>
  <si>
    <t>JALISCAVO</t>
  </si>
  <si>
    <t>ASPERSORAS ARSARO</t>
  </si>
  <si>
    <t>Durst Image Technology Latin America</t>
  </si>
  <si>
    <t>SEMILLAS Y CEREALES ABRAHAM SANTANA</t>
  </si>
  <si>
    <t>FERTILIZANTES CHRIJAZA</t>
  </si>
  <si>
    <t>Maquilas Forrajes y Nutrimentos</t>
  </si>
  <si>
    <t>Distribuidora De Ropa Viva</t>
  </si>
  <si>
    <t>Mexstamp</t>
  </si>
  <si>
    <t>MEXFRUT</t>
  </si>
  <si>
    <t>Mujer Plenna Salud</t>
  </si>
  <si>
    <t>Llamada Riesgo - Resolver Dudas Proyecto Qro</t>
  </si>
  <si>
    <t>SOLUCIONES COMSYS</t>
  </si>
  <si>
    <t>EH MAQUINARIA</t>
  </si>
  <si>
    <t>Alimientos SR Natural</t>
  </si>
  <si>
    <t>Ecochillers Corporation</t>
  </si>
  <si>
    <t>Poliuretanos Poma</t>
  </si>
  <si>
    <t>LUXURY FRUIT</t>
  </si>
  <si>
    <t>Forestal MDF el largo</t>
  </si>
  <si>
    <t>Sistemas Industriales Acelum</t>
  </si>
  <si>
    <t>Butler de México</t>
  </si>
  <si>
    <t>Merino Telis Café</t>
  </si>
  <si>
    <t>RM TRACTOVOLTEOS REMOLQUES</t>
  </si>
  <si>
    <t>Farmiral</t>
  </si>
  <si>
    <t>Bostik Mexicana</t>
  </si>
  <si>
    <t>DSV Contract Logistics</t>
  </si>
  <si>
    <t>Planeación de Logística y movilidad</t>
  </si>
  <si>
    <t>Akuasul</t>
  </si>
  <si>
    <t>Totalmente Reflejante</t>
  </si>
  <si>
    <t>Multivac México</t>
  </si>
  <si>
    <t>BEE BLUE GROUP MEXICO</t>
  </si>
  <si>
    <t>Presentacion Fleet</t>
  </si>
  <si>
    <t>Soriana</t>
  </si>
  <si>
    <t>Autoflex Tech México</t>
  </si>
  <si>
    <t>Vigomex</t>
  </si>
  <si>
    <t>Asociación de  Agricultores del Río Presido</t>
  </si>
  <si>
    <t>ATRIALA</t>
  </si>
  <si>
    <t>HAICO SOLUCIONES EN CONCRETO</t>
  </si>
  <si>
    <t>Angular Solutions</t>
  </si>
  <si>
    <t>Alimentos y Sazonadores Regios</t>
  </si>
  <si>
    <t>Empacadores y Exportadores Faroma Lima</t>
  </si>
  <si>
    <t>Raúl Armando Jiménez Suaste</t>
  </si>
  <si>
    <t>FRAMA PLASTICS</t>
  </si>
  <si>
    <t>BERGER JOYEROS</t>
  </si>
  <si>
    <t>Zeolita Nacional Mexicana</t>
  </si>
  <si>
    <t>Inobella</t>
  </si>
  <si>
    <t>Fibra Inn</t>
  </si>
  <si>
    <t>Resolver Temas Placas Federales</t>
  </si>
  <si>
    <t>Grupo Conocido</t>
  </si>
  <si>
    <t>Moldes Mendoza</t>
  </si>
  <si>
    <t>PERECEDEROS SUPA</t>
  </si>
  <si>
    <t>Tecno Asfaltos y Terracerias</t>
  </si>
  <si>
    <t>Habilitaciones y Servicios Industriales</t>
  </si>
  <si>
    <t>Aviproductos Blanqhof</t>
  </si>
  <si>
    <t>Aramark México</t>
  </si>
  <si>
    <t>Proyectos Constructivos Kiribati Del Noreste</t>
  </si>
  <si>
    <t>Visita Planta / Riesgo</t>
  </si>
  <si>
    <t>NORCONTROL INSPECCION</t>
  </si>
  <si>
    <t>Applus IDIADA</t>
  </si>
  <si>
    <t>INDUSTRIAS SCR</t>
  </si>
  <si>
    <t>Android Servicios de México</t>
  </si>
  <si>
    <t>METALPOL</t>
  </si>
  <si>
    <t>Edgar Rodriguez</t>
  </si>
  <si>
    <t>Administradora Mexiquense Del Aeropuerto Internacional De Toluca</t>
  </si>
  <si>
    <t>Jar Electrónica Aplicada</t>
  </si>
  <si>
    <t>Construcciones Metal Mecánicas Mexicanas</t>
  </si>
  <si>
    <t>Greenverland Agrotech</t>
  </si>
  <si>
    <t>Patricia Perez</t>
  </si>
  <si>
    <t>Call 9988479187</t>
  </si>
  <si>
    <t>Instalaciones Arbibe</t>
  </si>
  <si>
    <t>MYSOFT GLOBAL</t>
  </si>
  <si>
    <t>Convertidora Industrial</t>
  </si>
  <si>
    <t>NATURAL PET NUTRITION</t>
  </si>
  <si>
    <t>CAFE RITMO</t>
  </si>
  <si>
    <t>COMNET</t>
  </si>
  <si>
    <t>GRUPO BRX</t>
  </si>
  <si>
    <t>Gc Pisos Láser</t>
  </si>
  <si>
    <t>Fenixchem Mexico</t>
  </si>
  <si>
    <t>Madame Chantal</t>
  </si>
  <si>
    <t>Maquinaria Magnum</t>
  </si>
  <si>
    <t>LABORATORIOS RAMOS</t>
  </si>
  <si>
    <t>Telecomunicaciones y Servicios del Norte</t>
  </si>
  <si>
    <t>R&amp;R SERMA IND</t>
  </si>
  <si>
    <t>Industrias Vázquez</t>
  </si>
  <si>
    <t>CORPORACIÓN SANTA FE</t>
  </si>
  <si>
    <t>Manufacturing Equipment</t>
  </si>
  <si>
    <t>Servi Industrias Del Noroeste</t>
  </si>
  <si>
    <t>Alexar Internacional</t>
  </si>
  <si>
    <t>Metal Master Industrial</t>
  </si>
  <si>
    <t>PROVEEDORA DE MADERAS Y MATERIALES LOS PINOS</t>
  </si>
  <si>
    <t>Lottus Education</t>
  </si>
  <si>
    <t>Servicios Avanzados de Mantenimiento Industrial del Noreste</t>
  </si>
  <si>
    <t>GREEN POWER SOLUTIONS</t>
  </si>
  <si>
    <t>Miguel Agustín Díaz Moreno</t>
  </si>
  <si>
    <t>J YRSA</t>
  </si>
  <si>
    <t>Freixenet de México</t>
  </si>
  <si>
    <t>MICAR TRUCKINGS</t>
  </si>
  <si>
    <t>Vama Importaciones</t>
  </si>
  <si>
    <t>PROCESOS Y ACABADOS EN ARTES GRAFICAS.</t>
  </si>
  <si>
    <t>NUFOZA</t>
  </si>
  <si>
    <t>Grupo Forza del Mayab</t>
  </si>
  <si>
    <t>REPRESENTACIONES DINÁMICAS DE OCCIDENTE</t>
  </si>
  <si>
    <t>Superficie Producciones</t>
  </si>
  <si>
    <t>SEASA NUEVO LEON</t>
  </si>
  <si>
    <t>Preconcreto De Veracruz</t>
  </si>
  <si>
    <t>Wafios</t>
  </si>
  <si>
    <t>José Miguel García García</t>
  </si>
  <si>
    <t>Laboratorios Def</t>
  </si>
  <si>
    <t>Psicofarma</t>
  </si>
  <si>
    <t>Alpharma México</t>
  </si>
  <si>
    <t>Productos Carey</t>
  </si>
  <si>
    <t>Real Alloy México</t>
  </si>
  <si>
    <t>Resolver Dudas Deduccion Fiscal</t>
  </si>
  <si>
    <t>Manuel Martinez Castillero</t>
  </si>
  <si>
    <t>Solarig México</t>
  </si>
  <si>
    <t>GRUPO PGL MEXICO</t>
  </si>
  <si>
    <t>Equipos y Servicios Industriales del Cobre</t>
  </si>
  <si>
    <t>UNICORP ALIMENTOS</t>
  </si>
  <si>
    <t>Hexágonos Mexicanos</t>
  </si>
  <si>
    <t>Seguimiento tramite linea de arrendamiento</t>
  </si>
  <si>
    <t>Tlw Freight México</t>
  </si>
  <si>
    <t>ALIADOS DE CONCRETO</t>
  </si>
  <si>
    <t>Comercializadora de Acero Mty</t>
  </si>
  <si>
    <t>FAMO ALIMENTOS</t>
  </si>
  <si>
    <t>PSI Plastic</t>
  </si>
  <si>
    <t>Big Country</t>
  </si>
  <si>
    <t>Hortalizas Frescas Vergel</t>
  </si>
  <si>
    <t>Triplay y Laminados Tj</t>
  </si>
  <si>
    <t>Manufactura y Logística de Grasas y Lubricantes</t>
  </si>
  <si>
    <t>Productos La Colina</t>
  </si>
  <si>
    <t>Prodapac</t>
  </si>
  <si>
    <t>HERRAJES Y MATERIALES DE LOS CABOS</t>
  </si>
  <si>
    <t>Redi Color</t>
  </si>
  <si>
    <t>American Bakery</t>
  </si>
  <si>
    <t>Exportadora Agrícola El Rincón de Purificación</t>
  </si>
  <si>
    <t>Bodega de Semillas del Campo 305</t>
  </si>
  <si>
    <t>Maprocentro</t>
  </si>
  <si>
    <t>Maderas Finas Perroni</t>
  </si>
  <si>
    <t>PARKING TIP</t>
  </si>
  <si>
    <t>CONCRETOS PREMEZCLADOS MEXICANOS</t>
  </si>
  <si>
    <t>Veladoras Misticas</t>
  </si>
  <si>
    <t>Trelsa</t>
  </si>
  <si>
    <t>Azur Oil Energy</t>
  </si>
  <si>
    <t>Riegos Cuauhtemoc</t>
  </si>
  <si>
    <t>WR CONTROLS MEXICO</t>
  </si>
  <si>
    <t>Odoo Technologies México</t>
  </si>
  <si>
    <t>Envases Everest de Plastico</t>
  </si>
  <si>
    <t>MONTACARGAS TAPATIOS</t>
  </si>
  <si>
    <t>Expertos en Restaurantes</t>
  </si>
  <si>
    <t>Comercial De Fierro y Acero</t>
  </si>
  <si>
    <t>Hornos Y Sistemas Industriales</t>
  </si>
  <si>
    <t>Zoomlion</t>
  </si>
  <si>
    <t>Novonafar</t>
  </si>
  <si>
    <t>Hospital San Angel Inn</t>
  </si>
  <si>
    <t>PROMOTORA MANTERINACO</t>
  </si>
  <si>
    <t>MARVIC SEGURIDAD INDUSTRIAL</t>
  </si>
  <si>
    <t>SET Industry</t>
  </si>
  <si>
    <t>Aaron Dyck</t>
  </si>
  <si>
    <t>CAMIONES DYCK</t>
  </si>
  <si>
    <t>Ojeda Izajes Gruas y Transportes</t>
  </si>
  <si>
    <t>Comercializadora Paif</t>
  </si>
  <si>
    <t>Reunión leasing y oportunidades</t>
  </si>
  <si>
    <t>Rancho San Luis Pgmx</t>
  </si>
  <si>
    <t>NITOMEX</t>
  </si>
  <si>
    <t>Gdl Smart Developement</t>
  </si>
  <si>
    <t>Proyecto Montacargas</t>
  </si>
  <si>
    <t>CREAFLEX</t>
  </si>
  <si>
    <t>AM OLEXO FOODS MEXICO</t>
  </si>
  <si>
    <t>Grupo Farmacos Especializados (favorecida Gobierno 4T)</t>
  </si>
  <si>
    <t>Pharmatycsa</t>
  </si>
  <si>
    <t>Impromed</t>
  </si>
  <si>
    <t>Nathalia Giraldo</t>
  </si>
  <si>
    <t>Isa Corporativo</t>
  </si>
  <si>
    <t>PLASTIPROTECTOR</t>
  </si>
  <si>
    <t>G5 STEEL</t>
  </si>
  <si>
    <t>Michel de la Torre Concretos</t>
  </si>
  <si>
    <t>CONSTRUCTORA GRADO 50</t>
  </si>
  <si>
    <t>Grupo Constructor Soltor</t>
  </si>
  <si>
    <t>Agricola Ganadera Los Lujan</t>
  </si>
  <si>
    <t>CITA CON FACTORAJE</t>
  </si>
  <si>
    <t>INDUSTRIAL B&amp;S DE MEXICO</t>
  </si>
  <si>
    <t>Montgomery Gulf Services,</t>
  </si>
  <si>
    <t>Extral</t>
  </si>
  <si>
    <t>Revisar Pendientes Linea Factoraje / CAPEX</t>
  </si>
  <si>
    <t>Construcciones, Barrenaciones y Perforaciones</t>
  </si>
  <si>
    <t>LEMEC Productos de Limpieza</t>
  </si>
  <si>
    <t>GRUPO PRODEC</t>
  </si>
  <si>
    <t>Isidro Morales</t>
  </si>
  <si>
    <t>Myra Renewables Mexico</t>
  </si>
  <si>
    <t>Desarrollo De Engordas Estabuladas</t>
  </si>
  <si>
    <t>CONSTRUCCIONES, ARRENDAMIENTO Y DESARROLLO DE PROYECTOS CAMHER</t>
  </si>
  <si>
    <t>Tecno-Góndola</t>
  </si>
  <si>
    <t>Volkswagen de México</t>
  </si>
  <si>
    <t>Pasteurizadora Maulec</t>
  </si>
  <si>
    <t>Meta 4</t>
  </si>
  <si>
    <t>ROBERTET DE MEXICO</t>
  </si>
  <si>
    <t>Innophos Fosfatados de México</t>
  </si>
  <si>
    <t>Grupo Filoa</t>
  </si>
  <si>
    <t>Merik</t>
  </si>
  <si>
    <t>Gestamp Puebla</t>
  </si>
  <si>
    <t>Envases,Empaques y Embalajes Internacionales</t>
  </si>
  <si>
    <t>CAMANCHACA MEXICO</t>
  </si>
  <si>
    <t>Grupo Hycsa</t>
  </si>
  <si>
    <t>Desayuno Hycsa</t>
  </si>
  <si>
    <t>Lost</t>
  </si>
  <si>
    <t>Puebla</t>
  </si>
  <si>
    <t>Transportation</t>
  </si>
  <si>
    <t>Mexico 2</t>
  </si>
  <si>
    <t>Aeroenlaces Nacionales</t>
  </si>
  <si>
    <t>Jomar Industrias</t>
  </si>
  <si>
    <t>Mex-Factor</t>
  </si>
  <si>
    <t>LOGMINE</t>
  </si>
  <si>
    <t>Federico Kimura Ovando</t>
  </si>
  <si>
    <t>Moeller Precision Tool de Mexico</t>
  </si>
  <si>
    <t>Comercializadora TMY</t>
  </si>
  <si>
    <t>Flex-Coah</t>
  </si>
  <si>
    <t>Agrokumara</t>
  </si>
  <si>
    <t>Clavos Jalisco</t>
  </si>
  <si>
    <t>Dexo Transportaciones</t>
  </si>
  <si>
    <t>Veracruz</t>
  </si>
  <si>
    <t>Just Labels de México</t>
  </si>
  <si>
    <t>Klein Tools de México</t>
  </si>
  <si>
    <t>Llamada Riesgo / Seguimiento desempeño</t>
  </si>
  <si>
    <t>Beat Meetings</t>
  </si>
  <si>
    <t>Ratificacion Virtual Contrato Maestro y Anexo 1</t>
  </si>
  <si>
    <t>Soluciones Integrales en codificación marcaje y etiquetado</t>
  </si>
  <si>
    <t>FLETES 3H</t>
  </si>
  <si>
    <t>Empaques Mpk</t>
  </si>
  <si>
    <t>Grupo Denker</t>
  </si>
  <si>
    <t>Procoydiplastic</t>
  </si>
  <si>
    <t>MITZY NALLELY BARRIOS CUEVAS</t>
  </si>
  <si>
    <t>Industrias Vermont</t>
  </si>
  <si>
    <t>Plásticos del Golfo Sur</t>
  </si>
  <si>
    <t>Geek Vibes</t>
  </si>
  <si>
    <t>Representaciones Cyecsa</t>
  </si>
  <si>
    <t>A3E Ingenieros Especialistas En Energía Eléctrica</t>
  </si>
  <si>
    <t>Schoeller Allibert International México</t>
  </si>
  <si>
    <t>Lanxess</t>
  </si>
  <si>
    <t>Freedom BPO and Contact Center</t>
  </si>
  <si>
    <t>MAQUISER INDUSTRIAL</t>
  </si>
  <si>
    <t>presentacion factoraje</t>
  </si>
  <si>
    <t>Markdom Componentes de México</t>
  </si>
  <si>
    <t>QUESOS POLYMAX</t>
  </si>
  <si>
    <t>Energon Industries EJS</t>
  </si>
  <si>
    <t>ACEROS Y HIERROS MAQUINADOS CNC</t>
  </si>
  <si>
    <t>Grupo Megatubos</t>
  </si>
  <si>
    <t>Desarrollos Hidroelectricos Renovables</t>
  </si>
  <si>
    <t>Transportes Grupo Carfi</t>
  </si>
  <si>
    <t>Log Min</t>
  </si>
  <si>
    <t>POLISOLUCIONES INDUSTRIALES</t>
  </si>
  <si>
    <t>CLUB ALEMÁN DE MÉXICO</t>
  </si>
  <si>
    <t>PROTEINAS MP DE MEXICO</t>
  </si>
  <si>
    <t>Tubos De Acero de México</t>
  </si>
  <si>
    <t>Healthcare</t>
  </si>
  <si>
    <t>Yes</t>
  </si>
  <si>
    <t>Qpn Monterrey</t>
  </si>
  <si>
    <t>Troquelados y Laminados De Monterrey</t>
  </si>
  <si>
    <t>Cedinor</t>
  </si>
  <si>
    <t>Grupo Agrícola SAMHER</t>
  </si>
  <si>
    <t>Hielo Antartic</t>
  </si>
  <si>
    <t>Ignacio manuel godinez herrera</t>
  </si>
  <si>
    <t>Dulces Anahuac</t>
  </si>
  <si>
    <t>Caramelos Don Picoso</t>
  </si>
  <si>
    <t>Internacional De Aceros Termicos</t>
  </si>
  <si>
    <t>OPERADORA RIJO TL</t>
  </si>
  <si>
    <t>Isaosa</t>
  </si>
  <si>
    <t>Elit Grupo Comercial</t>
  </si>
  <si>
    <t>Floating</t>
  </si>
  <si>
    <t>CAMIONES TRS</t>
  </si>
  <si>
    <t>Nouryon Chemicals</t>
  </si>
  <si>
    <t>SERVICIOS CORPORATIVOS SUMMA</t>
  </si>
  <si>
    <t>Empacadora Frape</t>
  </si>
  <si>
    <t>RECICLAT DEL NORTE</t>
  </si>
  <si>
    <t>Cargo Lift</t>
  </si>
  <si>
    <t>Servnet Mexico</t>
  </si>
  <si>
    <t>Casler Alimentos</t>
  </si>
  <si>
    <t>STARCORR DE MEXICO</t>
  </si>
  <si>
    <t>Reunión presencial</t>
  </si>
  <si>
    <t>Grupo Gayosso</t>
  </si>
  <si>
    <t>WIPOTEC MEXICO</t>
  </si>
  <si>
    <t>AGRICENTER</t>
  </si>
  <si>
    <t>Obras y agregados Jaquez</t>
  </si>
  <si>
    <t>Hugo Boss De México</t>
  </si>
  <si>
    <t>Dmp Monterrey</t>
  </si>
  <si>
    <t>Techniplas</t>
  </si>
  <si>
    <t>Red Inter comunicaciones</t>
  </si>
  <si>
    <t>Vadir Peña</t>
  </si>
  <si>
    <t>Autotransportes Especializados Gama</t>
  </si>
  <si>
    <t>Garoval Comercializadora</t>
  </si>
  <si>
    <t>Aylin Rangel</t>
  </si>
  <si>
    <t>Food Processing Equipment</t>
  </si>
  <si>
    <t>AE Accesorios Extremos</t>
  </si>
  <si>
    <t>International Commodities de México</t>
  </si>
  <si>
    <t>Instituto Tepeyac</t>
  </si>
  <si>
    <t>Ricardo Ramirez</t>
  </si>
  <si>
    <t>Natura</t>
  </si>
  <si>
    <t>Alzata Ur</t>
  </si>
  <si>
    <t>Industrias De Culiacán</t>
  </si>
  <si>
    <t>Productos Lacteos La Quinta</t>
  </si>
  <si>
    <t>Transportes Narcea</t>
  </si>
  <si>
    <t>Transportes Elola</t>
  </si>
  <si>
    <t>Active</t>
  </si>
  <si>
    <t>Dormant</t>
  </si>
  <si>
    <t>Chihuahua</t>
  </si>
  <si>
    <t>Sonora</t>
  </si>
  <si>
    <t>Coahuila</t>
  </si>
  <si>
    <t>Jalisco</t>
  </si>
  <si>
    <t>Baja California</t>
  </si>
  <si>
    <t>Hidalgo</t>
  </si>
  <si>
    <t>Querétaro</t>
  </si>
  <si>
    <t>Small Business</t>
  </si>
  <si>
    <t>César Flores</t>
  </si>
  <si>
    <t>No competitor</t>
  </si>
  <si>
    <t>Construction Equipment</t>
  </si>
  <si>
    <t>Nayeli Soto</t>
  </si>
  <si>
    <t>Cars + Insurance</t>
  </si>
  <si>
    <t>Factoring</t>
  </si>
  <si>
    <t>New Customer</t>
  </si>
  <si>
    <t>Cash Substitution</t>
  </si>
  <si>
    <t>Recourse</t>
  </si>
  <si>
    <t>Customer Insurance with own provider</t>
  </si>
  <si>
    <t>no competition (cash)</t>
  </si>
  <si>
    <t>Sale &amp; Leaseback</t>
  </si>
  <si>
    <t>New Product</t>
  </si>
  <si>
    <t>Miranda Cabral</t>
  </si>
  <si>
    <t>Guadalajara 1</t>
  </si>
  <si>
    <t>Karen Torres</t>
  </si>
  <si>
    <t>Monterrey 1</t>
  </si>
  <si>
    <t>Quasi Lease</t>
  </si>
  <si>
    <t>Upper middle market</t>
  </si>
  <si>
    <t>CUBBO</t>
  </si>
  <si>
    <t>Kaizen Freight</t>
  </si>
  <si>
    <t>Aeromarítima</t>
  </si>
  <si>
    <t>JCDecaux Out Of Home México</t>
  </si>
  <si>
    <t>Operadora Omx</t>
  </si>
  <si>
    <t>Green Mind</t>
  </si>
  <si>
    <t>Recsolog</t>
  </si>
  <si>
    <t>Jaguar Ingenieros Constructores</t>
  </si>
  <si>
    <t>Hospital Dr. Fausto Dávila Solis</t>
  </si>
  <si>
    <t>Alimentos Susalia</t>
  </si>
  <si>
    <t>Procefil</t>
  </si>
  <si>
    <t>Construcciones Moyuc</t>
  </si>
  <si>
    <t>B&amp;CT Corporation</t>
  </si>
  <si>
    <t>Exportadora de Frutas</t>
  </si>
  <si>
    <t>Miel Mex</t>
  </si>
  <si>
    <t>Agropecuaria Don Chema</t>
  </si>
  <si>
    <t>Real Estate</t>
  </si>
  <si>
    <t>Autobuses Trail Travel</t>
  </si>
  <si>
    <t>Aluminios y Componentes Bernal</t>
  </si>
  <si>
    <t>Tecon Concretos</t>
  </si>
  <si>
    <t>Comercializadora e Industrializadora Agropecuaria</t>
  </si>
  <si>
    <t>Forza Steel</t>
  </si>
  <si>
    <t>Shurtape México</t>
  </si>
  <si>
    <t>Corruempaques</t>
  </si>
  <si>
    <t>CCR Solutions</t>
  </si>
  <si>
    <t>visita planta</t>
  </si>
  <si>
    <t>Transportes GMX</t>
  </si>
  <si>
    <t>Soluciones Hidráulicas Industriales y Mineras</t>
  </si>
  <si>
    <t>PRODUCTOS QUIMICOS LA MADRID</t>
  </si>
  <si>
    <t>Nutrical</t>
  </si>
  <si>
    <t>Lamina Desplegada</t>
  </si>
  <si>
    <t>GC Printing Solutions</t>
  </si>
  <si>
    <t>Espumas Omludam</t>
  </si>
  <si>
    <t>Víctor Hugo Cortés Alvarez</t>
  </si>
  <si>
    <t>Aceros inoxidables de toluca</t>
  </si>
  <si>
    <t>Grupo Arcor</t>
  </si>
  <si>
    <t>grupo equipamientos productivos</t>
  </si>
  <si>
    <t>Maquinas Diesel</t>
  </si>
  <si>
    <t>Condulimex</t>
  </si>
  <si>
    <t>Cemex</t>
  </si>
  <si>
    <t>Sociedad Mexicana de Parrilleros SMP</t>
  </si>
  <si>
    <t>AUTOTRANSPORTES GAMI</t>
  </si>
  <si>
    <t>Grupo Desarrollo Infraestructura</t>
  </si>
  <si>
    <t>LARVACORE</t>
  </si>
  <si>
    <t>Impulsora Industrial EMCO</t>
  </si>
  <si>
    <t>TAMPOMEX</t>
  </si>
  <si>
    <t>Medios Masivos Mexicanos</t>
  </si>
  <si>
    <t>Grupo Atah</t>
  </si>
  <si>
    <t>MAEDA Logistics</t>
  </si>
  <si>
    <t>Naturasol</t>
  </si>
  <si>
    <t>Sella?Empaq</t>
  </si>
  <si>
    <t>Argonaut</t>
  </si>
  <si>
    <t>R &amp; A INDUSTRIAS</t>
  </si>
  <si>
    <t>SOLUMARK</t>
  </si>
  <si>
    <t>AMD Maquinaria</t>
  </si>
  <si>
    <t>JOSE JUAN PEREZ RUIZ</t>
  </si>
  <si>
    <t>PAPELVER</t>
  </si>
  <si>
    <t>Representaciones Industria Motrices</t>
  </si>
  <si>
    <t>Machined Technology CNC</t>
  </si>
  <si>
    <t>Paskal Technologies Mexico</t>
  </si>
  <si>
    <t>BRIGGS EQUIPMENT</t>
  </si>
  <si>
    <t>Briggs</t>
  </si>
  <si>
    <t>Fitness Para todos</t>
  </si>
  <si>
    <t>Agroindustrias Deandar de Delicias</t>
  </si>
  <si>
    <t>Sulcona</t>
  </si>
  <si>
    <t>Polyrob Plastics</t>
  </si>
  <si>
    <t>Hoteles City Express</t>
  </si>
  <si>
    <t>Green Biomass de México</t>
  </si>
  <si>
    <t>Rescorp Concepts</t>
  </si>
  <si>
    <t>Michoacán</t>
  </si>
  <si>
    <t>Durango</t>
  </si>
  <si>
    <t>ACE TELECOM´F</t>
  </si>
  <si>
    <t>BC logistics</t>
  </si>
  <si>
    <t>Reunión de seguimiento</t>
  </si>
  <si>
    <t>JRC Mining and Construction</t>
  </si>
  <si>
    <t>MRS Proveedora Industrial</t>
  </si>
  <si>
    <t>Video C con EPIROC</t>
  </si>
  <si>
    <t>DRY CONCEPT MEXICO</t>
  </si>
  <si>
    <t>Maclin</t>
  </si>
  <si>
    <t>QUALITY BEDS</t>
  </si>
  <si>
    <t>Peter Friessen Penner</t>
  </si>
  <si>
    <t>Agroindustrial Biotech México</t>
  </si>
  <si>
    <t>Corporativo Sase</t>
  </si>
  <si>
    <t>Coloso Capital</t>
  </si>
  <si>
    <t>DIEBOLD NIXDORF DE MÉXICO</t>
  </si>
  <si>
    <t>Vulcan Silicone</t>
  </si>
  <si>
    <t>PYA Automotive</t>
  </si>
  <si>
    <t>AGRÍCOLA INNOVACION</t>
  </si>
  <si>
    <t>Gaso Comunicaciones</t>
  </si>
  <si>
    <t>Industrias Metálicas de Monclova</t>
  </si>
  <si>
    <t>Newchem &amp; Commerce</t>
  </si>
  <si>
    <t>Seguimiento Pendientes / CAPEX / Factoraje</t>
  </si>
  <si>
    <t>Centro Médico Excel</t>
  </si>
  <si>
    <t>Frudest</t>
  </si>
  <si>
    <t>CENTRO MEDICO PREMIERE</t>
  </si>
  <si>
    <t>COMERCIALIZADORA LUSAN</t>
  </si>
  <si>
    <t>Perfumes Sodexim</t>
  </si>
  <si>
    <t>Seguimiento CAPEX / Factoraje</t>
  </si>
  <si>
    <t>Profesionales en Municipales</t>
  </si>
  <si>
    <t>Plastic Energy Company</t>
  </si>
  <si>
    <t>Fastec de México</t>
  </si>
  <si>
    <t>CITRUS JMK</t>
  </si>
  <si>
    <t>Corpo PT Marketing de México</t>
  </si>
  <si>
    <t>Comercial Roshfrans</t>
  </si>
  <si>
    <t>Alimentos Tlaxcala</t>
  </si>
  <si>
    <t>DELME</t>
  </si>
  <si>
    <t>DESARROLLADORA DE PROYECTOS OSFEKA</t>
  </si>
  <si>
    <t>Centrus Packaging</t>
  </si>
  <si>
    <t>Reunión presencial en oficinas Santillana</t>
  </si>
  <si>
    <t>EDITORIAL SANTILLANA</t>
  </si>
  <si>
    <t>Kampachi</t>
  </si>
  <si>
    <t>Maquinas Fer</t>
  </si>
  <si>
    <t>Hospital comunitario el Buen Samaritano</t>
  </si>
  <si>
    <t>Impresores De Occidente</t>
  </si>
  <si>
    <t>Nutraspop</t>
  </si>
  <si>
    <t>Quimiver</t>
  </si>
  <si>
    <t>Operadora de Viajes y Transportes Turisticos Poblanos</t>
  </si>
  <si>
    <t>Plasti Envases De Baja California</t>
  </si>
  <si>
    <t>CORMERCIALIZADORA BALCHE</t>
  </si>
  <si>
    <t>Carlos Nava Ramírez</t>
  </si>
  <si>
    <t>Itochu México</t>
  </si>
  <si>
    <t>Mexicana Logistics</t>
  </si>
  <si>
    <t>Syvasa Servicios y Venta de Acero</t>
  </si>
  <si>
    <t>Seguimiento MAC / Nuevas Disposiciones</t>
  </si>
  <si>
    <t>SERVICIOS ADMINISTRATIVOS E INFORMATICOS JAD</t>
  </si>
  <si>
    <t>DISTRIBUCIONES INDUSTRIALES CUERDA</t>
  </si>
  <si>
    <t>Servicios y Materiales Mineros</t>
  </si>
  <si>
    <t>Video C con Abigail C</t>
  </si>
  <si>
    <t>Concretos PROCECO</t>
  </si>
  <si>
    <t>Aguascalientes</t>
  </si>
  <si>
    <t>Total exposure</t>
  </si>
  <si>
    <t>SERVICIOS AMBIENTALES INTERNACIONALES</t>
  </si>
  <si>
    <t>Transportes Garcias Trucking</t>
  </si>
  <si>
    <t>Video C con NORMET</t>
  </si>
  <si>
    <t>Productos Lacteos Los Pinos</t>
  </si>
  <si>
    <t>Pinta Element</t>
  </si>
  <si>
    <t>MINTCSA Minas y tramos carreteros sa de cv</t>
  </si>
  <si>
    <t>CONSTRUCCIONES Y MAQUINARIA SEF</t>
  </si>
  <si>
    <t>Especies Alimenticias Del Golfo</t>
  </si>
  <si>
    <t>RIC Energy</t>
  </si>
  <si>
    <t>RGR CONCRETOS</t>
  </si>
  <si>
    <t>Servicios alimenticios Arbem</t>
  </si>
  <si>
    <t>Administración de Servicios de Alojamiento</t>
  </si>
  <si>
    <t>visita de seguimiento</t>
  </si>
  <si>
    <t>Maquilas Farmacéuticas, S.A. de C.V.</t>
  </si>
  <si>
    <t>Dinamica Automotriz de México</t>
  </si>
  <si>
    <t>Energia para la vida Mexico Solar</t>
  </si>
  <si>
    <t>Encontrack</t>
  </si>
  <si>
    <t>Virginia Salas Vargas</t>
  </si>
  <si>
    <t>AZUCAR Y CACAO</t>
  </si>
  <si>
    <t>BQ PHARMA</t>
  </si>
  <si>
    <t>Corsa Transportes</t>
  </si>
  <si>
    <t>CENTRO COMERCIAL GUAJARDO</t>
  </si>
  <si>
    <t>Sala Uno Salud</t>
  </si>
  <si>
    <t>Amp Contratistas Eléctricos</t>
  </si>
  <si>
    <t>DISTRIBUIDORA DE FORRAJES Y SEMILLAS RAMIREZ</t>
  </si>
  <si>
    <t>cira de presentacion</t>
  </si>
  <si>
    <t>Integradora del bajio</t>
  </si>
  <si>
    <t>OPEN GATE LOGISTICS</t>
  </si>
  <si>
    <t>Construccion Y Servicios Integrales Sigma</t>
  </si>
  <si>
    <t>Aceros Maquinados</t>
  </si>
  <si>
    <t>JITS SERVICIOS INDUSTRIALES</t>
  </si>
  <si>
    <t>Seguimiento requerimiento Flotilla</t>
  </si>
  <si>
    <t>Special Rental</t>
  </si>
  <si>
    <t>Sognero Descanso</t>
  </si>
  <si>
    <t>Tiendas Chedraui</t>
  </si>
  <si>
    <t>Grupo Comercial Chedraui</t>
  </si>
  <si>
    <t>Gapelli Ingredients</t>
  </si>
  <si>
    <t>Grupo Uretanos Flexibles</t>
  </si>
  <si>
    <t>Manjarrez Impresores</t>
  </si>
  <si>
    <t>HEHM LOGISTICA</t>
  </si>
  <si>
    <t>Centro De Especialidades Medicas Del Sureste</t>
  </si>
  <si>
    <t>INYECPLASTIC QUERETARO</t>
  </si>
  <si>
    <t>Mexicana de Maderas</t>
  </si>
  <si>
    <t>High Lumen</t>
  </si>
  <si>
    <t>Innovacion Logika En Transporte</t>
  </si>
  <si>
    <t>Centro Medico de las Americas</t>
  </si>
  <si>
    <t>Instituto Médico Panamericano</t>
  </si>
  <si>
    <t>Grupo Linoreste</t>
  </si>
  <si>
    <t>PACE INDUSTRIES DE CHIHUAHUA II</t>
  </si>
  <si>
    <t>Termigas</t>
  </si>
  <si>
    <t>GRUPO CARGOQUIN</t>
  </si>
  <si>
    <t>Video C con Sandvik</t>
  </si>
  <si>
    <t>ACCESSA LOGISTICS</t>
  </si>
  <si>
    <t>Grupo La Michoacana</t>
  </si>
  <si>
    <t>Grupo Constructo</t>
  </si>
  <si>
    <t>CONSOLIDATED MEDICAL EQUIPMENT COMPANY</t>
  </si>
  <si>
    <t>GRUPO CORPORATIVO INTERNACIONAL ESPECIALIZADO</t>
  </si>
  <si>
    <t>Industrias Plásticas Michel</t>
  </si>
  <si>
    <t>Cessna México</t>
  </si>
  <si>
    <t>ODEM INTERNACIONAL S.A DE C.V.</t>
  </si>
  <si>
    <t>Vimar Construcciones</t>
  </si>
  <si>
    <t>LUTSA Transportes</t>
  </si>
  <si>
    <t>DESARROLLADORA DE INGENIERIA CONSTRUCCION Y SUMINISTRO DE AGREGADOS PETREOS SERVICIOS AMBIENTALES Y PORTUARIOS</t>
  </si>
  <si>
    <t>Performance Air</t>
  </si>
  <si>
    <t>GRUPO BLANCO FERTICAMPO</t>
  </si>
  <si>
    <t>Vasanta comunicaciones</t>
  </si>
  <si>
    <t>Jorge Luis Díaz Jasso</t>
  </si>
  <si>
    <t>Fletes Santa Lucía</t>
  </si>
  <si>
    <t>YOREME CORTES Y PROCESOS</t>
  </si>
  <si>
    <t>Skalatech Infraestructura</t>
  </si>
  <si>
    <t>AGM SERVICIOS ALIMENTARIOS DE MEXICO</t>
  </si>
  <si>
    <t>BanRegio</t>
  </si>
  <si>
    <t>HELADOS Y PALETAS WILLY</t>
  </si>
  <si>
    <t>TRANSPORTES CHAVARRIA</t>
  </si>
  <si>
    <t>Productores y Comercializadores Agropecuarios Rancho las Maravillas</t>
  </si>
  <si>
    <t>Sin competidor</t>
  </si>
  <si>
    <t>Industrias Mecánico Eléctricas</t>
  </si>
  <si>
    <t>Lava-Tap</t>
  </si>
  <si>
    <t>CREMERIA LA CAÑADA</t>
  </si>
  <si>
    <t>Solar concepts</t>
  </si>
  <si>
    <t>Lacerta Si</t>
  </si>
  <si>
    <t>OPERADORA DE PRODUCTOS DEL MAR</t>
  </si>
  <si>
    <t>reunion con nueva Dir Finanzas</t>
  </si>
  <si>
    <t>Panatubos</t>
  </si>
  <si>
    <t>Reunión de seguimiento con Abigail C para alta de NORMET</t>
  </si>
  <si>
    <t>Tenedora Agnico Eagle México</t>
  </si>
  <si>
    <t>Alimentos Practicos y Selectos</t>
  </si>
  <si>
    <t>Empacadora De Carnes Selectas Del Papaloapan</t>
  </si>
  <si>
    <t>MEISA</t>
  </si>
  <si>
    <t>Video C con BOBCAT</t>
  </si>
  <si>
    <t>Video C con VW MOTORS</t>
  </si>
  <si>
    <t>Grupo Fase 2c</t>
  </si>
  <si>
    <t>Sodesa Transportación</t>
  </si>
  <si>
    <t>EXPORTADORA DE CAFÉ CALIFORNIA</t>
  </si>
  <si>
    <t>Servicios y Anclajes del Norte</t>
  </si>
  <si>
    <t>Minera la Negra</t>
  </si>
  <si>
    <t>Pilu Diseños Y Promociones</t>
  </si>
  <si>
    <t>PUBLICIDAD ARTISTICA DE IMPACTO</t>
  </si>
  <si>
    <t>Garfrut</t>
  </si>
  <si>
    <t>Construcciones y Asesoría Epcosa</t>
  </si>
  <si>
    <t>Soluciones Moviles en Concreto</t>
  </si>
  <si>
    <t>GRUPO MEDICO DE MEXICALI</t>
  </si>
  <si>
    <t>Transportadores y Construcciones Industriales</t>
  </si>
  <si>
    <t>AGROSALUD ANIMAL</t>
  </si>
  <si>
    <t>Empresas Padigon</t>
  </si>
  <si>
    <t>Sinaloa</t>
  </si>
  <si>
    <t>Zacatecas</t>
  </si>
  <si>
    <t>Billing State/Province</t>
  </si>
  <si>
    <t>SIC Industry</t>
  </si>
  <si>
    <t>Utilities &amp; Energy</t>
  </si>
  <si>
    <t>Food Bev &amp; Ag</t>
  </si>
  <si>
    <t>Industrial Products &amp; Services</t>
  </si>
  <si>
    <t>Yucatán</t>
  </si>
  <si>
    <t>Construction</t>
  </si>
  <si>
    <t>Misc Service Industries</t>
  </si>
  <si>
    <t>Media</t>
  </si>
  <si>
    <t>Consumer Products</t>
  </si>
  <si>
    <t>Technology &amp; Business Services</t>
  </si>
  <si>
    <t>Chemicals &amp; Plastics</t>
  </si>
  <si>
    <t>Retail</t>
  </si>
  <si>
    <t>Metals, Mining &amp; Metals Fabrication</t>
  </si>
  <si>
    <t>Proffinox</t>
  </si>
  <si>
    <t>Video C</t>
  </si>
  <si>
    <t>AIR3 de Mexico</t>
  </si>
  <si>
    <t>Synergy Biotechnologies</t>
  </si>
  <si>
    <t>Duramax</t>
  </si>
  <si>
    <t>Grupo Cetto</t>
  </si>
  <si>
    <t>Bajacim Transportacion</t>
  </si>
  <si>
    <t>Seguimiento CAPEX 2026 / Factoraje</t>
  </si>
  <si>
    <t>CY Alimentos</t>
  </si>
  <si>
    <t>Rancho Caloca</t>
  </si>
  <si>
    <t>REFACCIONES MERETI</t>
  </si>
  <si>
    <t>Tecnostamp Triulzi México</t>
  </si>
  <si>
    <t>Zobele México</t>
  </si>
  <si>
    <t>CFMOTO MEXICO</t>
  </si>
  <si>
    <t>Distribuidora Alcatraz</t>
  </si>
  <si>
    <t>SH Lunch</t>
  </si>
  <si>
    <t>AZUD</t>
  </si>
  <si>
    <t>EECOE</t>
  </si>
  <si>
    <t>Transportes Treviño</t>
  </si>
  <si>
    <t>Lamina Perfil y Recorte</t>
  </si>
  <si>
    <t>LADISA</t>
  </si>
  <si>
    <t>ALUMINIO EXTRUIDO DEL BAJÍO</t>
  </si>
  <si>
    <t>MAQUINARIA BOIX MEXICO</t>
  </si>
  <si>
    <t>Transportes Martillo</t>
  </si>
  <si>
    <t>Condimentos Naturales Tres Villas</t>
  </si>
  <si>
    <t>Uvi Tech</t>
  </si>
  <si>
    <t>Suajes y Empaques</t>
  </si>
  <si>
    <t>GRUPO CONSTRUCTOR ABA</t>
  </si>
  <si>
    <t>Prefabricadora de Losas</t>
  </si>
  <si>
    <t>Chiles Secos Andrade</t>
  </si>
  <si>
    <t>Ramos Aboytes Construcciones</t>
  </si>
  <si>
    <t>YJ TECH CORPORATION</t>
  </si>
  <si>
    <t>Brexa Industrial</t>
  </si>
  <si>
    <t>Ingenieria y Proyectos Medi</t>
  </si>
  <si>
    <t>FINE FLOOR DE MÉXICO</t>
  </si>
  <si>
    <t>Video C. TRACSA</t>
  </si>
  <si>
    <t>Medios  Digitales Enfocados</t>
  </si>
  <si>
    <t>Presentacion Factoraje Engen Capital</t>
  </si>
  <si>
    <t>Sublima</t>
  </si>
  <si>
    <t>Michemix</t>
  </si>
  <si>
    <t>Vinos y Licores Menguz</t>
  </si>
  <si>
    <t>Guanajuato</t>
  </si>
  <si>
    <t>SFAC0006067050</t>
  </si>
  <si>
    <t>SFAC0006056557</t>
  </si>
  <si>
    <t>Beneficencia Española Veracruz</t>
  </si>
  <si>
    <t>CM CONCRETOS</t>
  </si>
  <si>
    <t>Servicios Bonacril</t>
  </si>
  <si>
    <t>Church and Dwigth</t>
  </si>
  <si>
    <t>Aceros y Perfiles De Aguascalientes</t>
  </si>
  <si>
    <t>MONTEVERDE CONGELADOS</t>
  </si>
  <si>
    <t>Descubrimiento</t>
  </si>
  <si>
    <t>Cars</t>
  </si>
  <si>
    <t>Printing Equipment</t>
  </si>
  <si>
    <t>Forest Products</t>
  </si>
  <si>
    <t>Proposal</t>
  </si>
  <si>
    <t>Trailers</t>
  </si>
  <si>
    <t>Plastic Equipment</t>
  </si>
  <si>
    <t>DC CONCRETOS</t>
  </si>
  <si>
    <t>Oaxaca</t>
  </si>
  <si>
    <t>Antonio Soto</t>
  </si>
  <si>
    <t>Ofimla</t>
  </si>
  <si>
    <t>San Luis Potosí</t>
  </si>
  <si>
    <t>Edificaciones Carver</t>
  </si>
  <si>
    <t>BOLSAS PLÁSTICAS DE QUERÉTARO S DE RL DE CV</t>
  </si>
  <si>
    <t>Sureste</t>
  </si>
  <si>
    <t>Distribuidora Mayorista de Tornillos de Yucatán</t>
  </si>
  <si>
    <t>Impulsora De Desarrollo Integral</t>
  </si>
  <si>
    <t>Suacero</t>
  </si>
  <si>
    <t>Term Loan</t>
  </si>
  <si>
    <t>Mundienvases de Plastico</t>
  </si>
  <si>
    <t>Multiple</t>
  </si>
  <si>
    <t>Inco Peninsular</t>
  </si>
  <si>
    <t>External Refinancing</t>
  </si>
  <si>
    <t>Bundled (Real estate + M&amp;E)</t>
  </si>
  <si>
    <t>Kirbymex</t>
  </si>
  <si>
    <t>BBVA Bancomer</t>
  </si>
  <si>
    <t>CONSORCIO INDUSTRIAL ELIGON</t>
  </si>
  <si>
    <t>PQ Servicios e Infraestructura</t>
  </si>
  <si>
    <t>Manufacturas Industriales Dp</t>
  </si>
  <si>
    <t>Evsa</t>
  </si>
  <si>
    <t>Cosmética</t>
  </si>
  <si>
    <t>IACNA MEXICO II</t>
  </si>
  <si>
    <t>Especialistas En Turbopartes División Aeronáutica</t>
  </si>
  <si>
    <t>Especialistas En Turbopartes</t>
  </si>
  <si>
    <t>Oscar Alonso Reynosa Armendariz</t>
  </si>
  <si>
    <t>Siemens</t>
  </si>
  <si>
    <t>Lucta Mexicana</t>
  </si>
  <si>
    <t>Fraenkische Industrial Pipes México</t>
  </si>
  <si>
    <t>Graneros Espinoza</t>
  </si>
  <si>
    <t>Smurfit Carton y Papel de México</t>
  </si>
  <si>
    <t>Compañia Transportista de America</t>
  </si>
  <si>
    <t>PULSO GRAFICO</t>
  </si>
  <si>
    <t>Soluciones Integrales</t>
  </si>
  <si>
    <t>Equipos Inoxidables Del Norte</t>
  </si>
  <si>
    <t>METALES Y DERIVADOS DEL NORTE</t>
  </si>
  <si>
    <t>Essencefleur de México</t>
  </si>
  <si>
    <t>Empacadora Dilusa De Aguascalientes</t>
  </si>
  <si>
    <t>Auto Express Toscano</t>
  </si>
  <si>
    <t>Agroindustrias Quesada</t>
  </si>
  <si>
    <t>Compresores Maqpower</t>
  </si>
  <si>
    <t>Tracto Express Sánchez</t>
  </si>
  <si>
    <t>Tamales Salinas</t>
  </si>
  <si>
    <t>GRUPO INTEGRAL DE MEDICINA PRIMARIA</t>
  </si>
  <si>
    <t>Grupo Lamesa</t>
  </si>
  <si>
    <t>LACTIGURT DE MÉXICO</t>
  </si>
  <si>
    <t>Auto Lineas Regiomontanas</t>
  </si>
  <si>
    <t>kaisan</t>
  </si>
  <si>
    <t>LITOPAK</t>
  </si>
  <si>
    <t>Lácteos la Montesa</t>
  </si>
  <si>
    <t>Tecno Troqueles</t>
  </si>
  <si>
    <t>SERVIEXPRESS JC</t>
  </si>
  <si>
    <t>SFAC0006039064</t>
  </si>
  <si>
    <t>SFAC0006110832</t>
  </si>
  <si>
    <t>1-3HZ9-725</t>
  </si>
  <si>
    <t>SFAC0006076081</t>
  </si>
  <si>
    <t>Industry</t>
  </si>
  <si>
    <t>Automotive</t>
  </si>
  <si>
    <t>Franchise</t>
  </si>
  <si>
    <t>se tiene  contacto con Antonio empresa dedicada al  sector de transoprte contando con flotilla  de camiones opera desde el 2007 facturacion mayor a 100 mdp, refiere buen buro no trabajar con gobierno requiere esquemas de arrendamiento</t>
  </si>
  <si>
    <t>Remake Advertising</t>
  </si>
  <si>
    <t>-Hable con Angie Flores.
-Contadora de la empresa.
-Dedicados a construcción y mantenimiento industrial.
-Interesados en adquirir vehículos para su operación, Nissan Urvan y Chevrolet Tornado, palazo de 36 meses, seguro diferido.
-Ventas de 45 MDP 
-Buen buró.
No trabaja con gobierno.
-Mas de 3 años operando.
-Ubicados en CDMX</t>
  </si>
  <si>
    <t>Reunión con Jack Salame (finanzas). Empresa dedicada de manera vertical al diseño, tejido, acabado, corte, estampado, lavado y empaque de textiles, principalmente playeras y sudaderas. Vende a tiendas de autoservicio y también a tiendas departamentales.
Anteriormente ya habían revisado opciones de financiamiento con Engen, pero en aquel momento la tasa no se ajustaba a las necesidades. En 2025 comentó que fue un año complicado para el sector, observó una contracción en ventas del 10% cerrando en 370 mdp
Su principal problema actual es el tema de capital de trabajo, comenta que en la industria textil se sufre ya que el pago a proveedores es a 30 días mientras que sus clientes le pagan a 90-100 días. La empresa ya opera líneas de factoraje con BBVA en pesos y dólares; en dólares trae spread +3.5% y pesos quedó en confirmar ya que no lo recordaba. Adicional, trae dos líneas de crédito simple, una con HSBC y otra con BBVA; la de BBVA fue por la adquisición de maquinaria hace dos años y la de HSCB un S&amp;LB que hicieron el año pasado para reestructurarse financieramente.
Comenta que tienen alrededor de 80-90 mdp en activos en su planta en tepeji, sin embargo, más de la mitad están en garantía con sus líneas de crédito. De momento mostró interés en Factoraje, aunque mencionó que si no es más económico que lo que tiene actualmente no la usará. Su línea en pesos es de $40 mdp.
Next steps: quedó en compartir tasas de sus pasivos, así como maquinaria libre de gravamen para estructurar una línea de capital de trabajo permanente; estas las han usado en el pasado a plazos de 36-48 meses. Se dará seguimiento y se coordinará segunda reunión una vez se tenga la información de factoraje, así como de sus activos</t>
  </si>
  <si>
    <t>J. García López</t>
  </si>
  <si>
    <t>AlcisCorp</t>
  </si>
  <si>
    <t>Reunión con Mario Marín -CFO- | Hoy día trabajan con: i) Arrendadora Banorte, con la que atienden el arrendamiento de +100 vehículos (principalmente) + mobiliario y otros créditos. ii) Prioritas con la que atienden el arrendamiento de; hornos y mobiliario. iii) Active Leasing con la que atienden mobiliario y equipo para el hotel; Hotel Calypso. | El plan de CAPEX para este año es de alrededor de MXN 40m. | Siguientes pasos: 1) Hay una oportunidad inmediata para 3 hornos (USD 750k). 2) enviaran ejemplo de cotización de hornos. 3) realizaremos una propuesta y se coordinara una reunión presencial (tentativamente el jueves 05/03 o viernes 06/03) para discutirla y si es algo que les haga sentido (costo/beneficio), avanzamos con el proceso de calificaicón.</t>
  </si>
  <si>
    <t>reunion con jesus cruz para revisar requerimiento de cnc</t>
  </si>
  <si>
    <t>Firma de contrato</t>
  </si>
  <si>
    <t>Reunión con Ulises Vazquez,, requieren de financiar equipos para renta de corto plazo, nos compartio cotizaciones de su financiera para poder contra ofertar</t>
  </si>
  <si>
    <t>Seguimiento a Factoraje, se le presentó resultados de Sintach</t>
  </si>
  <si>
    <t>Visita con director regional para ver nueva opp.</t>
  </si>
  <si>
    <t>Manufacturera 3M</t>
  </si>
  <si>
    <t>Hora y fecha de cita:	Jueves 26 de febrero 2026, 12:30 hrs.
Originador asignado:	Vadir Peña
Con quien se hablo:	Juan Miguel Bueno Ros
Puesto: 	Presidente
Actividad de la empresa:	Empresa dedicada a la fabricación de maquinaria, equipos y partes industriales
Oportunidad identificada:	Base de datos
Ventas de la empresa: 	 $130,000,000.00 
Buró de crédito:	Ok
Tipo de ventas:	Privado
Años de operación:	Más de 30 años
Ubicación:	"Prol. De Av. 3 Jose B. Lizardi S/N Entre Calles 43 Y 45 Zona Industrial
94690 Córdoba, Veracruz
México"
Producto:	Prospecto interesado en conocer las condiciones de arrendamiento para adquirir equipo de automatización para la plata con costo aproximado de 4muds.</t>
  </si>
  <si>
    <t>Somos Carton</t>
  </si>
  <si>
    <t>Llamada con Jose Edgar del Bosque. Durante la conversación presenté a Engen y platicmaos un poco sobre el éxito que hemos tenido en empresas empacadoras. revismaos AP y Fleet, a lo que me comento que ahorita trabajan con otra arrendadora pero estan abiertos a escuchar ofertas. Por otro lado, al tocar  Factoraje, le intereso el producto y me pidio enviar información por correo. Subo a Nidia al correo para entre ambos dar seguimiento al lead</t>
  </si>
  <si>
    <t>HSS SEGURIDAD PRIVADA</t>
  </si>
  <si>
    <t>RANCHO LA MEMORIA</t>
  </si>
  <si>
    <t>Se tiene contacto con  Cynthua empresa operando desde el 2015 en la producion agricola de diferentes vegetales la mayoría para exportación a EUA y la ventas en el pais es con empresas grandes como Walmart indica que tiene un nivel de factruracion entre los 50 mdp y 400 mdp  refiere tener buen buro no trabaja con gobierno.
requieren 3 Nissan Urvan 14 pasajeros con valor de $842,900.00 pesos  piden cotizacion en 24 36 y 48 meses</t>
  </si>
  <si>
    <t>BONO EDIFICACIONES</t>
  </si>
  <si>
    <t>Empaques y diseños de polietileno</t>
  </si>
  <si>
    <t>Visita a la empresa con Eduardo Covarruvias Director de Finanzas y Lucy Barba de Tesorería. La empresa se dedica al ensamble de cartón corrugado, plástico corrugado, foam de polietileno para empresas como San Mina, Jabil, HP, Flextronic, Nefab, Veritiv, Continental, etc a plazos de 60 días. Este plazo está empatado con sus proveedores y comentaban que tenían buen flujo. Están por realizar una sustitución de activos por al menos 10 mdp (dobladoras, suajadoras, pegadoras, etc). Se comentó la posibilidad de un S&amp;LB pero comentó que no estaban interesados. Trabajan hoy factoraje con RTS pero derivado a que están buscando mejorar condiciones con clientes no quisieran otro proveedor de  factoraje. El 85% de sus ventas son en usd y facturan 12 mdd al año. Se da de alta oportunidad.</t>
  </si>
  <si>
    <t>Miguel Angel Jímenez</t>
  </si>
  <si>
    <t>Se tiene contacto con Miguel es el asesor del Dr, quién comenta que requiere adquirir una cotización para un automóvil BMW (se adjunta cotización)
DR RICARDO NUÑEZ VERDIN/ Novapel  con años de experiencia en medicina estética e implantes capilares.
Se cotiza con ONE FLEET</t>
  </si>
  <si>
    <t>Hora y fecha de cita: Lunes 23 de Febrero 5:00 pm
Originador: Ricardo Moreno
Con quien se hablo: Jesus Pulido
Puesto: Dueño
Actividad de la empresa: Distribución de Aguacate, fertilizantes y semillas para sie
Ventas de la empresa: $60 millones 
Buró de crédito: Ok
Sector privado 100%
Años de operación: 6 años
Ubicación: Michoacan de Ocampo
Busca Arrendamiento de 10 Camiones de carga con valor de 1,800,000.00</t>
  </si>
  <si>
    <t>Ciemmobil</t>
  </si>
  <si>
    <t>Contacto: Armando de Degolla
Actividad: Venta y renta de maquinaria / activos productivos
Oportunidad: S&amp;lb para 2 plataformas (60? y 45?), modelos 2025
Monto estimado: 2 MDP
Ventas: 128 MDP (2025)
Contexto: Refiere tener buen buró y no trabajar con Gob.
Operación: +10 años
Reunión: ? 24 FEB , 4:30</t>
  </si>
  <si>
    <t>Seguimiento para alianzas con sus clientes.</t>
  </si>
  <si>
    <t>Hora y fecha de cita: Miércoles 25 de febrero 1:00 pm
Originador: Alexandra Ramírez
Con quien se habló: Marco Ivan 
Puesto: Director de Finanzas
Actividad de la empresa: Producción de equipos de tecnologia
Ventas de la empresa: $180 millones 
Buró de crédito: Ok
Sector privado 100%
Años de operación:  36 años
Ubicación: Durango
Buscan Crédito y Factoraje, cliente desconfiado menciona que tiene maquinaria y sus clientes para factoraje son XUEHUA HUANG, GRAN VISTA ZHOU, AVILDIA entre otros, desea conocer tasas de interés para cada servicio.</t>
  </si>
  <si>
    <t>Presentacion Factoraje HS</t>
  </si>
  <si>
    <t>HS hara la presentacion del producto al cliente.</t>
  </si>
  <si>
    <t>Energio Servicios de Energía Sostenible</t>
  </si>
  <si>
    <t>-Hable con Neto Leal.
-CEO de la empresa.
-Dedicados a egregia sustentable a nivel industrial.
-Interesado en adquirir vehículos para su operación: 3 camionetas pickup, 36 meses, seguro propio y placas en diferentes estados. Y capital de trabajo cuenta con 5 compresores industriales 1.1 MDP cada uno.
-Ventas de 100 MDP.
-Buen buro.
-No trabaja con gobierno.
-Mas de 20 años operando.
-Ubicados en Sinaloa.</t>
  </si>
  <si>
    <t>Industria procesadora de empaques</t>
  </si>
  <si>
    <t>Presentación con la Adm para ver posibles proyectos de inversión.</t>
  </si>
  <si>
    <t>SKN IMAGEN Y BELLEZA</t>
  </si>
  <si>
    <t>Hora y fecha de cita:	Miércoles 25 de febrero 2026, 10:30 hrs.
Originador asignado:	Juan Villaseñor
Con quien se habló:	Gustavo Crespo
Puesto:	Tomador de decisión
Actividad de la empresa:	Comercialización de productos alimenticios para animales.
Oportunidad identificada:	 Mailing febrero 2026
Ventas de la empresa: 	$                                                                                     116,000,000.00
Buró de crédito:	Saludable
Tipo de ventas:	Sector privado.
Años de operación:	8 años
Ubicación:	Chapultepec 15, Ladron de Guevara
44650 Guadalajara, Jalisco
México
Producto:	Busca inyección de capital por 3 a 5 mdp</t>
  </si>
  <si>
    <t>FOOD PROTEINS CORPORATION</t>
  </si>
  <si>
    <t>Cita con Eduardo Pinzón Gerente de finanzas Leads que surgieron:
1.-Financiamiento con garantía hipotecaria de 80MDP
2.-Factoraje (actualmente con Nafinsa)
3.-Camión Scania Eléctrico
4.-Fleet</t>
  </si>
  <si>
    <t>Industrias Plásticas de San Luis</t>
  </si>
  <si>
    <t>Cliente interesado en equipo de plastico por crecimiento, se cotizará un PP 30% 70% con 4 meses de entrega.
Fabrican bolsas, sogas, cuerdas y rafia</t>
  </si>
  <si>
    <t>FASST</t>
  </si>
  <si>
    <t>Call Fasst</t>
  </si>
  <si>
    <t>Hora y fecha de cita: Miércoles 23 de febrero 10:00 am
Originador: Miguel Ortiz
Con quien se habló: Alfonso Vega
Puesto: CFO
Actividad de la empresa: Desarrollo de sistema de telecomunicación para servicios de cobranza, atención a clientes etc. 
Ventas de la empresa: $1340 millones 
Buró de crédito: Ok
Sector privado 100%
Años de operación: 23 años
Ubicación: Querétaro.
Busca servicio de Arrendamiento y crédito, prospecto acudió al evento Impulsando Empresas Querétaro.</t>
  </si>
  <si>
    <t>SIISA SOLUCIONES</t>
  </si>
  <si>
    <t>revisión de proyectos llave en mano para clientes finales</t>
  </si>
  <si>
    <t>Reunión para definición del activo y nuevo proyecto de paneles solares, se presentará nuevo proveedor</t>
  </si>
  <si>
    <t>Seguimiento a cotización de ppt de servidores así como seguimiento al checklist para ingresar a crédito.</t>
  </si>
  <si>
    <t>Servicios de Analisis Tecnicos</t>
  </si>
  <si>
    <t>Lic. Víctor Rello Director General
Actividad de la empresa:  Laboratorio de pruebas de   la rama eléctrica- electrónica.
Oportunidad identificada:
general-website
 Ventas  $35,000,000 margen 25%
 Buró de crédito: ok
Años de operación:  31 años
Producto: AP adquisición de Equipo de Alta tecnología para efectuar pruebas en el espectro radioeléctrico, tales como antenas, analizadores de espectro, generadores de señal y simuladores digitales</t>
  </si>
  <si>
    <t>reunion con macriss zesati, en este momento no hay requerimientos</t>
  </si>
  <si>
    <t>Manuel Jedidias Islas Bonilla</t>
  </si>
  <si>
    <t>Contacto: Manuel Islas
Actividad: (Por confirmar en reunión ? relacionado con cámara de refrigeración y activos productivos)
Oportunidad: S&amp;LB  sobre cámara de refrigeración y revisión de activos adicionales
Ventas: 70 MDP (2025)
Activo identificado: Cámara de refrigeración por 1 MDP
Contexto: Refiere tener buen buró y no trabajar con Gob.
Operación: 14 años
Reunión: Mañana, 4:00 p.m.</t>
  </si>
  <si>
    <t>Grucotox Construcciones</t>
  </si>
  <si>
    <t>Hora y fecha de cita:	Martes 24 de febrero 2026, 16:00 hrs.
Originador asignado:	Braulio Martínez
Con quien se hablo:	Alejandro Zúñiga Alejo
Puesto: 	Dueño de la empresa
Actividad de la empresa:	Empresa dedicada a la obra civil
Oportunidad identificada:	CE - Formulario - Facebook - 2023 - F03
Ventas de la empresa: 	 $79,000,000.00 
Buró de crédito:	Ok
Tipo de ventas:	Sector privado
Años de operación:	12 años
Ubicación:	"Cerrada Nicolás San Juan
03103 Ciudad de México, Ciudad de México
México"
Producto:	Prospecto interesado en inyección de capital, interesado en conocer oportunidad tanto en crédito simple o s&amp;lb, cuenta motoconformadora y un vehículo Cadillac, con costos aproximados 3,200 mdp y 2.4 mdp respectivamente.</t>
  </si>
  <si>
    <t>Revisión propuesta One fleet</t>
  </si>
  <si>
    <t>Reunión con riesgos para revisar el tema de validación de facturas.</t>
  </si>
  <si>
    <t>Ticoy Foods</t>
  </si>
  <si>
    <t>LOUNN</t>
  </si>
  <si>
    <t>Se tuvo junta con el CEO jesus, encontramos oportunidad de hacer relación con ellos como broker ya que se dedican a ser intermediarios de empresas que buscan creditos</t>
  </si>
  <si>
    <t>Videollamada con Estefanía Medel</t>
  </si>
  <si>
    <t>Cita con Sergio Arché y Nidia para revisar factoraje, empresa con ventas de 600mdp busca que adelantemos facturas de retail y hoteles en la riviera maya. Pide NDA para poder firmarse con CIEC.</t>
  </si>
  <si>
    <t>Pecom</t>
  </si>
  <si>
    <t>Hora y fecha de cita: Martes 24 de Febrero 1:00 pm
Originador: 
Con quien se hablo: Jose Cinco, Ing. Luis y Carlos
Puesto: Contador y dueños
Actividad de la empresa: Proveedores de energia
Ventas de la empresa: $64 millones 
Buró de crédito: Ok
Sector privado 100%
Años de operación: 20 años
Ubicación: Sonora
Buscan conocer los servicios de Engen Capital y que tasas se manejan en Crédito.</t>
  </si>
  <si>
    <t>Movilab SA de CV</t>
  </si>
  <si>
    <t>Con quien se hablo:	Janet Rojas Dir
Actividad de la empresa:	Laboratorio de análisis, profesionales, científicos y técnicos del petróleo
Ventas $33,000,000.00 
Buró de crédito:	Ok
Tipo de ventas:	Sector privado 98%, sector gobierno 2%
Años de operación:	32 años
Producto:	Prospecto interesado en inyección de capital, interesado en conocer oportunidad tanto en crédito simple o s&amp;lb, cuenta equipamiento especializado para el análisis de hidrocarburos se anexa inventario total.
Busca 1.5mpd a 24 meses</t>
  </si>
  <si>
    <t>Presentacion Factoraje Engen / Fleet OFS</t>
  </si>
  <si>
    <t>Reunion con CEO y AL. Se realizo presentacion de nuestro producto. Principales clientes Abarrey y Casa Ley representan el 8% de sus ventas, utilizan cadenas productivas (Banorte y Bajio), 10 dias reciben el pago a partir de subir la factura con costo del 2.1% sobre el importe a disponer con anticipo del 100% de la factura. El resto de la cobranza la reciben en 15 dias promedio. Se mandara liga para firma. Se realizo presentacion de Fleet y se reviso la propuesta que se le mkando, dar seguimiento.</t>
  </si>
  <si>
    <t>Zf Chasis Components Toluca</t>
  </si>
  <si>
    <t>Zf Sachs Automotive México</t>
  </si>
  <si>
    <t>Se exploro leasing para inyectoras y CNC par Toluca y Saltillo</t>
  </si>
  <si>
    <t>PRODUCTORA HUEVO SAN LUIS</t>
  </si>
  <si>
    <t>CFO Eduardo Chiapa
Actividad de la empresa: Producción de huevo
Ventas de la empresa: $49 millones 
Buró de crédito: Ok
Sector privado 100%
Años de operación: 8 años
Ubicación: San Luis Potosi
Buscan Sale and Lease Back de una maquinaria productora de huevo, adjunto cotización.
Requieren 4 meses de low high ya que el destino del recurso es comprar pollas para que maduren y en 16 semanas puedan producir huevo</t>
  </si>
  <si>
    <t>Productos Helados Milky Mich</t>
  </si>
  <si>
    <t>*Productos Helados Milky Mich
*José Islas
*Contador
*Venta de paletas y helados
*Paneles solares ( 3mdp aprox)
*80 mdp
*Buen Buro
*Sin ventas a Gobierno
*Años 50
*Ubicación Hidalgo</t>
  </si>
  <si>
    <t>Mercados populares de Cuauhtemoc</t>
  </si>
  <si>
    <t>Se busca reunion con Beto para conocer la operacion de la empresa, se podria dar una opcion de linea de factoraje por sus plazos de pago con sus clientes de comedores industriales, el requerimiento actual es de compra de unos T380, se buscaran opciones con otros proveedores de camiones para enviar propuesta al cliente.</t>
  </si>
  <si>
    <t>Llamada con David. Se platico sobre la oportunidad de S&amp;LB que se habia platicado anteriormente. Me comentó que siguen interesados, la operación la ven para dentro de un par de meses. Me pidio compartir de nuevo el checklist a el y a su gerente para que nos ayude a completarlo a la brevedad.</t>
  </si>
  <si>
    <t>FACTORAJE 
Deudores. 
ARZYS (facturación estimada de 230mdp anuales) 
TST MIKEI (facturación estimada de 140mdp anuales) 
Facturación de 30-45 días 
Cliente tiene propuesta de factoraje actual con ARZYS (interno), con condiciones económicas de 1.5% mensual. Muestra incertidumbre al realizar firma en CIEC, acordamos compartir cotización indicativa y NDA para su revisión.</t>
  </si>
  <si>
    <t>Revisar Operacion Casa Ley - Factoraje</t>
  </si>
  <si>
    <t>Cliente solicita que podamos considerar facturas de Casa Ley por debajo de los 20 mil pesos, cliente comenta que son alrededor de 500 facturas con una facturacion mensual de 6 MDP. Cliente enviara el detalle de las facturas para poder determinar viabilidad y poder hacer una excepcion, dar seguimiento.</t>
  </si>
  <si>
    <t>Grupo Retenum es un grupo empresarial mexicano especializado en tecnologías para la agricultura particularmente en biorregulación vegetal, bioestimulación, formulación de bioestimulantes y biorreguladores. El objetivo es ofrecer soluciones para incrementar productividad y eficiencia en el sector agro. Tienen presencia en 14 países y trabajan mediante alianzas y representaciones.
Reunión con CFO y contadora del grupo. Contadora es encargada de parte operativa y se involucra en la integración del expediente; CFO es quien analiza las propuestas y las presenta a dirección para su autorización.
Grupo actualmente tiene varias necesidades entre las principales se encuentra factoraje a clientes e una inversión en su planta en tlaxcala para una planta tratadora de lodos con un valor aprox de $3-4mdp. Se explorará adicional un S&amp;LB de su planta de tlaxcala ya que están interesados en recuperar IVA y juntar capital ya que en mayo tienen un clean-up de su línea revolvente con BBVA ($20mdp).
Next steps:
- Se enviarán registros CIEC para calificación de cartera de factoraje. - Envío 24 de febrero por parte de especialista factoraje
- Se compartirá información de activos de la planta y nueva planta - cliente, se recibió una parte el día 24 de febrero
- Se coordinará una reunión a finales de la primera semana de marzo para propuestas y poder continuar con la integración del expediente
Info grupo: 
Acreedores: BBVA (revolvente $20 mdp y leasing planta); Banregio ($12 mdp en flotilla)
Garantías: BBVA planta de lodos ($1.8 mdp), Banregio los autos
Ciclo operativo; proveedores 30-45 días; inventarios de 30-60 días y clientes 60-90-120 días</t>
  </si>
  <si>
    <t>Conferencia con el cliente para conocer el estatus actual de la empresa y de los próximos proyectos del grupo.
El Proyecto de Galleta va en tiempo y forma, ya recibieron todas las máquinas y en noviembre se terminó la nave en donde se llevará a cabo su instalación. El único equipo que se complicó un poco fue la empacadora, dado que optaron por un proveedor nuevo llamado Syntegon. Por lo que las fechas de arranque de esta línea están acorde al plan, en marzo se correrán las pruebas y en abril tiene que salir la primera producción regular. Los primeros pedidos se entregarán en junio. Con esta línea se espera una capacidad de producción de 1,100 toneladas mensuales; en junio se pronostica una producción entre 400 y 600 toneladas, julio 800 toneladas y de agosto a diciembre 1,000 toneladas. 
Respecto a la línea 2, ya comenzaron a entregar algunos componentes, noviembre correrán las pruebas, se espera la misma producción que la línea1 y para 2027 ya debe de tener producción regular. 
Respecto a la línea 0 se está explorando un plan para moverla a la planta nueva en marzo 2027 ya que estén seguros de que no tienen ningún riesgo de producción con la línea 1 y 2, por lo que lo harán ya que esté en perfecto funcionamiento la línea 1 y 2. Este movimiento tardaría de 3 a 6 meses. Esta línea produce 730 toneladas, 
Proyecto Tortitas de arroz. Evaluando el proyecto y dado que incurrirían en una penetración de mercado nuevo y el proveedor está en bélgica bélgico, optaron por arrancarlo hasta el 2027. 
Inversiones en Proyecto de cereal. Enfoque en cereal extruido (forma bolitas, estrellitas, adicional a hojuela tradicional). Visualizan una gran oportunidad de crecimiento en esta línea de negocio, por lo invertirán en líneas nuevas de producción. Cada línea requiere una inversión de alrededor de USD 10MM. En este rubro han venido trabajando con un proveedor alemán llamado Buhler, sin embargo, el servicio post venta no ha sido el mejor por lo que viajarán próximamente a Canadá para explorar un proveedor nuevo. 
Están interesados en que participemos con nuestra propuesta para esta línea de Cereal, lo que sigue haciendo más sentido para Adolfo es el AP dado que pueden utilizar las bondades de este financiamiento como estrategia fiscal. 
Por otro lado, el año pasado resolvieron sus estrategias con la autorización del ?Plan México?, con este pudieron depreciar aceleradamente MXN 112 MM (Toda la inversión nueva de la nave). Para el 2026 les autorizaron MXN 146MM, sin embargo, dado los resultados de la compañía sí sigue haciendo sentido tener más mecanismos para deducción y por ende bajar la base gravable. 
Línea de Factoraje 
El factoraje lo tienen con 3B, estuvieron en diferentes negociaciones y lograron una mejora en tasa, actualmente están descontando en TIIEF + 2%, les descuentan el 100% de la factura, a un plazo que van de los 45 a los 60 días de crédito. Descuentan alrededor de MXN 60 MM por mes, se pronostica que en este año exista un incremente a MXN 100 MM por mes, esto en cuanto incrementen la entrega de producto con ellos una vez queden la línea 1 y 2.
Agendamos una nueva reunión para marzo para entender los avances que se tienen respecto a la visita a Canadá, así también nos extendieron la invitación para que JPL y FG visiten la planta una vez ya se encuentre operando con las líneas nuevas en junio-Julio. 
Competidores actuales: BBVA, Banorte, Kapital Bank.</t>
  </si>
  <si>
    <t>Se platicó con Marta Gallegos para la adquisición de un camión.</t>
  </si>
  <si>
    <t>ARTEGO</t>
  </si>
  <si>
    <t>Se sostuvo reunión con Felipe Arteaga, empresario con trayectoria de 35 años operando en empresa familiar Frigorizados la Huerta. Se independizó del negocio y decidió operar nuevas línes de negocio. entre ellos, Lácteos Ticoy que fabricó paletas a nivel industrial y empresa que actualmente ya no opera, ARTEGO, que comercializa productos dle extranjero en México, y PAZO GLOBAL, empresa en EEUU que comercializa productos mexicanos en el extranjero.  La operación original de paletas cerró debido a temas regulatorios relacionados con permisos de Cofepris, lo que llevó a Felipe a desarrollar un nuevo modelo enfocado en comercialización e importación.
Actualmente opera principalmente a través de ARTEGO Logística, empresa con 7 años de facturación bajo un esquema de trading y distribución. El modelo consiste en comprar producto nacional e internacional, importar vía Manzanillo (actualmente con cuatro contenedores en puerto), almacenar y etiquetar mediante terceros, y distribuir a cadenas nacionales. Comercializan productos en las principales cadenas de autoservicio como Walmart (incluyendo Sam?s) y Soriana. Todo el componente operativo es tercerizado, incluyendo fletes, almacenaje y etiquetado, lo que reduce CAPEX pero incrementa la dependencia de flujo constante.
El negocio es intensivo en capital de trabajo y funciona bajo un modelo de rotación. Facturaron aproximadamente 160 millones de pesos en el ejercicio anterior y proyectan cerrar el año en 280 millones de pesos, lo que representa un crecimiento cercano al 75%. La facturación se realiza en pesos y la mayoría de las compras son en USD. Sin embargo, cuando detectan volatilidad en el mercado, implementan coberturas cambiarias para proteger márgenes.
En cuanto a financiamiento, utilizan factoraje con las cadenas, particularmente con Walmart y Sam?s, así como con Soriana, quien anticipa hasta el 80% del valor de la factura. Señalan que el costo financiero con Walmart es elevado. Los plazos de pago son de aproximadamente 45 días para productos refrigerados y 60 días para productos secos, lo que presiona el ciclo de conversión de efectivo. También mantienen línea de crédito con Fincargo para soporte operativo. El negocio depende estructuralmente del financiamiento para sostener crecimiento, especialmente considerando el volumen de importaciones y la necesidad de mantener inventario disponible.
Adicionalmente, cuentan con Pazo Global como vehículo estratégico para representar marcas mexicanas en otros países y traer productos internacionales para su comercialización en México. La intención es escalar a una dimensión mayor mediante esta plataforma, lo que implicará mayor requerimiento de capital de trabajo y posiblemente financiamiento estructurado para expansión.
Se identifica que la principal necesidad está en la optimización de capital de trabajo y en la reducción del costo financiero actual. Existe oportunidad de estructurar factoraje que mejoren su operatividad. El modelo no es intensivo en activos fijos, sino en flujo y financiamiento. 
Próximo paso será solicitar información financiera firmarse en Davincci, información preliminar, así como llamada con el área de factoraje para la oportunidad detectada.</t>
  </si>
  <si>
    <t>Reunión con Tesorera de la empresa
POLNAC empresa dedicada a la fabricación y comercialización de compuestos y resinas plásticas; se especializa en compuestos plásticos, aditivos, rotomoldeo, polietileno, polipropileno, PVC. Sus polímeros se utilizan en empaques, sector automotriz, productos de consumo,l electrónica, tanques. Cuentan con una capacidad anual de 90,000 toneladas 
Reunión se llevó a cabo con Tesorera de Polnac, el contador tuvo un problema personal y no pudo asistir; se buscará tener otra reunión ya que el contador tiene más visibilidad de la estructura. Tesorera y contador son Champions, Jorge Iñigo (CEO) es quien da vobo, sin embargo, el contador es a quien se debe convencer para que jorge firme
De lo que se platicó con la tesorera, Polnac tiene necesidad de capital de trabajo por aproximadamente $2 mdd; la empresa tiene un ciclo de efectivo conformado por; pago a proveedores promedio de 60 días (sus principales proveedores son de EUA); los inventarios tardan dos meses promedio en llegar y tardan entre 30-45 días en venderlos, de ahí tienen un plazo de cobro entre 60 y 90 días. Esta necesidad de flujo es relativamente fija durante todo el año, aunque suelen tener picos, especialmente a final del año que compran bastante material para inicios de año. Menciona tener una necesidad para este año de $2 mdd de capital de trabajo.
Le pareció interesante el factoraje de sus clientes, comentó que estaba explorando con Banorte una línea con respaldo de inventarios (almacenadora), sin embargo, se comentó que nosotros no hacemos ese tipo de operaciones. Comentó que tienen otra empresa dentro del grupo (Arrendamax) que es la que es dueña de todos los activos y Polnac mensualmente le paga rentas. Le pareció atractivo un esquema de S&amp;LB sobre esos activos, sin embargo, Nora no tienen mucha visibilidad de los activos ni de la estructura que hay en esos pagos de renta (el contador es quien conoce la información).
Se acordó tener un call el jueves 26 para poder coordinar una reunión con el contador, en el inter ella lo iba a rebotar con el contador. Se requiere esa reunión para entender un poco más su estructura y poder armar una estructura que les funcione y poder identificar la oportunidad.
Actualmente tienen línea revolvente de $2mdd con Banorte con plazo de 180 días y clean up cada dos años; esta línea ya les está quedando corta; están explorando nuevas líneas con Bankaool</t>
  </si>
  <si>
    <t>Conferencia con Melissa y Paulino para revisar las propuestas de los montacargas de los distribuidores de CAT &amp; Momatt, aclarar varias dudas respecto a la estructura de crédito, mecánica operativa y legal de esta transacción.</t>
  </si>
  <si>
    <t>Lite Tek</t>
  </si>
  <si>
    <t>Se agenda cita con Yolanda García y Luis Fernando Alvarez
*Contadores de la empresa
*Giro: distribución de equipo de audio e iluminación
*Oportunidad: linea de crédito para capital de trabajo o bien factoraje.
*Ventas: 250 mdp
*Buen buro de crédito
*Sin operaciones con gobierno
* Cuentan con flotas vehiculares autos de lujo y carga de mercancía.
*mas de 10 años
*Ubicación: Puebla</t>
  </si>
  <si>
    <t>Reunión para darle seguimiento a la oportunidad, vamos a buscar una reunión con riesgos en CDMX, nos pasó parte del expediente</t>
  </si>
  <si>
    <t>Laboratorios San Angel</t>
  </si>
  <si>
    <t>Se tuvo reunion con abel CFO, nos comenta que en este momento la empresa laboratorios san angel, se encuentra en concurso mercantil, ya que el 70% esta centrado en gobierno, no es prospecto para engen.</t>
  </si>
  <si>
    <t>Se tiene reunión con cliente para validar dudas de precalificación</t>
  </si>
  <si>
    <t>Reunion con Francisco Silveyra para revisar propuesta enviada, se pierde por precio contra ABC</t>
  </si>
  <si>
    <t>Presentación de Porpuesta</t>
  </si>
  <si>
    <t>Moons Dental</t>
  </si>
  <si>
    <t>Reunión con Leonardo Mirón, COO de Moons y Futura Labs (razon social que fabrica los alineadores), nos aceptó la llamada para ver si podiamos competir al esquema de Lease 4 U con quienes generan leads de doctores para venderles sus scanners dentales c/u cuesta 90K MXN por lo que no existe viabilidad. Confirma ventas de 260MDP y me pide buscarlo para agendar otra llamada pero con el CFO de la empresa y ver temas de arrendamiento de activos propios, hoy todo lo hacen a través de Equity y me comenta que aun traen pérdidas operativas. Se dará seguimiento.</t>
  </si>
  <si>
    <t>Productora De Alimentos Mexicanos</t>
  </si>
  <si>
    <t>Reunión con Jose Antonio Silveira, viene inversión fuerte en junio para una planta de bebidas</t>
  </si>
  <si>
    <t>ZF OCCUPANT SAFETY SYSTEMS DE LA LAGUNA</t>
  </si>
  <si>
    <t>Zf Trw</t>
  </si>
  <si>
    <t>ZF Group es un líder global en tecnologías de transmisión y chasis, proporcionando además soluciones para la electrificación y movilidad en sectores como la automoción, maquinaria industrial y equipos agrícolas. Opera en 30 países con 161 plantas y generó ?41.4?mil millones en ventas en 2024 de los cuales el 27% es de la región de Norte América.
Su casa matriz está en Alemania, y el Director Global de Compras es quien tiene este proyecto para automatización en México. 
Economic Buyer: Gonzalo Prado, Head of Investment (España)
Champion: Martin Fanta, Global Purchase Director (Polonia) 
Proveedor: Rodrigo Bueno (Leanovation, Aguascalientes)
En la división ZF-Lifetech, que representa el 11% de las ventas totales del Grupo, está dedicada a la fabricación de cinturones de seguridad y bolsas de seguridad entre otras piezas para vehículo automotor. Hay 4 plantas en Reynosa en dónde están desarrollando un proyecto de automatización industrial. 
Dentro de sus Clientes se encuentran: Nemak, Magna, Bosch, Bocar Group, Tremec; Abrams, etc.
El requerimiento para cotizar un AP por $2.7 MDD que incluye: Automation Mobile Robots, y otros equipos de movilidad automatizada como SEER SPT, robots de limpieza y otros.
Estructura de crédito (por confirmar)
Acreditado: TRW VEHICLE SAFETY SYSTEMS DE MEXICO S DE RL DE CV (REYNOSA) 
Garantía Corporativa: ZF PASSIVE SAFETY US INC (PUBLICA)
** Pendiente de que cierren la negociación de pagos anticipados, el proveedor requiere el 50% para fabricación, y ZF-Lifetech solo quiere dar el 80% a la entrega del equipo en MX, y el 20% restante al finalizar el proyecto**
En la reunión que sostuve con personal local de compras en MX, Ana Luisa Vazquez, no ha podido dar mayor información que la aquí presentada, y confirma que sí han hecho arrendamientos locales en años pasados. Con esta información procedemos a enviar cotización al cliente considerando el segmento Core.
La cita con Martin Fanta está programada para el Martes 2-Marzo y explorar más a detalle su operativa, datos financieros, timeline del proyecto, y cualquier otro requerimiento de acuerdo a las capacidades multiproducto de Engen.</t>
  </si>
  <si>
    <t>DYLU SERVICIOS</t>
  </si>
  <si>
    <t>Cita por necesidad de adquisición de activo</t>
  </si>
  <si>
    <t>Tabasco</t>
  </si>
  <si>
    <t>SFAC0006075981</t>
  </si>
  <si>
    <t>SFAC0006110886</t>
  </si>
  <si>
    <t>SFAC0006000088</t>
  </si>
  <si>
    <t>SFAC0006077115</t>
  </si>
  <si>
    <t>SFAC0005506431</t>
  </si>
  <si>
    <t>SFAC0005611845</t>
  </si>
  <si>
    <t>SFAC0006008587</t>
  </si>
  <si>
    <t>1-FKFMVS</t>
  </si>
  <si>
    <t>SFAC0006110344</t>
  </si>
  <si>
    <t>SFAC0006108470</t>
  </si>
  <si>
    <t>SFAC0006110892</t>
  </si>
  <si>
    <t>SFAC0006110893</t>
  </si>
  <si>
    <t>SFAC0006026438</t>
  </si>
  <si>
    <t>SFAC0006110889</t>
  </si>
  <si>
    <t>SFAC0006087445</t>
  </si>
  <si>
    <t>SFAC0006053071</t>
  </si>
  <si>
    <t>SFAC0006104494</t>
  </si>
  <si>
    <t>SFAC0006095934</t>
  </si>
  <si>
    <t>SFAC0006028758</t>
  </si>
  <si>
    <t>SFAC0006090100</t>
  </si>
  <si>
    <t>SFAC0006076069</t>
  </si>
  <si>
    <t>SFAC0006044167</t>
  </si>
  <si>
    <t>SFAC0006091465</t>
  </si>
  <si>
    <t>SFAC0006086217</t>
  </si>
  <si>
    <t>SFAC0003707356</t>
  </si>
  <si>
    <t>SFAC0006110883</t>
  </si>
  <si>
    <t>SFAC0006022225</t>
  </si>
  <si>
    <t>SFAC0006107861</t>
  </si>
  <si>
    <t>SFAC0006105038</t>
  </si>
  <si>
    <t>SFAC0006087399</t>
  </si>
  <si>
    <t>SFAC0006110881</t>
  </si>
  <si>
    <t>SFAC0006009872</t>
  </si>
  <si>
    <t>SFAC0006071535</t>
  </si>
  <si>
    <t>SFAC0006099795</t>
  </si>
  <si>
    <t>SFAC0006009304</t>
  </si>
  <si>
    <t>SFAC0006091715</t>
  </si>
  <si>
    <t>SFAC0006110878</t>
  </si>
  <si>
    <t>1-46E2CE</t>
  </si>
  <si>
    <t>SFAC0006008683</t>
  </si>
  <si>
    <t>SFAC0005599116</t>
  </si>
  <si>
    <t>SFAC0006110880</t>
  </si>
  <si>
    <t>SFAC0003384928</t>
  </si>
  <si>
    <t>SFAC0006074350</t>
  </si>
  <si>
    <t>SFAC0006018245</t>
  </si>
  <si>
    <t>SFAC0006110891</t>
  </si>
  <si>
    <t>SFAC0006075946</t>
  </si>
  <si>
    <t>SFAC0003352878</t>
  </si>
  <si>
    <t>SFAC0006020766</t>
  </si>
  <si>
    <t>1-944PM7</t>
  </si>
  <si>
    <t>SFAC0006074088</t>
  </si>
  <si>
    <t>SFAC0006103702</t>
  </si>
  <si>
    <t>SFAC0002762376</t>
  </si>
  <si>
    <t>SFAC0006095039</t>
  </si>
  <si>
    <t>SFAC0006088722</t>
  </si>
  <si>
    <t>SFAC0006016841</t>
  </si>
  <si>
    <t>SFAC0006015499</t>
  </si>
  <si>
    <t>SFAC0006076137</t>
  </si>
  <si>
    <t>SFAC0006106518</t>
  </si>
  <si>
    <t>SFAC0006087395</t>
  </si>
  <si>
    <t>SFAC0003592137</t>
  </si>
  <si>
    <t>SFAC0006079863</t>
  </si>
  <si>
    <t>SFAC0006110879</t>
  </si>
  <si>
    <t>Unknown</t>
  </si>
  <si>
    <t>Financial services</t>
  </si>
  <si>
    <t>SFOP0006027403</t>
  </si>
  <si>
    <t>Montacargas y planta eléctrica</t>
  </si>
  <si>
    <t>SFOP0006027397</t>
  </si>
  <si>
    <t>SERVICIOS INTEGRALES E INDUSTRIALES EN ACERO ESTRUCTURAL</t>
  </si>
  <si>
    <t>Freightliner M2 35K</t>
  </si>
  <si>
    <t>Colima</t>
  </si>
  <si>
    <t>SFOP0006026931</t>
  </si>
  <si>
    <t>SWATT LMM 1</t>
  </si>
  <si>
    <t>Genaro Villareal</t>
  </si>
  <si>
    <t>Compra Pasivos</t>
  </si>
  <si>
    <t>SFOP0006027412</t>
  </si>
  <si>
    <t>Cargador frontal y montacargas</t>
  </si>
  <si>
    <t>SFOP0006027389</t>
  </si>
  <si>
    <t>MOTONIVELADORA XCMG</t>
  </si>
  <si>
    <t>SFOP0006027390</t>
  </si>
  <si>
    <t>Flotilla</t>
  </si>
  <si>
    <t>N/A</t>
  </si>
  <si>
    <t>SFOP0006027432</t>
  </si>
  <si>
    <t>SFOP0006027387</t>
  </si>
  <si>
    <t>Flotilla - Flores Ixtapan</t>
  </si>
  <si>
    <t>SFOP0006027423</t>
  </si>
  <si>
    <t>Sublease</t>
  </si>
  <si>
    <t>SFOP0006027388</t>
  </si>
  <si>
    <t>Factoraje CH Lunch</t>
  </si>
  <si>
    <t>SFOP0006027252</t>
  </si>
  <si>
    <t>Reivax Internacional</t>
  </si>
  <si>
    <t>Julio Castillo</t>
  </si>
  <si>
    <t>Factoraje Reivax</t>
  </si>
  <si>
    <t>SFOP0006027354</t>
  </si>
  <si>
    <t>Spine package</t>
  </si>
  <si>
    <t>SFOP0006027433</t>
  </si>
  <si>
    <t>Sistema de impresión digital</t>
  </si>
  <si>
    <t>Progress Payment</t>
  </si>
  <si>
    <t>SFOP0006027353</t>
  </si>
  <si>
    <t>Tivatto 700 premium</t>
  </si>
  <si>
    <t>SFOP0006027410</t>
  </si>
  <si>
    <t>Factoraje Nutriesence</t>
  </si>
  <si>
    <t>Expocredit</t>
  </si>
  <si>
    <t>SFOP0006027376</t>
  </si>
  <si>
    <t>EQUIPO FIMSA REALSA</t>
  </si>
  <si>
    <t>SFOP0006027435</t>
  </si>
  <si>
    <t>Refinanciamiento 2026 Consolidación de Pasivos</t>
  </si>
  <si>
    <t>SFOP0006027117</t>
  </si>
  <si>
    <t>MOLDES</t>
  </si>
  <si>
    <t>SFOP0006027309</t>
  </si>
  <si>
    <t>SWATT LMM 2</t>
  </si>
  <si>
    <t>Ivan Mosqueda</t>
  </si>
  <si>
    <t>Equipos 2026</t>
  </si>
  <si>
    <t>SFOP0006027430</t>
  </si>
  <si>
    <t>Línea de Te bebible Nestea y REFI</t>
  </si>
  <si>
    <t>SFOP0006027243</t>
  </si>
  <si>
    <t>Factoraje proveedores</t>
  </si>
  <si>
    <t>Xepelin</t>
  </si>
  <si>
    <t>Competitor Substitution</t>
  </si>
  <si>
    <t>Reverse</t>
  </si>
  <si>
    <t>SFOP0006027406</t>
  </si>
  <si>
    <t>CAPEX 2026 Red Ambiental</t>
  </si>
  <si>
    <t>SFOP0006027428</t>
  </si>
  <si>
    <t>CNC GUNTNER</t>
  </si>
  <si>
    <t>SFOP0006027408</t>
  </si>
  <si>
    <t>Maquinaria</t>
  </si>
  <si>
    <t>SFOP0006027418</t>
  </si>
  <si>
    <t>Capex EDP 2026</t>
  </si>
  <si>
    <t>SFOP0006027055</t>
  </si>
  <si>
    <t>Factoraje Innovación Logika</t>
  </si>
  <si>
    <t>Non-Recourse</t>
  </si>
  <si>
    <t>SFOP0006027404</t>
  </si>
  <si>
    <t>RFP Arrendamientos TI - Equipo de cómputo personal</t>
  </si>
  <si>
    <t>Technology</t>
  </si>
  <si>
    <t>IT Equipment</t>
  </si>
  <si>
    <t>Grupo Goga</t>
  </si>
  <si>
    <t>Reunión de Descubrimiento</t>
  </si>
  <si>
    <t>Grupo Gráfico San Juan</t>
  </si>
  <si>
    <t>Seguimiento</t>
  </si>
  <si>
    <t>SFOP0006027400</t>
  </si>
  <si>
    <t>S&amp;LB sistema de jaulas para huevo</t>
  </si>
  <si>
    <t>Banco del Bajio</t>
  </si>
  <si>
    <t>Agricultural Equipment</t>
  </si>
  <si>
    <t>In Credit</t>
  </si>
  <si>
    <t>SFOP0006027411</t>
  </si>
  <si>
    <t>Fleet 4 vehiculos</t>
  </si>
  <si>
    <t>Cars Full Service</t>
  </si>
  <si>
    <t>SFOP0006027348</t>
  </si>
  <si>
    <t>OFS Flota vehicular</t>
  </si>
  <si>
    <t>SFOP0006027429</t>
  </si>
  <si>
    <t>Urvan 3</t>
  </si>
  <si>
    <t>SFOP0006027450</t>
  </si>
  <si>
    <t>Softelligence</t>
  </si>
  <si>
    <t>Lease Back equipos de geolocalizacion</t>
  </si>
  <si>
    <t>Security and Surveillance Equipment</t>
  </si>
  <si>
    <t>Telecom</t>
  </si>
  <si>
    <t>SFOP0006027452</t>
  </si>
  <si>
    <t>Flotilla One Fleet</t>
  </si>
  <si>
    <t>SFOP0006027374</t>
  </si>
  <si>
    <t>Veronica Castañeda</t>
  </si>
  <si>
    <t>Caldera F&amp;B</t>
  </si>
  <si>
    <t>SFOP0006027395</t>
  </si>
  <si>
    <t>Factoraje a Clientes</t>
  </si>
  <si>
    <t>SFOP0006027449</t>
  </si>
  <si>
    <t>Alan Alatorre</t>
  </si>
  <si>
    <t>S&amp;LB Capital de trabajo | Línea Envasado y Embotellado</t>
  </si>
  <si>
    <t>SFOP0006027459</t>
  </si>
  <si>
    <t>Agropecuaria Bretona</t>
  </si>
  <si>
    <t>Paneles Solares 2026</t>
  </si>
  <si>
    <t>Energy</t>
  </si>
  <si>
    <t>Paneles Solares mayor a 500kw</t>
  </si>
  <si>
    <t>SFOP0006027440</t>
  </si>
  <si>
    <t>S&amp;LB contratos terminados</t>
  </si>
  <si>
    <t>SFOP0006027448</t>
  </si>
  <si>
    <t>Refinanciamiento</t>
  </si>
  <si>
    <t>SFOP0006027457</t>
  </si>
  <si>
    <t>S&amp;LB | Equipo Amarillo - Capital de trabajo 2026</t>
  </si>
  <si>
    <t>SFOP0006027444</t>
  </si>
  <si>
    <t>Capex 2026</t>
  </si>
  <si>
    <t>SFOP0006027442</t>
  </si>
  <si>
    <t>MADOBOX</t>
  </si>
  <si>
    <t>Flexo Madobox</t>
  </si>
  <si>
    <t>SFOP0006027446</t>
  </si>
  <si>
    <t>QUARKSOFT</t>
  </si>
  <si>
    <t>Factoraje Quarksoft</t>
  </si>
  <si>
    <t>Short-Term Loan replacement</t>
  </si>
  <si>
    <t>SFOP0006027455</t>
  </si>
  <si>
    <t>Capex 2026-Equipo Contrucción</t>
  </si>
  <si>
    <t>SFOP0006027453</t>
  </si>
  <si>
    <t>Corporate</t>
  </si>
  <si>
    <t>Tanques para Azucar Liquida: Grado Alimentício</t>
  </si>
  <si>
    <t>SFOP0006027443</t>
  </si>
  <si>
    <t>EQUIPAMIENTO PLANTA ECATEPEC</t>
  </si>
  <si>
    <t>SFOP0006027288</t>
  </si>
  <si>
    <t>Construcción Nave Mdo Libre</t>
  </si>
  <si>
    <t>Afirme</t>
  </si>
  <si>
    <t>Machine Tools (Metal)</t>
  </si>
  <si>
    <t>SFOP0006027438</t>
  </si>
  <si>
    <t>Renovación laboratorio, minima y banco de sangre</t>
  </si>
  <si>
    <t>SFOP0006027462</t>
  </si>
  <si>
    <t>AQUA SALUS</t>
  </si>
  <si>
    <t>Flotilla Empresa</t>
  </si>
  <si>
    <t>SFOP0006027445</t>
  </si>
  <si>
    <t>CNC's</t>
  </si>
  <si>
    <t>SFOP0006027441</t>
  </si>
  <si>
    <t>Grupo Minero Golden Rock de Mexico</t>
  </si>
  <si>
    <t>Ana Acosta</t>
  </si>
  <si>
    <t>Linea de trituración</t>
  </si>
  <si>
    <t>Mining Equipment</t>
  </si>
  <si>
    <t>SFOP0006027439</t>
  </si>
  <si>
    <t>Equipo para tuneles 2026</t>
  </si>
  <si>
    <t>XK NET</t>
  </si>
  <si>
    <t>se tiene contacto  con José López empresa dedicada implementación de fibra Óptica con mas de 25 años de experiencias facturación de 130 millones de pesos en 2025 refiere tener buen buro no trabaja con gobierno comenta que que esta interesado en 10 hyundai i10  valor de $2,759,000 pesos a 36 meses</t>
  </si>
  <si>
    <t>EMBAG PACK</t>
  </si>
  <si>
    <t>*Lic. Dulce Karen Alvarado Setina
*Jefe de compras 
* Giro producción de empaques de Polietileno
*Oportunidad S&amp;LB de Flota vehícular
*Ventas 200 mdp
*Buen buro de crédito
*Gobierno no aplica
*Años de operación 12
*Ubicación: Michoacán</t>
  </si>
  <si>
    <t>Eduardo, Ana, me gustaría proponerles una reunión para presentarme formalmente y dar continuidad a la operación del año pasado, en la que aprobamos una línea de arrendamiento por 60 MDP para equipo médico y en la cual actualmente cuentan con una disponibilidad aproximada de 37,162,100.31 MDP para nuevas operaciones.
¿Cómo están de agenda el próximo jueves para reunirnos?</t>
  </si>
  <si>
    <t>Orbia Advance Corporation</t>
  </si>
  <si>
    <t>Video C.
Equipo NORMET.
Dia: Martes 24 7pm.
Revisamos temas de facturación, CAL tiempos estimados de firmas y pagos.
Ya emitieron pre factura.</t>
  </si>
  <si>
    <t>Requerimiento: Se agendo cita con Gaby Moreno, Gerente de finanzas de la empresa Trabba Prefabricados Concretos, Buscan una linea de crédito de 1 mdp, Giro: Productos prefabricados de concreto, operan desde hace 20 años, en 2025 vendieron 160 mdp, buen buro de crédito, no trabaja  con gobierno, la empresa esta en Zapopan Jalisco, pagina de internet: https:trabba.com.mx</t>
  </si>
  <si>
    <t>Reunión de Seguimiento</t>
  </si>
  <si>
    <t>Presentación de Porpuesta
Se presento propuesta, cliente me pide agregar algunos datos adicionales y se acuerda hablar una propuesta más por una línea más grande que cubra los proyectos que vienen en 2026, así como realizarles un ejercicio de eficiencia en los dos escenarios. Se acuerda presentar siguiente semana. 
Hola Carlos,
Antes que nada, muchas gracias por la llamada y el espacio que nos diste el día de hoy. Considero que avanzamos de manera muy positiva y logramos aterrizar varios puntos clave que integraré en la propuesta final.
Para poder completarla, ¿me podrías apoyar por favor con el monto total estimado de los proyectos 2026 que podrían entrar dentro del esquema de financiamiento? Esto me permitirá incorporar ese onto total en los ejercicios de eficiencia que estaré preparando.
Si pudieras compartirme ese dato el día de hoy, me ayudaría mucho para tenerte toda la información lista el lunes por la tarde.
Te agradezco de antemano el apoyo,
Saludos</t>
  </si>
  <si>
    <t>Junta con dueños, opp inmediata de 20mdp para equipar planta en Ecatepec, posible loan para nueva planta.</t>
  </si>
  <si>
    <t>Soluciones Logísticas DH</t>
  </si>
  <si>
    <t>Desayuno con Intermerk para conocer a Octavio, platicar sobre proyectos futuros.</t>
  </si>
  <si>
    <t>Reunión con CFO, se platico sobre las oportunidades de plataformas y todo terrenos zoomlion, se buscara avanzar con las propuestas para estar en la línea con condiciones competitivas.</t>
  </si>
  <si>
    <t>Reunión con cliente de seguimiento, indica que continúa en cotización de las granjas con distintos proveedores. 
Se contempla terminar expediente para el martes.</t>
  </si>
  <si>
    <t>Se reviso propuesta y comparación en base a un crédito simple, el prospecto quedo de revisar la información con su fiscalista y regresar con nosotros.</t>
  </si>
  <si>
    <t>CORPORATIVO DE ACERO Y SERVICIOS ASOCIADOS</t>
  </si>
  <si>
    <t>Visita con el director general de la empresa, dentro del grupo empresarial son 3 razones sociales pero todas venden por debajo de los 30mdp, tienen necesidades de líneas de crédito para factoraje por un monto aproximado de 1mdp.
Por las ventas de la empresa y montos de línea es un segmento que no podemos cubrir</t>
  </si>
  <si>
    <t>COCINAS ACCESORIOS Y DISEÑO</t>
  </si>
  <si>
    <t>Salinas Lasheras es una firma internacional de arquitectura y diseño de interiores, fundada hace casi 30 años (1997) por Edmundo Salinas y Manuel Lasheras. Se especializa en la creación de espacios residenciales, comerciales, institucionales, operando desde oficinas en Monterrey, CDMX y Miami.
Clientes:
La firma trabaja principalmente para clientes de alto perfil en sectores residenciales y comerciales, entre ellos se encuentran: 
Four Seasons Hotels &amp; Resorts, St. Regis Hotels &amp; Resorts, Ritz-Carlton, clientes de Gobierno para museos como el Museo del Noroeste (MUNE) en NL; BBVA con el diseño interior del estadio en NL; entre otros.
Proveedores
Blu Dot, Auvit, Arkit3, entre otros.
En México tienen razones sociales:
a) Comercializadora de Cocinas y Closets. "Designit Studio"
b) Duelas. "Haus Studio Boutique"
c) Muebles de Lujo.
d) Importadora. 
La información financiera no se consolida. 
En la reunión se destacó que las ventas anuales de la comercializadora de Cocinas y la de Duelas es de alrededor de $40 MDP cada una. Pendiente de perfilar el resto de las empresas dado que se dividen la administración y es otro el responsable de ellas.
Pool Bancario: 
- Monex para CV divisas (DLLS-MXN-EUR)
- Banorte (revolvente)
- HSBC (líneas de corto y largo plazo)
- BanRegio (revolvente) *
- Santander(revolvente) *
* Tanto a BanRegio y Santander están buscando reemplazarlos. No especifica exactamente el motivo el Administrador, pero comenta que alguno de ellos puede ser por precio.
Ofrece organizar un Teams con Manuel Lasheras, Director y accionista, para detallar más el plan de financiamiento para este año 2026. Sin embargo, siendo el producto objetivo el Factoraje no será viable por el nivel de ventas.</t>
  </si>
  <si>
    <t>Reunión para presentar ejercicio MXN 140m.</t>
  </si>
  <si>
    <t>Firma de contrato de arrendamiento</t>
  </si>
  <si>
    <t>Agenda cita</t>
  </si>
  <si>
    <t>Video C.
8 am
Asistentes Abi Carreon y Kenia M.
Revisamos cronograma de entregas, variacion en precios del equipo NORMET, y platicamos sobre el equipo de Voz y Datos de EPIROC, la confirguracion inicial cambio y hay afectaciones en tiempos de entrega, y costos.
Tambien platicamos sobre el proceso del contrato, me pide que se envie hoy a mas tardar, para que logremos entrar al proceso de validacion interna.</t>
  </si>
  <si>
    <t>DISTRIBUIDORA DE INSUMOS AGROPECUARIOS DE CHIHUAHUA</t>
  </si>
  <si>
    <t>Se tuvo una reunión con uno de los dueños de la empresa Jesus Gutierrez quien posee el 50% de las acciones de la empresa (el otro 50% pertenece a su hermano por lo que hablamos de un negocio familiar) El grupo empresarial esta dividido en dos líneas de negocios, la primer es algodones Gutiérrez que opera como despepitadora (maquila) de algodon y Diachisa como comercializadora y distribuidora de insumos agrícolas (semillas, agroquímicos y algodón).
En 2024 cerraron con ventas aproximadas de $620 MDP (ambas razones sociales).
Actualmente cuentan con líneas revolventes de capital de trabajo con Banco del Bajío, Santander y HSBC, ajustadas a ciclo agrícola (360 días con clean-up). No tienen créditos simples vigentes.
Oportunidades detectadas:
	?	Posible implementación de factoraje a clientes sobre facturas a 7 meses para mejorar flujo en temporada alta.
Se acordó agendar segunda reunión con especialista de factoraje para análisis técnico de cartera.</t>
  </si>
  <si>
    <t>Nos reunimos con la Lic. Esmeralda Pereyra, quien nos indicó que durante el presente ejercicio tienen planeado dar salida a un camión, mismo que debe de ser renovado, buscaremos reunión la siguiente semana con el Lic. Víctor Marquinez.</t>
  </si>
  <si>
    <t>Visita en las oficinas del cliente para dialogar respecto a la línea calificada para el equipo del robot quirúrgico y revisar la viabilidad de que cierren este proyecto con nosotros. 
Recientemente firmaron un Loan con BANSI por MXN 27 MM a un plazo de 60 meses más 1 año de gracias, TIIE + 4 puntos.
Le haremos llegar un análisis de VPN entre este crédito y nuestra propuesta de arrendamiento.</t>
  </si>
  <si>
    <t>Prolacni</t>
  </si>
  <si>
    <t>Juna Con Enrique Navarreta, Director de Planta y Operaciones. Empresa con ventas de $800MM pesos. Venta de aditamententos para Industria Lactea. Buscar cita con responable de cadena de suministro. Pasó dato Gerardo de Maulec.</t>
  </si>
  <si>
    <t>Aceites Sustentables de Palma</t>
  </si>
  <si>
    <t>Se tiene cita referenciada por medio de TIP</t>
  </si>
  <si>
    <t>Seguimiento con Oscar para Anexo de Cartera, y estatus de la operación.
Me confirmo que ya envio el anexo a Nidi con los datos correctos,  le propuse reunirnos la siguiente semana para dar celeridad a la oportunidad.
Trabajare en conjunto con Nidi para coordinar esta sesión y avanzar.</t>
  </si>
  <si>
    <t>Reunión con Marco Perea, Gerente General de la mina Pinos Altos (Chihuahua).
Se llevó a cabo una videollamada en la que se presentaron los principales puntos de valor agregado que podemos aportar a su operación. Marco comentó que la propuesta es de su interés y planteó realizar una segunda videollamada, ahora incluyendo al Ing. Alberto Díaz, Director de Compras de la mina.
En esta siguiente reunión, el Ing. Díaz nos podrá brindar una mayor perspectiva sobre los equipos que tienen previstos para la operación 2026, así como las estructuras de compra y esquemas que actualmente utilizan.</t>
  </si>
  <si>
    <t>DISTRIBUIDORA DE INSUMOS DIECA</t>
  </si>
  <si>
    <t>Reunió n con Claret Colli, nos la recomendo Eduardo Diez de Osteomedica es una empresa que se dedica a lo mismo que ellos en el sureste y quieren arrendamiento de unas torres</t>
  </si>
  <si>
    <t>reunión con Contador de la empresa para aclaración de dudas financieras al cierre 2025. Se acordó el envío de información referente a sus pasivos financieros para poder ingresar a riesgos la operación. Se acordó el día 27 de febrero el tener la información para poder hacer HO el lunes (2) o martes (3) de marzo.</t>
  </si>
  <si>
    <t>Geoperfora del Golfo</t>
  </si>
  <si>
    <t>Platicamos con la Ing. Maria Elena Guevara y la C.P. Diana Salas, obtendremos información de la última maquina adquirida en el último semestre del 2025, para evaluar S&amp;LB.</t>
  </si>
  <si>
    <t>Terminal de Almacenamiento y Distribución de Asfalto</t>
  </si>
  <si>
    <t>Cita con TADA, con HUgo Peña, tienen 30 autos utilitarios y 51 tracto camiones, empresa se dedica a elaboracion y distribución de asfalto.</t>
  </si>
  <si>
    <t>Videxport</t>
  </si>
  <si>
    <t>- Grupo de empresas dedica a la producción y exportación de uvas de mesa, sandías y pimientos morrones.  Se encuentra en el TOP 3 de productores de IVA del país.
	- Reunión con CFO René Gautrín.
	- Ventas de 2,120 mdp
	- El 85% de sus ventas son de exportación.
	- Tuvieron problemas con una empresa que los financio e hicieron acuerdos que terminaron afectando más a su flujo.
	- Buscan compra de un pásivo de 500 mdp para poder salir de sus detalles de buró, dispuestos a poner en garantía activos productivos, hipotecaria, y fideicomiso.
	- Les interesa también empatar los periodos de pagos más fuertes con su recuperación de cobranza.
	- IVA por recuperar menciona que es una suma importante, no nos dio el dato.</t>
  </si>
  <si>
    <t>proyecto nuevo con AT&amp;T para el que requiere capital de trabajo</t>
  </si>
  <si>
    <t>EMPRESA / CIUDAD: New New Madobox / Uruapan, Mich 
VENTAS: $583 MM
CITA CON: Alejandro Macias Doddoli - Dueño
ACTIVIDAD: Fabricación de cajas agrícola de cartón corrugado.
CLIENTES / PLAZO PAGO: Mission Produce, Calavo, WestPack, Aztecavo, Agrovisión plazo máximo de 30 días.
ACTIVOS CORE: Flexo, Cortadora, Corrugadora, Troqueladora. (Financian con el proveedor).
PROVEEDORES / PLAZO PAGO: Georgia Pacific, Arizlu, Licbox.
BANCOS  CORTO PLAZO / MONTOS / % US0: Bajío y BBVA AP y AF de 3 a 7 años con garantía de la maquinaría, no hay corto. Arrendamientos en USD. 
OPORTUNIDAD: Flexo de $960 M USD en AP de 60 a 84 meses para línea de papaya y plátano, proveedor chino. Cuando mande IF financiera se hará también propuesta para reestructura de pasivos.</t>
  </si>
  <si>
    <t>Video C.
Yolanda M.
Montes Romero Malpica Cristopher David (Finanzas)
Revision de propuesta final, solicitaron enviarles un cotizador para que ellos puedan modelar los ejercicios y poder presentar a sus clientes internos (plantas).</t>
  </si>
  <si>
    <t>Reunión con Víctor para comentar el seguimiento de la línea de factoraje con los clientes que son viables, peñoles arnecom, kia, Sus clientes les pagan en promedio 45 días.
En breve regresamos para confirmar precalificación de estos clientes.
Sus acreedores actuales son BBVA, Xepelin, Santander.
Los arrendamientos ya que los están toman de la empresa principal QS, vamos a trabajar en una línea para autos utilitarios.</t>
  </si>
  <si>
    <t>videollamada factoraje</t>
  </si>
  <si>
    <t>Intersyst Seguridad y Control</t>
  </si>
  <si>
    <t>Platicamos con el Ing. Aurelio Ceballos, se detectó oportunidad para financiar renovación de flotilla de vehículos utilitarios, enviaremos información de nuestro producto, y obtendremos información de flotilla a renovar.</t>
  </si>
  <si>
    <t>ZAZ MUEBLES Y ALGO MAS</t>
  </si>
  <si>
    <t>Conferencia con el cliente para revisar oportunidades para este 2026.</t>
  </si>
  <si>
    <t>Se realizó visita a Héctor Rodriguez CFO de la empresa, de dedica a la urbanización y construcción, empresa con necesidades de capital de trabajo, no cuenta con activos (Maquinaria y Equipo) ya que para los proyectos subarrenda la maquinaria requerida por lo que no se puede por medio del S&amp;LB.
Sus acreedores son Banco del Bajio y ScotiaBank.
En cuanto a Factoraje no hay la posibilidad, porque trabaja con anticipos.
Fleet no tiene requerimientos ya no que maneja flotillas.</t>
  </si>
  <si>
    <t>Videoconferencia con Daniel Dalamu y Fabio López (proveedor de equipos).
Daniel comentó que la próxima semana estará en Alemania revisando los posibles equipos a adquirir. Ya nos compartieron toda la documentación necesaria para realizar el hand-off interno y avanzar con el análisis.
Dado que existe la posibilidad de que se trate de un equipo usado, se exploró la alternativa de estructurar la operación mediante una hipoteca, con el objetivo de poder otorgar el plazo que el cliente está buscando. En caso de ser necesario, estuvieron de acuerdo con esta opción.</t>
  </si>
  <si>
    <t>HQ CONTROL DE CALIDAD</t>
  </si>
  <si>
    <t>La empresa se dedica a realizar estudio de mecánica de suelos para el diseño y distribución de cargas de cimentaciones de proyectos industriales e inmobiliarios de obras, para la construcciones de puentes y carreteras, además de supervisión de obras topografía laboratorio, los activos de la empresa se basan en equipos especializados para la elaboración de los estudios así como de control de calidad, entre sus clientes se encuentran, Grupo Garza Ponce, grupo México, Joma, Ternium, Unitec, Cfe, Tec de monterrey. Los plazos con sus clientes son hasta 60 días.
Con la empresa vamos a revisar la opción de S&amp;LB ya que acaba de adquirir en el 2024 unos equipos especializados de España que ya los tiene en funcionamiento, pero lo pagaron con sus recursos, así como de máquinas perforadoras y prensas.
Respecto a Factoraje lo ve viable considerando quiere conocer todo el proceso se reprograma visita para miércoles 4 marzo. 
One Fleet si se abre la oportunidad con unidades utilitarias para el desempeño de sus labores y de los directivos de la empresa.</t>
  </si>
  <si>
    <t>Conferencia con el cliente para retomar contacto y revisar la situación actual de la empresa para buscar oportunidades en las que pudiéramos sumar en este 2026. 
Han sido años cosechar lo que se ha venido sembrando en los últimos años, han presentado un buen crecimiento y siguen alcanzado buena penetración en el mercado. 
Oportunidades: S&amp;LB de la línea de envasado y CAPEX para el 2026 que está enfocado en eliminar cuellos de botella que se tienen aún en una parte de la producción. Adicional a barriles de fermentación, planta tratadora de agua. 
Factoraje: Se invitó al especialista de factoraje, se acordó buscarlos a finales de la primera semana de marzo, para llevar a cabo la actualización del registro en Da Vinci y con ello poder analizar si es factible este producto y con qué deudores. 
Acuerdos: Se mandará los EEFF actualizados para analizar la situación actual de la empresa y con ello revisar la viabilidad de los proyectos.</t>
  </si>
  <si>
    <t>Cía Cerillera La Central</t>
  </si>
  <si>
    <t>Email de contacto que derivo en video c.
Hola Lau mucho gusto.
Soy Kenia Martinez, represento a ENGEN CAPITAL.
Te contacto ya que Dorly Rabago sali? de la compa??a y yo tendr? el gusto de estar frente a la relaci?n comercial entre LA CENTRAL Y ENGEN.
Me encantar?a reunirme contigo el martes o jueves de la siguiente semana para retomar las ?ltimas conversaciones de arrendamiento y refinanciamientos de pasivos, ?c?mo andas de agenda?
Agradezco tus comentarios, saludos.
Resultado de video c:
Por ahora van a concluir lo que tiene con nosotros, no estan interesados en hacer mas operaciones con ENGEN, sumado a que actualmente no traen inversiones o necesidades nuevas en donde tengamos oportunidades.</t>
  </si>
  <si>
    <t>Aguacates Terravo</t>
  </si>
  <si>
    <t>Cita con Ángel Navarro Director General y Gabriela CFO, tienen la necesidad de compra de equipo para el empaque, transporte, y en un mediano plazo liquidar socios.
Ventas: $250MDP. 
Inversiones se han realizado con inversionistas. 
Clientes: Distribuidores. Mercados de abastos. Exportación directas. 
Pains: Poca liquidez y requerimientos de capital de trabajo. Los activos están en un fideicomiso de garantía diseñado para solicitar crédito. 
Bancos: Bajío. Revolventes. LEMs. Con pagos semestrales.  
Acitvos sujetos a fin: lineas de empaque.</t>
  </si>
  <si>
    <t>Reunión Revisión proyectos 2026, se tuvo un primer acercamiento con la compañia, de manera virtual, estamos buscando poder visitar su planta en Atizapan,  vemos oportuinidades de arrendamiento, y de factoraje sin embargo es necesario tocar base con un DM que en este caso serian los dueños, Victor es nel Cahmpion en la operación, se trata de una compañia mexicana fundada en 2009 dedicada a la fabricación y comercialización de productos de belleza y cuidado personal, con enfoque en ofrecer artículos accesibles y de calidad al mercado nacional.
Su operación incluye el desarrollo y producción de productos capilares y de cuidado personal, tales como:
Silica capilar (gotas de seda)
Shampoos
Aceites para cabello
Cremas y productos de cuidado personal
Fijadores y moldeadores capilares</t>
  </si>
  <si>
    <t>Omnibus Unidos Regiomontanos</t>
  </si>
  <si>
    <t>Se platicó con la empresa, el nombre comercial es APOLO, tienen viajes nacionales, e incursionan tambien en paquetería, compraron camiones y se los entregaron este diciembre 2025, el cliente tiene créditos caros, por lo que se buscará un refinanciamiento, cada camiones vale enre 8 y 12 mdp, los de ellos, al comprarlos doble piso valen 12 mdp, compran anualmente entre 4 y 5 camiones. Se pidió el listado de activos y el cuadro de pasivos. 
40 camiones. Marca Volvo: Doubledeckers.  
Se financia con SOFOMS: Unifin, y locales. Volvo financial. Tasa calcula all in. 60 meses.
Pains: Financiamientos con costo alto. 
Se detectó que hay oportunidad de refinanciamiento. No se proporcionó información de saldos, ni plazos remanentes. 
Objeciones: Booth Collateral.</t>
  </si>
  <si>
    <t>Se realizó visita de seguimiento con el cliente, quien reporta cumplimiento puntual en sus obligaciones financieras y buen historial con la banca. Durante 2025 cerraron con ventas aproximadas de USD 44 millones, ligeramente por debajo del año previo debido a efectos de tipo de cambio y pérdida temporal de un cliente relevante (restructuración corporativa). Para 2026 proyectan recuperación en ventas en dólares apoyados en nuevos proyectos que arrancan en mayo y octubre.
Actualmente operan con tres líneas revolventes con BBVA, Banco Sabadell y Banorte por un total aproximado de $45 MDP, utilizadas de forma permanente para capital de trabajo, con clean-ups periódicos.
Oportunidades detectadas:
	?	Posible reestructura de pasivos de corto a largo plazo (aprox. 50% de líneas actuales) para disminuir presión de renovaciones y riesgo de cancelación.
	?	Potencial financiamiento de nueva maquinaria (USD 500 mil ? 1 millón) sujeto a confirmación de proyectos.
	?	Interés en analizar esquema a 60?72 meses sin comisión, con tasa competitiva.
Se acordó enviar estados financieros 2025 y preparar ejercicio numérico para evaluar viabilidad de migrar parte del pasivo revolvente a estructura de largo plazo.</t>
  </si>
  <si>
    <t>Loglab Group</t>
  </si>
  <si>
    <t>Reunión con Carlos Lozano y Estafania Venegas (brooker). El cliente requiere de apoyo financiero para realizar una operación de compraventa de equipo de almacen (Racks, estantes, mezzanine). El cliente gano una licitación a Puma México, quienes pusieron a la venta el equipo debido a que no lo iban a requerir, el equipo tienen máximo 18 meses de uso. La operación que busca el cliente es un crédito para comprar el equipo y posteriormente venderlo a terceros. La oportunidad que nos presenta no es del interés de Engen por lo que se declino.</t>
  </si>
  <si>
    <t>Visita en las oficinas del cliente para retomar contacto y revisar la situación actual de la empresa para buscar oportunidades en las que pudiéramos sumar en este 2026. 
Han sido años complejos para la industria en la que se desarrollan, han estado buscando incursionar en nuevas estrategias de negocio.
Están buscando cerrar un crédito con Bansi por MXN 400 MM para uno de sus proyectos por medio de un Loan.  
Oportunidades: S&amp;LB de equipo amarillo y otro equipo que el cliente utiliza para su operación habitual. Se acordó que el cliente nos mande la lista de sus activos para con base en este definir el monto posible, hablamos de alrededor de MXN 50 MM de acuerdo a las políticas que tenemos en Engen para equipo usado. Este recurso será utilizado para capital de trabajo.</t>
  </si>
  <si>
    <t>Se sostuvo reunión con el Director de Finanzas del grupo, el cual opera principalmente bajo tres líneas de negocios kioscos de purificación de agua (3,100 unidades), servicios de purificación para cadenas como Oxxo y línea de café/oficinas. El grupo proyecta ventas aproximadas de $1,100 millones de pesos y mantiene crecimiento activo en expansión de kioscos y flotilla vehicular.
Oportunidades detectadas:
	?	Arrendamiento vehicular por aproximadamente $50 millones de pesos para renovación y expansión de flotilla (350 unidades actuales).
	?	Interés del cliente en diversificar fuentes de financiamiento (actual concentración con Santander y operaciones también con Sabadell y negociación con HSBC).
también mostro interés en el arrendamiento para los Koscos de purificación de agua sin embargo por el tipo de activos es un negocio al cual no podemos entrar, en cuanto a líneas de crédito si cuenta con algunas líneas de corto plazo sin embargo las utilizan cíclicamente y no las tienen utilizadas al 100% por lo que no existe la opción de hacer un refinanciamiento de la deuda.
El cliente solicita propuestas antes de abril, fecha en la que asignan presupuestos anuales de financiamiento.</t>
  </si>
  <si>
    <t>BANANAS SAN JORGE</t>
  </si>
  <si>
    <t>Reunión con el CFO de la empresa Miguel Ángel, la empresa pertenece a un Grupo empresarial llamado Grupo San Jorge, se dedican a la producción de banana, limón, coco y papaya, tienen una empresa de plasticos que son los que fabrican las cajas para consumo propio y vender a terceros, tienen la necesidad de comprar equipos pero para la nave industrial que tienen en Mc Allen TX.
San Jorge: Usa lineas revolvente, bajio, santander bbv. Con revolvencia para comprar de oportunidad. No se preguntaron montos. 
SI GARANTIA HIPOTECARIA. 
No se pudo recabar mayor información. 
Se agendó cita el miércoles para estar con el dueño.</t>
  </si>
  <si>
    <t>2da reunión con la compañia, se trata de un fabricante de productos adesivos, para la industrua papelera principalmente, tiene como principales clientes a Office Depot y Lumen, es una empresa en crecimiento sin embargo en este momento solo vemos oportunidad para poder financiar autos utilitarios.</t>
  </si>
  <si>
    <t>Tuvimos reunión con la C.P. Ingrid Gutiérrez y Manuel y el C.P. Marco Antonio Cruz, donde destacó la búsqueda de una línea de factoraje a proveedores y de un refinanciamiento, adicional, durante el año se está considerando adquirir 4 unidades más International.</t>
  </si>
  <si>
    <t>ALGODÓN MEXICANO</t>
  </si>
  <si>
    <t>- Reunión con Director General Ricardo Sagarena
	- Comercializadora de algodón y productos textiles.
	- Ventas han venido a la baja por la sequía en la zona con baja producción, además se ha estado importando más producto. 2024 $250 mdp, 2025 un poco más de 50 mdp.
	- Trabaja con varios bancos y parafinancieras para capital de trabajo.
	- Cuenta con fabrica para despepitar pero no son del tiket sice.
	- No hay oportunidades.
	- Nos referencia con uno de sus socios, Rodrigo Bours, quien menciona que le podría interesar nuestros servicios.</t>
  </si>
  <si>
    <t>Videoconferencia con Víctor Gámez, accionista principal de la empresa, y el equipo de FIMSA.
La empresa se dedica a la extracción y trituración de mineral de hierro, material que se utiliza principalmente para la fabricación de acero. La mayor parte de su producción se destina a exportación, siendo una de las pocas compañías que cuenta con el permiso para exportar este mineral. Actualmente, operan bajo su propia concesión minera, donde ya tienen instalada una línea de trituración.
Recientemente, la empresa ganó una licitación para la trituración de 1 millón de toneladas en un periodo de 2 años para Minera Santa Lucía (mina Doña Paula), ubicada en Michoacán. Para este proyecto será necesaria la instalación de una nueva línea de trituración con capacidad de 250 toneladas por hora.
El esquema de pago contempla desembolsos por cada 20,000 toneladas trituradas, lo que equivale aproximadamente a 10 días de operación considerando jornadas de 8 horas diarias.
De acuerdo con el equipo de FIMSA, el tiempo estimado de entrega del nuevo equipo es de aproximadamente 12 semanas. Como alternativa para no retrasar el proyecto, estarían trasladando su línea de trituración actual a las instalaciones de Minera Santa Lucía, mientras que la nueva línea se instalaría posteriormente en su propio patio de operaciones.</t>
  </si>
  <si>
    <t>Firma de anexo 7 y platica con Carlos Galica para ver el arrendamiento de las Gruas Sany.</t>
  </si>
  <si>
    <t>Ticoy Foods - new new: Reunión con Felipe Arteaga, esta reunión quedó pendiente de la gira de Ags, hay oportunidad para equipo de transporte y refrigeración (este en S&amp;LB) venden +250mdp, tienen una empresa hermana holistik dedicada a frutos congelados, nos van a pasar cotizaciones para propuesta. Están interesados en escuchar al equipo de factoraje ya que le venden a Soriana y Waltmart, se busca reunión siguiente semana con ellos y Toño.</t>
  </si>
  <si>
    <t>Video C.
Con Flor V.
Seguimientos a NDA de ENGEN.
Estatus de engrega de NDA de TIP,
Conversamos sobre el esquema que estaremos manejando, cual es la razon por la cual existen dos entidades (ENGEN Y TIP) y que tratamiento interno deberia estar dando KUO.</t>
  </si>
  <si>
    <t>- Reunión con contador, El director/socio de la empresa Francisco Escalante tuvo que ausentarse por un asunto familia.
	- Empresa dedica a la producción y comercialización de productos del campo, siendo el principal el huevo de mesa seleccionado, cerdo en pie y ganado bovino.
	- Ventas 2025 $355 mdp.
	- Trabaja con BBVA, Santander y Bajio.
	- Oportunidad de inversión por aprox 15 mdp para paneles solares.
	- No se abordaron más temas ya que el contador sólo tenía la instrucción de platicarnos del proyecto que tienen necesidad puntual, quedamos en coordinar llamada próxima semana con el Director para explorar más oportunidades.</t>
  </si>
  <si>
    <t>Etesla</t>
  </si>
  <si>
    <t>Platicamos con Daniel Ortíz, director y dueño de ETESLA, de momento no planean hacer inversiones en posibles vehículos utilitarios, sin embargo, nos referenció un cliente que está por realizar una inversión en un proyecto de almacenamiento de energía.</t>
  </si>
  <si>
    <t>Aislamientos Y Forros Industriales</t>
  </si>
  <si>
    <t>Se platicó con la empresa, se dedican principalmente para aislantes en proyectos para las empresas, si venden de forma recurrente pero no cumple con el mínimo, los que cumplen llegan a ser proyectos, no les agradó la idea de que se tiene que otorgar un token, lo que comentan es que son muy cerrados y que solo la administradora tiene acceso al token, por lo que factoraje no lo ven viable, de arrendamiento sería por vehículos, compran entre 4 o 5 carros al año para los vendedores</t>
  </si>
  <si>
    <t>Se platicó con el contador, tienen proyectos para cambiarse a una nueva planta más grande, esto porque actualmente estan en dos y se cambiaran, ya se explicaron los beneficios del arrendamiento y del financiamiento con nosotros, estan interesados, sin embargo aún no cuentan con montos exactos</t>
  </si>
  <si>
    <t>Video C. EPIROC
Lunes 23 de Feb  3PM
Asistentes: Saul Aguilar &amp; Kenia M.
Revisamos solicitud de CAL, coordinación de tiempos de facturación y ajuste en cronogramas de entregas, la mayor parte de los equipos se movio de  Marzo a Mayo en adelante.
Se comprometieron a enviar las facturas esta semana.</t>
  </si>
  <si>
    <t>Reunión con equipo de importaciónes de Engen y MEM. Ademas de reunión con Maria y Mónica de MEM. Para retomar tema de línea de Fact. A proveedores y tasa para operar la línea aprobada.</t>
  </si>
  <si>
    <t>Agroservicios Nacionales</t>
  </si>
  <si>
    <t>Por contingencia se movió la reunión de presencial a videollamada, solo pudo estar el tesorero. Tienen necesidad de financiamiento de 1K camionetas para distribución en distintos estados. Podría existir oportunidad de refinanciamiento de líneas de corto plazo, necesario indagar que exista maquinaria suficiente. La visita presencial se pospuso para la siguiente semana para platicar más a detalle con DG.</t>
  </si>
  <si>
    <t>Areli Canche</t>
  </si>
  <si>
    <t>Jorge Estrada</t>
  </si>
  <si>
    <t>Quintana Roo</t>
  </si>
  <si>
    <t>SFAC0006089508</t>
  </si>
  <si>
    <t>SFAC0006073242</t>
  </si>
  <si>
    <t>SFAC0005706024</t>
  </si>
  <si>
    <t>SFAC0006110706</t>
  </si>
  <si>
    <t>SFAC0006103382</t>
  </si>
  <si>
    <t>1-52PEUP</t>
  </si>
  <si>
    <t>SFAC0006087378</t>
  </si>
  <si>
    <t>SFAC0006110023</t>
  </si>
  <si>
    <t>SFAC0006096575</t>
  </si>
  <si>
    <t>SFAC0006075787</t>
  </si>
  <si>
    <t>1-4WNQ-53</t>
  </si>
  <si>
    <t>SFAC0006058916</t>
  </si>
  <si>
    <t>SFAC0006110899</t>
  </si>
  <si>
    <t>SFAC0006006404</t>
  </si>
  <si>
    <t>SFAC0006083885</t>
  </si>
  <si>
    <t>1-3HYG-425</t>
  </si>
  <si>
    <t>SFAC0006110900</t>
  </si>
  <si>
    <t>SFAC0006059948</t>
  </si>
  <si>
    <t>SFAC0006005196</t>
  </si>
  <si>
    <t>SFAC0003767080</t>
  </si>
  <si>
    <t>SFAC0006110884</t>
  </si>
  <si>
    <t>SFAC0006001594</t>
  </si>
  <si>
    <t>SFAC0005644825</t>
  </si>
  <si>
    <t>SFAC0006110897</t>
  </si>
  <si>
    <t>1-3HZC-775</t>
  </si>
  <si>
    <t>SFAC0006030636</t>
  </si>
  <si>
    <t>SFAC0006024350</t>
  </si>
  <si>
    <t>SFAC0006026777</t>
  </si>
  <si>
    <t>SFAC0006034161</t>
  </si>
  <si>
    <t>SFAC0006075570</t>
  </si>
  <si>
    <t>1-1X-559</t>
  </si>
  <si>
    <t>SFAC0006018075</t>
  </si>
  <si>
    <t>SFAC0006056799</t>
  </si>
  <si>
    <t>SFAC0006021738</t>
  </si>
  <si>
    <t>SFAC0006087192</t>
  </si>
  <si>
    <t>SFAC0006110895</t>
  </si>
  <si>
    <t>SFAC0006020764</t>
  </si>
  <si>
    <t>1-5NHK-826</t>
  </si>
  <si>
    <t>SFAC0006110888</t>
  </si>
  <si>
    <t>SFAC0006110894</t>
  </si>
  <si>
    <t>SFAC0006072725</t>
  </si>
  <si>
    <t>SFAC0006110350</t>
  </si>
  <si>
    <t>SFAC0002806265</t>
  </si>
  <si>
    <t>SFAC0006074357</t>
  </si>
  <si>
    <t>SFAC0006072621</t>
  </si>
  <si>
    <t>SFAC0006054810</t>
  </si>
  <si>
    <t>SFAC0006084308</t>
  </si>
  <si>
    <t>SFAC0006088894</t>
  </si>
  <si>
    <t>SFAC0006044982</t>
  </si>
  <si>
    <t>1-EQA5LF</t>
  </si>
  <si>
    <t>SFAC0006037831</t>
  </si>
  <si>
    <t>SFAC0006110835</t>
  </si>
  <si>
    <t>SFAC0006027147</t>
  </si>
  <si>
    <t>SFAC0006027027</t>
  </si>
  <si>
    <t>SFAC0003459768</t>
  </si>
  <si>
    <t>SFAC0005578380</t>
  </si>
  <si>
    <t>Dormant*</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</si>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</sst>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quot;$&quot;#,##0.0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rgb="FF181818"/>
      <name val="Segoe UI"/>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00000"/>
        <bgColor indexed="64"/>
      </patternFill>
    </fill>
    <fill>
      <patternFill patternType="solid">
        <fgColor theme="4"/>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9">
    <xf numFmtId="0" fontId="0" fillId="0" borderId="0" xfId="0"/>
    <xf numFmtId="14" fontId="0" fillId="0" borderId="0" xfId="0" applyNumberFormat="1"/>
    <xf numFmtId="0" fontId="17" fillId="33" borderId="0" xfId="0" applyFont="1" applyFill="1"/>
    <xf numFmtId="0" fontId="17" fillId="33" borderId="0" xfId="0" applyFont="1" applyFill="1" applyAlignment="1">
      <alignment vertical="center"/>
    </xf>
    <xf numFmtId="0" fontId="1" fillId="0" borderId="0" xfId="0" applyFont="1"/>
    <xf numFmtId="0" fontId="0" fillId="0" borderId="10" xfId="0" applyBorder="1"/>
    <xf numFmtId="0" fontId="0" fillId="34" borderId="10" xfId="0" applyFill="1" applyBorder="1"/>
    <xf numFmtId="43" fontId="0" fillId="34" borderId="11" xfId="0" applyNumberFormat="1" applyFill="1" applyBorder="1"/>
    <xf numFmtId="0" fontId="0" fillId="34" borderId="0" xfId="0" applyFill="1"/>
    <xf numFmtId="0" fontId="0" fillId="0" borderId="11" xfId="0" applyBorder="1"/>
    <xf numFmtId="0" fontId="0" fillId="33" borderId="0" xfId="0" applyFill="1"/>
    <xf numFmtId="0" fontId="0" fillId="37" borderId="10" xfId="0" applyFill="1" applyBorder="1"/>
    <xf numFmtId="0" fontId="0" fillId="38" borderId="10" xfId="0" applyFill="1" applyBorder="1"/>
    <xf numFmtId="0" fontId="0" fillId="36" borderId="10" xfId="0" applyFill="1" applyBorder="1"/>
    <xf numFmtId="0" fontId="0" fillId="36" borderId="11" xfId="0" applyFill="1" applyBorder="1"/>
    <xf numFmtId="0" fontId="0" fillId="39" borderId="10" xfId="0" applyFill="1" applyBorder="1"/>
    <xf numFmtId="164" fontId="0" fillId="0" borderId="11" xfId="42" applyNumberFormat="1" applyFont="1" applyFill="1" applyBorder="1"/>
    <xf numFmtId="0" fontId="0" fillId="37" borderId="0" xfId="0" applyFill="1"/>
    <xf numFmtId="0" fontId="0" fillId="0" borderId="12" xfId="0" applyBorder="1"/>
    <xf numFmtId="44" fontId="0" fillId="0" borderId="0" xfId="43" applyFont="1"/>
    <xf numFmtId="4" fontId="19" fillId="0" borderId="0" xfId="0" applyNumberFormat="1" applyFont="1"/>
    <xf numFmtId="49" fontId="0" fillId="0" borderId="0" xfId="0" applyNumberFormat="1"/>
    <xf numFmtId="0" fontId="0" fillId="35" borderId="0" xfId="0" applyFill="1"/>
    <xf numFmtId="0" fontId="0" fillId="40" borderId="0" xfId="0" applyFill="1"/>
    <xf numFmtId="0" fontId="0" fillId="41" borderId="0" xfId="0" applyFill="1"/>
    <xf numFmtId="14" fontId="0" fillId="42" borderId="0" xfId="0" applyNumberFormat="1" applyFill="1"/>
    <xf numFmtId="0" fontId="0" fillId="42" borderId="0" xfId="0" applyFill="1"/>
    <xf numFmtId="166" fontId="0" fillId="0" borderId="0" xfId="42" applyNumberFormat="1" applyFont="1"/>
    <xf numFmtId="166" fontId="19" fillId="0" borderId="0" xfId="42" applyNumberFormat="1" applyFont="1"/>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Moneda" xfId="43" builtinId="4"/>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0">
    <dxf>
      <font>
        <b val="0"/>
        <i val="0"/>
        <strike val="0"/>
        <condense val="0"/>
        <extend val="0"/>
        <outline val="0"/>
        <shadow val="0"/>
        <u val="none"/>
        <vertAlign val="baseline"/>
        <sz val="11"/>
        <color theme="1"/>
        <name val="Calibri"/>
        <family val="2"/>
        <scheme val="minor"/>
      </font>
      <numFmt numFmtId="166" formatCode="_-* #,##0_-;\-* #,##0_-;_-* &quot;-&quot;??_-;_-@_-"/>
    </dxf>
    <dxf>
      <font>
        <color rgb="FFFF0000"/>
      </font>
    </dxf>
    <dxf>
      <font>
        <color rgb="FFFF0000"/>
      </font>
    </dxf>
    <dxf>
      <font>
        <color rgb="FFC00000"/>
      </font>
    </dxf>
    <dxf>
      <font>
        <color rgb="FF9C0006"/>
      </font>
      <fill>
        <patternFill>
          <bgColor rgb="FFFFC7CE"/>
        </patternFill>
      </fill>
    </dxf>
    <dxf>
      <font>
        <color rgb="FFFF0000"/>
      </font>
    </dxf>
    <dxf>
      <font>
        <color rgb="FFC00000"/>
      </font>
    </dxf>
    <dxf>
      <font>
        <color rgb="FF9C0006"/>
      </font>
      <fill>
        <patternFill>
          <bgColor rgb="FFFFC7CE"/>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19" formatCode="dd/mm/yyyy"/>
    </dxf>
    <dxf>
      <font>
        <b val="0"/>
        <i val="0"/>
        <strike val="0"/>
        <condense val="0"/>
        <extend val="0"/>
        <outline val="0"/>
        <shadow val="0"/>
        <u val="none"/>
        <vertAlign val="baseline"/>
        <sz val="11"/>
        <color theme="1"/>
        <name val="Calibri"/>
        <family val="2"/>
        <scheme val="minor"/>
      </font>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fill>
        <patternFill patternType="solid">
          <fgColor indexed="64"/>
          <bgColor rgb="FFFFFF00"/>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fill>
        <patternFill patternType="solid">
          <fgColor indexed="64"/>
          <bgColor rgb="FFFFFF00"/>
        </patternFill>
      </fil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fill>
        <patternFill patternType="solid">
          <fgColor indexed="64"/>
          <bgColor rgb="FFFFFF00"/>
        </patternFill>
      </fill>
      <alignment horizontal="general" vertical="bottom" textRotation="0" wrapText="0" indent="0" justifyLastLine="0" shrinkToFit="0" readingOrder="0"/>
    </dxf>
    <dxf>
      <numFmt numFmtId="19" formatCode="dd/mm/yyyy"/>
      <fill>
        <patternFill patternType="solid">
          <fgColor indexed="64"/>
          <bgColor rgb="FFFFFF00"/>
        </patternFill>
      </fill>
      <alignment horizontal="general" vertical="bottom" textRotation="0" wrapText="0" indent="0" justifyLastLine="0" shrinkToFit="0" readingOrder="0"/>
    </dxf>
    <dxf>
      <numFmt numFmtId="0" formatCode="General"/>
      <fill>
        <patternFill patternType="solid">
          <fgColor indexed="64"/>
          <bgColor rgb="FFFFFF00"/>
        </patternFill>
      </fill>
      <alignment horizontal="general" vertical="bottom" textRotation="0" wrapText="0" indent="0" justifyLastLine="0" shrinkToFit="0" readingOrder="0"/>
    </dxf>
    <dxf>
      <numFmt numFmtId="19" formatCode="dd/mm/yyyy"/>
      <fill>
        <patternFill patternType="solid">
          <fgColor indexed="64"/>
          <bgColor rgb="FFFFFF00"/>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9" formatCode="dd/mm/yyyy"/>
      <fill>
        <patternFill patternType="solid">
          <fgColor indexed="64"/>
          <bgColor rgb="FFFFFF00"/>
        </patternFill>
      </fil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113</xdr:row>
      <xdr:rowOff>0</xdr:rowOff>
    </xdr:from>
    <xdr:to>
      <xdr:col>2</xdr:col>
      <xdr:colOff>304800</xdr:colOff>
      <xdr:row>129</xdr:row>
      <xdr:rowOff>130177</xdr:rowOff>
    </xdr:to>
    <xdr:sp macro="" textlink="">
      <xdr:nvSpPr>
        <xdr:cNvPr id="1025" name="AutoShape 1" descr="User">
          <a:extLst>
            <a:ext uri="{FF2B5EF4-FFF2-40B4-BE49-F238E27FC236}">
              <a16:creationId xmlns:a16="http://schemas.microsoft.com/office/drawing/2014/main" id="{2D217A3E-309B-04E9-0F2F-6B023F3C2621}"/>
            </a:ext>
          </a:extLst>
        </xdr:cNvPr>
        <xdr:cNvSpPr>
          <a:spLocks noChangeAspect="1" noChangeArrowheads="1"/>
        </xdr:cNvSpPr>
      </xdr:nvSpPr>
      <xdr:spPr bwMode="auto">
        <a:xfrm>
          <a:off x="1098550" y="2412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38">
    <queryTableFields count="33">
      <queryTableField id="1" name="Opportunity Currency" tableColumnId="1"/>
      <queryTableField id="2" name="EXT_REF_ID" tableColumnId="2"/>
      <queryTableField id="3" name="Region" tableColumnId="3"/>
      <queryTableField id="4" name="Target Market" tableColumnId="4"/>
      <queryTableField id="5" name="Account Legal Name" tableColumnId="5"/>
      <queryTableField id="6" name="Inside Sales Owner" tableColumnId="6"/>
      <queryTableField id="7" name="Opportunity Owner" tableColumnId="7"/>
      <queryTableField id="8" name="Opportunity Name" tableColumnId="8"/>
      <queryTableField id="9" name="Amount (converted).amount" tableColumnId="9"/>
      <queryTableField id="10" name="Amount (converted).currency" tableColumnId="10"/>
      <queryTableField id="11" name="Required Book Yield to Win" tableColumnId="11"/>
      <queryTableField id="12" name="Reason Lost - Level 1" tableColumnId="12"/>
      <queryTableField id="13" name="Reason Lost - Level 3" tableColumnId="13"/>
      <queryTableField id="14" name="Competitor" tableColumnId="14"/>
      <queryTableField id="15" name="Competitor Product" tableColumnId="15"/>
      <queryTableField id="16" name="Competitor Rate Type" tableColumnId="16"/>
      <queryTableField id="17" name="Competitor Term (Months)" tableColumnId="17"/>
      <queryTableField id="31" name="Amount Converted MXN" tableColumnId="31"/>
      <queryTableField id="18" name="Lost Comments" tableColumnId="18"/>
      <queryTableField id="19" name="Line of Business" tableColumnId="19"/>
      <queryTableField id="20" name="Stage" tableColumnId="20"/>
      <queryTableField id="21" name="Collateral" tableColumnId="21"/>
      <queryTableField id="22" name="Insurance Type" tableColumnId="22"/>
      <queryTableField id="23" name="Deal Category" tableColumnId="23"/>
      <queryTableField id="24" name="Financing Need" tableColumnId="24"/>
      <queryTableField id="25" name="Product" tableColumnId="25"/>
      <queryTableField id="26" name="Lost Date Q" tableColumnId="26"/>
      <queryTableField id="27" name="Opportunity Identified Date" tableColumnId="27"/>
      <queryTableField id="28" name="Target Market2" tableColumnId="28"/>
      <queryTableField id="29" name="Indirect Opportunity?" tableColumnId="29"/>
      <queryTableField id="30" name="Opportunity from Broker?" tableColumnId="30"/>
      <queryTableField id="36" name="Billing State/Province" tableColumnId="34"/>
      <queryTableField id="37" name="SIC Industry" tableColumnId="3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1:X128" totalsRowShown="0" headerRowDxfId="49" dataDxfId="48" totalsRowDxfId="47">
  <autoFilter ref="C1:X128" xr:uid="{00000000-000C-0000-FFFF-FFFF00000000}">
    <filterColumn colId="0">
      <filters>
        <filter val="LMM 1"/>
        <filter val="LMM 3"/>
        <filter val="LMM 4"/>
        <filter val="LMM 5"/>
      </filters>
    </filterColumn>
    <filterColumn colId="8">
      <filters>
        <filter val="New New"/>
      </filters>
    </filterColumn>
    <filterColumn colId="13">
      <filters blank="1">
        <filter val="Dormant*"/>
        <filter val="Lost"/>
        <filter val="Prospect"/>
      </filters>
    </filterColumn>
    <filterColumn colId="17">
      <filters>
        <filter val="Si"/>
      </filters>
    </filterColumn>
  </autoFilter>
  <sortState xmlns:xlrd2="http://schemas.microsoft.com/office/spreadsheetml/2017/richdata2" ref="C64:X87">
    <sortCondition ref="D1:D128"/>
  </sortState>
  <tableColumns count="22">
    <tableColumn id="1" xr3:uid="{00000000-0010-0000-0000-000001000000}" name="Region" dataDxfId="46">
      <calculatedColumnFormula>VLOOKUP(D2,Diccionario!A:B,2,0)</calculatedColumnFormula>
    </tableColumn>
    <tableColumn id="2" xr3:uid="{00000000-0010-0000-0000-000002000000}" name="Owner Name" dataDxfId="45"/>
    <tableColumn id="3" xr3:uid="{00000000-0010-0000-0000-000003000000}" name="Subject" dataDxfId="44"/>
    <tableColumn id="4" xr3:uid="{00000000-0010-0000-0000-000004000000}" name="Account Legal Name" dataDxfId="43"/>
    <tableColumn id="5" xr3:uid="{00000000-0010-0000-0000-000005000000}" name="Top Parent Account" dataDxfId="42"/>
    <tableColumn id="6" xr3:uid="{00000000-0010-0000-0000-000006000000}" name="Date" dataDxfId="41"/>
    <tableColumn id="7" xr3:uid="{00000000-0010-0000-0000-000007000000}" name="Comments" dataDxfId="40"/>
    <tableColumn id="8" xr3:uid="{00000000-0010-0000-0000-000008000000}" name="Top Parent" dataDxfId="39">
      <calculatedColumnFormula>IF(G2="",F2,G2)</calculatedColumnFormula>
    </tableColumn>
    <tableColumn id="9" xr3:uid="{00000000-0010-0000-0000-000009000000}" name="New New" dataDxfId="38">
      <calculatedColumnFormula>IFERROR(VLOOKUP(Table1[[#This Row],[Top Parent]],'1.- Citas sin this week'!G:G,1,0),"New New")</calculatedColumnFormula>
    </tableColumn>
    <tableColumn id="11" xr3:uid="{2439228E-2DD4-4C96-A8B8-2B993A7714D6}" name="Last Date" dataDxfId="37">
      <calculatedColumnFormula>_xlfn.XLOOKUP(Table1[[#This Row],[Top Parent]],Table3[Top Parent],Table3[Date])</calculatedColumnFormula>
    </tableColumn>
    <tableColumn id="12" xr3:uid="{7E77BEDC-84C3-4661-A6B6-5C149BE3A96F}" name="Diferencia de dias" dataDxfId="36">
      <calculatedColumnFormula>Table1[[#This Row],[Date]]-Table1[[#This Row],[Last Date]]</calculatedColumnFormula>
    </tableColumn>
    <tableColumn id="10" xr3:uid="{24F0EACD-4D2D-4F84-BB8B-2CACF7AB74DD}" name="Last Owner" dataDxfId="35">
      <calculatedColumnFormula>_xlfn.XLOOKUP(Table1[[#This Row],[Top Parent]],Table3[Top Parent],Table3[Owner Name])</calculatedColumnFormula>
    </tableColumn>
    <tableColumn id="16" xr3:uid="{22B5FEE4-3046-4345-B657-B3DFB829A3E9}" name="Last Región" dataDxfId="34"/>
    <tableColumn id="14" xr3:uid="{05F16C11-5E6A-488C-A450-9F26AEC440BC}" name="Account status" dataDxfId="33"/>
    <tableColumn id="13" xr3:uid="{38C4C19B-DBB4-4911-9B9E-499ADAB801A0}" name="Validación Owner" dataDxfId="32">
      <calculatedColumnFormula>IF(Table1[[#This Row],[Last Owner]]=Table1[[#This Row],[Owner Name]],"No","Si")</calculatedColumnFormula>
    </tableColumn>
    <tableColumn id="15" xr3:uid="{F53EE3BE-7F46-45B7-A2A5-1A6A440634F9}" name="Tiempo" dataDxfId="31">
      <calculatedColumnFormula>IF(Table1[[#This Row],[Diferencia de dias]]&gt;182,"Si","No")</calculatedColumnFormula>
    </tableColumn>
    <tableColumn id="18" xr3:uid="{38029E0E-4969-419E-86BF-7867585F164D}" name="Owner de la cuenta" dataDxfId="30"/>
    <tableColumn id="20" xr3:uid="{2F213BEC-164D-4C60-BE64-5BEC83E27EE0}" name="Validación Owner-Cuenta-Cita" dataDxfId="29">
      <calculatedColumnFormula>IF(Table1[[#This Row],[Owner de la cuenta]]=Table1[[#This Row],[Owner Name]],"Si","No")</calculatedColumnFormula>
    </tableColumn>
    <tableColumn id="19" xr3:uid="{12C869B0-70F5-45D8-9CA4-6EE7534CF97A}" name="Estado" dataDxfId="28" totalsRowDxfId="27"/>
    <tableColumn id="17" xr3:uid="{A6E9264C-0DFD-4A6B-A3DF-2467C45AEAB0}" name="EXT_REF_ID" dataDxfId="26" totalsRowDxfId="25"/>
    <tableColumn id="21" xr3:uid="{2EA83B82-B903-47F6-B94A-84E462BBC765}" name="Total exposure" dataDxfId="24" totalsRowDxfId="23"/>
    <tableColumn id="22" xr3:uid="{8D6ED07C-BAFD-46CC-ADAA-7D7ED674354C}" name="Industry" dataDxfId="22" totalsRow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C674F8-3B51-4A95-B085-EA8DDBB2441E}" name="Table3" displayName="Table3" ref="A1:H6785" totalsRowShown="0" dataDxfId="20">
  <autoFilter ref="A1:H6785" xr:uid="{92C674F8-3B51-4A95-B085-EA8DDBB2441E}"/>
  <tableColumns count="8">
    <tableColumn id="1" xr3:uid="{5642A842-DF75-4DE4-BA35-6166D33918EE}" name="Region" dataDxfId="19"/>
    <tableColumn id="2" xr3:uid="{D1A1CFE8-F628-45D9-BB5D-D989318F84F5}" name="Owner Name" dataDxfId="18"/>
    <tableColumn id="3" xr3:uid="{AA348F49-70A3-490D-A9E9-7F16D4E993A2}" name="Subject" dataDxfId="17"/>
    <tableColumn id="4" xr3:uid="{626D68E5-145D-4457-B3CA-95A76D8D0CAF}" name="Account Legal Name" dataDxfId="16"/>
    <tableColumn id="5" xr3:uid="{98F1449E-62A8-4CF7-9DF8-55A4997A4E7F}" name="Top Parent Account" dataDxfId="15"/>
    <tableColumn id="6" xr3:uid="{E214205A-6BFD-4A3D-848A-6AEF1763400E}" name="Date" dataDxfId="14"/>
    <tableColumn id="8" xr3:uid="{F98688BF-8318-48DA-8BDD-D687CE0131E5}" name="Top Parent" dataDxfId="13">
      <calculatedColumnFormula>IF(Table3[[#This Row],[Top Parent Account]]="",Table3[[#This Row],[Account Legal Name]],Table3[[#This Row],[Top Parent Account]])</calculatedColumnFormula>
    </tableColumn>
    <tableColumn id="7" xr3:uid="{0E82F0A5-E8A7-4EDD-AC0E-06C737FAE9C4}" name="Account Statu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pps_creadas_por_semana_this_week" displayName="Opps_creadas_por_semana_this_week" ref="A1:AG53" tableType="queryTable" totalsRowShown="0">
  <autoFilter ref="A1:AG53" xr:uid="{00000000-000C-0000-FFFF-FFFF01000000}">
    <filterColumn colId="2">
      <filters>
        <filter val="LMM 1"/>
        <filter val="LMM 3"/>
        <filter val="LMM 4"/>
        <filter val="LMM 5"/>
      </filters>
    </filterColumn>
  </autoFilter>
  <sortState xmlns:xlrd2="http://schemas.microsoft.com/office/spreadsheetml/2017/richdata2" ref="A7:AG31">
    <sortCondition ref="C1:C53"/>
  </sortState>
  <tableColumns count="33">
    <tableColumn id="1" xr3:uid="{00000000-0010-0000-0100-000001000000}" uniqueName="1" name="Opportunity Currency" queryTableFieldId="1"/>
    <tableColumn id="2" xr3:uid="{00000000-0010-0000-0100-000002000000}" uniqueName="2" name="EXT_REF_ID" queryTableFieldId="2"/>
    <tableColumn id="3" xr3:uid="{00000000-0010-0000-0100-000003000000}" uniqueName="3" name="Region" queryTableFieldId="3"/>
    <tableColumn id="4" xr3:uid="{00000000-0010-0000-0100-000004000000}" uniqueName="4" name="Target Market" queryTableFieldId="4"/>
    <tableColumn id="5" xr3:uid="{00000000-0010-0000-0100-000005000000}" uniqueName="5" name="Account Legal Name" queryTableFieldId="5"/>
    <tableColumn id="6" xr3:uid="{00000000-0010-0000-0100-000006000000}" uniqueName="6" name="Inside Sales Owner" queryTableFieldId="6"/>
    <tableColumn id="7" xr3:uid="{00000000-0010-0000-0100-000007000000}" uniqueName="7" name="Opportunity Owner" queryTableFieldId="7"/>
    <tableColumn id="8" xr3:uid="{00000000-0010-0000-0100-000008000000}" uniqueName="8" name="Opportunity Name" queryTableFieldId="8"/>
    <tableColumn id="9" xr3:uid="{00000000-0010-0000-0100-000009000000}" uniqueName="9" name="Amount (converted).amount" queryTableFieldId="9" dataDxfId="0" dataCellStyle="Millares"/>
    <tableColumn id="10" xr3:uid="{00000000-0010-0000-0100-00000A000000}" uniqueName="10" name="Amount (converted).currency" queryTableFieldId="10"/>
    <tableColumn id="11" xr3:uid="{00000000-0010-0000-0100-00000B000000}" uniqueName="11" name="Required Book Yield to Win" queryTableFieldId="11"/>
    <tableColumn id="12" xr3:uid="{00000000-0010-0000-0100-00000C000000}" uniqueName="12" name="Reason Lost - Level 1" queryTableFieldId="12"/>
    <tableColumn id="13" xr3:uid="{00000000-0010-0000-0100-00000D000000}" uniqueName="13" name="Reason Lost - Level 3" queryTableFieldId="13"/>
    <tableColumn id="14" xr3:uid="{00000000-0010-0000-0100-00000E000000}" uniqueName="14" name="Competitor" queryTableFieldId="14"/>
    <tableColumn id="15" xr3:uid="{00000000-0010-0000-0100-00000F000000}" uniqueName="15" name="Competitor Product" queryTableFieldId="15"/>
    <tableColumn id="16" xr3:uid="{00000000-0010-0000-0100-000010000000}" uniqueName="16" name="Competitor Rate Type" queryTableFieldId="16"/>
    <tableColumn id="17" xr3:uid="{00000000-0010-0000-0100-000011000000}" uniqueName="17" name="Competitor Term (Months)" queryTableFieldId="17"/>
    <tableColumn id="31" xr3:uid="{1CAF325C-3D9F-4E5E-AF68-8472520BF68F}" uniqueName="31" name="Amount Converted MXN" queryTableFieldId="31" dataDxfId="11" dataCellStyle="Moneda"/>
    <tableColumn id="18" xr3:uid="{00000000-0010-0000-0100-000012000000}" uniqueName="18" name="Lost Comments" queryTableFieldId="18"/>
    <tableColumn id="19" xr3:uid="{00000000-0010-0000-0100-000013000000}" uniqueName="19" name="Line of Business" queryTableFieldId="19"/>
    <tableColumn id="20" xr3:uid="{00000000-0010-0000-0100-000014000000}" uniqueName="20" name="Stage" queryTableFieldId="20"/>
    <tableColumn id="21" xr3:uid="{00000000-0010-0000-0100-000015000000}" uniqueName="21" name="Collateral" queryTableFieldId="21"/>
    <tableColumn id="22" xr3:uid="{00000000-0010-0000-0100-000016000000}" uniqueName="22" name="Insurance Type" queryTableFieldId="22"/>
    <tableColumn id="23" xr3:uid="{00000000-0010-0000-0100-000017000000}" uniqueName="23" name="Deal Category" queryTableFieldId="23"/>
    <tableColumn id="24" xr3:uid="{00000000-0010-0000-0100-000018000000}" uniqueName="24" name="Financing Need" queryTableFieldId="24"/>
    <tableColumn id="25" xr3:uid="{00000000-0010-0000-0100-000019000000}" uniqueName="25" name="Product" queryTableFieldId="25"/>
    <tableColumn id="26" xr3:uid="{00000000-0010-0000-0100-00001A000000}" uniqueName="26" name="Lost Date Q" queryTableFieldId="26"/>
    <tableColumn id="27" xr3:uid="{00000000-0010-0000-0100-00001B000000}" uniqueName="27" name="Opportunity Identified Date" queryTableFieldId="27" dataDxfId="10"/>
    <tableColumn id="28" xr3:uid="{00000000-0010-0000-0100-00001C000000}" uniqueName="28" name="Target Market2" queryTableFieldId="28"/>
    <tableColumn id="29" xr3:uid="{2C89937C-0D10-45CC-8833-6481AF625C81}" uniqueName="29" name="Indirect Opportunity?" queryTableFieldId="29"/>
    <tableColumn id="30" xr3:uid="{49DFE714-4B28-4A40-900F-B9B237BCDC01}" uniqueName="30" name="Opportunity from Broker?" queryTableFieldId="30"/>
    <tableColumn id="34" xr3:uid="{D8B61609-3306-493E-A723-15ABB83C6911}" uniqueName="34" name="Billing State/Province" queryTableFieldId="36" dataDxfId="9"/>
    <tableColumn id="35" xr3:uid="{2C17CC2E-2BB3-4537-8B2A-3943E9EC2B22}" uniqueName="35" name="SIC Industry" queryTableFieldId="37" dataDxfId="8"/>
  </tableColumns>
  <tableStyleInfo name="TableStyleMedium7"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28"/>
  <sheetViews>
    <sheetView showGridLines="0" tabSelected="1" topLeftCell="C1" zoomScale="83" zoomScaleNormal="85" workbookViewId="0">
      <selection activeCell="D38" sqref="D38"/>
    </sheetView>
  </sheetViews>
  <sheetFormatPr baseColWidth="10" defaultColWidth="9.1796875" defaultRowHeight="14.5" x14ac:dyDescent="0.35"/>
  <cols>
    <col min="1" max="1" width="15.7265625" hidden="1" customWidth="1"/>
    <col min="2" max="2" width="20.26953125" hidden="1" customWidth="1"/>
    <col min="3" max="3" width="11.7265625" customWidth="1"/>
    <col min="4" max="4" width="21.36328125" customWidth="1"/>
    <col min="5" max="5" width="17.54296875" customWidth="1"/>
    <col min="6" max="6" width="14.26953125" customWidth="1"/>
    <col min="7" max="7" width="7.08984375" customWidth="1"/>
    <col min="8" max="8" width="14.453125" customWidth="1"/>
    <col min="9" max="9" width="30.90625" customWidth="1"/>
    <col min="10" max="10" width="18.26953125" style="1" hidden="1" customWidth="1"/>
    <col min="11" max="11" width="16.26953125" hidden="1" customWidth="1"/>
    <col min="12" max="13" width="19.26953125" hidden="1" customWidth="1"/>
    <col min="14" max="14" width="16" hidden="1" customWidth="1"/>
    <col min="15" max="15" width="22.26953125" hidden="1" customWidth="1"/>
    <col min="16" max="16" width="23.26953125" hidden="1" customWidth="1"/>
    <col min="17" max="17" width="27.7265625" hidden="1" customWidth="1"/>
    <col min="18" max="18" width="9.1796875" hidden="1" customWidth="1"/>
    <col min="19" max="19" width="16.1796875" hidden="1" customWidth="1"/>
    <col min="20" max="20" width="15.81640625" hidden="1" customWidth="1"/>
    <col min="21" max="21" width="23" customWidth="1"/>
    <col min="22" max="23" width="9.1796875" hidden="1" customWidth="1"/>
    <col min="24" max="24" width="10.81640625" customWidth="1"/>
  </cols>
  <sheetData>
    <row r="1" spans="3:24" x14ac:dyDescent="0.35">
      <c r="C1" s="22" t="s">
        <v>0</v>
      </c>
      <c r="D1" t="s">
        <v>1</v>
      </c>
      <c r="E1" t="s">
        <v>2</v>
      </c>
      <c r="F1" t="s">
        <v>3</v>
      </c>
      <c r="G1" t="s">
        <v>4</v>
      </c>
      <c r="H1" t="s">
        <v>5</v>
      </c>
      <c r="I1" t="s">
        <v>194</v>
      </c>
      <c r="J1" s="22" t="s">
        <v>126</v>
      </c>
      <c r="K1" t="s">
        <v>804</v>
      </c>
      <c r="L1" t="s">
        <v>2863</v>
      </c>
      <c r="M1" t="s">
        <v>2862</v>
      </c>
      <c r="N1" t="s">
        <v>2861</v>
      </c>
      <c r="O1" t="s">
        <v>2860</v>
      </c>
      <c r="P1" t="s">
        <v>404</v>
      </c>
      <c r="Q1" s="23" t="s">
        <v>2605</v>
      </c>
      <c r="R1" s="23" t="s">
        <v>2606</v>
      </c>
      <c r="S1" s="24" t="s">
        <v>916</v>
      </c>
      <c r="T1" s="23" t="s">
        <v>917</v>
      </c>
      <c r="U1" t="s">
        <v>1130</v>
      </c>
      <c r="V1" t="s">
        <v>134</v>
      </c>
      <c r="W1" t="s">
        <v>4870</v>
      </c>
      <c r="X1" t="s">
        <v>5107</v>
      </c>
    </row>
    <row r="2" spans="3:24" hidden="1" x14ac:dyDescent="0.35">
      <c r="C2" t="str">
        <f>VLOOKUP(D2,Diccionario!A:B,2,0)</f>
        <v>Estructurados Core</v>
      </c>
      <c r="D2" t="s">
        <v>1899</v>
      </c>
      <c r="E2" t="s">
        <v>6</v>
      </c>
      <c r="F2" t="s">
        <v>5488</v>
      </c>
      <c r="H2" s="1">
        <v>46078</v>
      </c>
      <c r="I2" t="s">
        <v>5489</v>
      </c>
      <c r="J2" t="str">
        <f t="shared" ref="J2:J33" si="0">IF(G2="",F2,G2)</f>
        <v>Omnibus Unidos Regiomontanos</v>
      </c>
      <c r="K2" t="str">
        <f>IFERROR(VLOOKUP(Table1[[#This Row],[Top Parent]],'1.- Citas sin this week'!G:G,1,0),"New New")</f>
        <v>New New</v>
      </c>
      <c r="L2" s="25" t="e">
        <f>_xlfn.XLOOKUP(Table1[[#This Row],[Top Parent]],Table3[Top Parent],Table3[Date])</f>
        <v>#N/A</v>
      </c>
      <c r="M2" s="26" t="e">
        <f>Table1[[#This Row],[Date]]-Table1[[#This Row],[Last Date]]</f>
        <v>#N/A</v>
      </c>
      <c r="N2" s="25" t="e">
        <f>_xlfn.XLOOKUP(Table1[[#This Row],[Top Parent]],Table3[Top Parent],Table3[Owner Name])</f>
        <v>#N/A</v>
      </c>
      <c r="O2" s="26"/>
      <c r="Q2" s="1" t="e">
        <f>IF(Table1[[#This Row],[Last Owner]]=Table1[[#This Row],[Owner Name]],"No","Si")</f>
        <v>#N/A</v>
      </c>
      <c r="R2" s="1" t="e">
        <f>IF(Table1[[#This Row],[Diferencia de dias]]&gt;182,"Si","No")</f>
        <v>#N/A</v>
      </c>
      <c r="S2" t="s">
        <v>1899</v>
      </c>
      <c r="T2" s="1" t="str">
        <f>IF(Table1[[#This Row],[Owner de la cuenta]]=Table1[[#This Row],[Owner Name]],"Si","No")</f>
        <v>Si</v>
      </c>
      <c r="U2" t="s">
        <v>1224</v>
      </c>
      <c r="V2" t="s">
        <v>5557</v>
      </c>
      <c r="X2" t="s">
        <v>4616</v>
      </c>
    </row>
    <row r="3" spans="3:24" hidden="1" x14ac:dyDescent="0.35">
      <c r="C3" t="str">
        <f>VLOOKUP(D3,Diccionario!A:B,2,0)</f>
        <v>Estructurados Core</v>
      </c>
      <c r="D3" t="s">
        <v>1899</v>
      </c>
      <c r="E3" t="s">
        <v>6</v>
      </c>
      <c r="F3" t="s">
        <v>5508</v>
      </c>
      <c r="H3" s="1">
        <v>46077</v>
      </c>
      <c r="I3" t="s">
        <v>5509</v>
      </c>
      <c r="J3" t="str">
        <f t="shared" si="0"/>
        <v>Aislamientos Y Forros Industriales</v>
      </c>
      <c r="K3" t="str">
        <f>IFERROR(VLOOKUP(Table1[[#This Row],[Top Parent]],'1.- Citas sin this week'!G:G,1,0),"New New")</f>
        <v>New New</v>
      </c>
      <c r="L3" s="25" t="e">
        <f>_xlfn.XLOOKUP(Table1[[#This Row],[Top Parent]],Table3[Top Parent],Table3[Date])</f>
        <v>#N/A</v>
      </c>
      <c r="M3" s="26" t="e">
        <f>Table1[[#This Row],[Date]]-Table1[[#This Row],[Last Date]]</f>
        <v>#N/A</v>
      </c>
      <c r="N3" s="25" t="e">
        <f>_xlfn.XLOOKUP(Table1[[#This Row],[Top Parent]],Table3[Top Parent],Table3[Owner Name])</f>
        <v>#N/A</v>
      </c>
      <c r="O3" s="26"/>
      <c r="P3" t="s">
        <v>403</v>
      </c>
      <c r="Q3" s="1" t="e">
        <f>IF(Table1[[#This Row],[Last Owner]]=Table1[[#This Row],[Owner Name]],"No","Si")</f>
        <v>#N/A</v>
      </c>
      <c r="R3" s="1" t="e">
        <f>IF(Table1[[#This Row],[Diferencia de dias]]&gt;182,"Si","No")</f>
        <v>#N/A</v>
      </c>
      <c r="S3" t="s">
        <v>1899</v>
      </c>
      <c r="T3" s="1" t="str">
        <f>IF(Table1[[#This Row],[Owner de la cuenta]]=Table1[[#This Row],[Owner Name]],"Si","No")</f>
        <v>Si</v>
      </c>
      <c r="U3" t="s">
        <v>1224</v>
      </c>
      <c r="V3" t="s">
        <v>5570</v>
      </c>
      <c r="X3" t="s">
        <v>4982</v>
      </c>
    </row>
    <row r="4" spans="3:24" hidden="1" x14ac:dyDescent="0.35">
      <c r="C4" t="str">
        <f>VLOOKUP(D4,Diccionario!A:B,2,0)</f>
        <v>México 1</v>
      </c>
      <c r="D4" t="s">
        <v>739</v>
      </c>
      <c r="E4" t="s">
        <v>33</v>
      </c>
      <c r="F4" t="s">
        <v>368</v>
      </c>
      <c r="H4" s="1">
        <v>46080</v>
      </c>
      <c r="I4" t="s">
        <v>5430</v>
      </c>
      <c r="J4" t="str">
        <f t="shared" si="0"/>
        <v>Centro Médico De Toluca</v>
      </c>
      <c r="K4" t="str">
        <f>IFERROR(VLOOKUP(Table1[[#This Row],[Top Parent]],'1.- Citas sin this week'!G:G,1,0),"New New")</f>
        <v>Centro Médico De Toluca</v>
      </c>
      <c r="L4" s="25">
        <f>_xlfn.XLOOKUP(Table1[[#This Row],[Top Parent]],Table3[Top Parent],Table3[Date])</f>
        <v>46072</v>
      </c>
      <c r="M4" s="26">
        <f>Table1[[#This Row],[Date]]-Table1[[#This Row],[Last Date]]</f>
        <v>8</v>
      </c>
      <c r="N4" s="25" t="str">
        <f>_xlfn.XLOOKUP(Table1[[#This Row],[Top Parent]],Table3[Top Parent],Table3[Owner Name])</f>
        <v>Kenia Martinez</v>
      </c>
      <c r="O4" s="26"/>
      <c r="P4" t="s">
        <v>4711</v>
      </c>
      <c r="Q4" s="1" t="str">
        <f>IF(Table1[[#This Row],[Last Owner]]=Table1[[#This Row],[Owner Name]],"No","Si")</f>
        <v>No</v>
      </c>
      <c r="R4" s="1" t="str">
        <f>IF(Table1[[#This Row],[Diferencia de dias]]&gt;182,"Si","No")</f>
        <v>No</v>
      </c>
      <c r="S4" t="s">
        <v>739</v>
      </c>
      <c r="T4" s="1" t="str">
        <f>IF(Table1[[#This Row],[Owner de la cuenta]]=Table1[[#This Row],[Owner Name]],"Si","No")</f>
        <v>Si</v>
      </c>
      <c r="U4" t="s">
        <v>1129</v>
      </c>
      <c r="V4" t="s">
        <v>5520</v>
      </c>
      <c r="W4">
        <v>18920957.899999999</v>
      </c>
      <c r="X4" t="s">
        <v>4663</v>
      </c>
    </row>
    <row r="5" spans="3:24" hidden="1" x14ac:dyDescent="0.35">
      <c r="C5" t="str">
        <f>VLOOKUP(D5,Diccionario!A:B,2,0)</f>
        <v>México 1</v>
      </c>
      <c r="D5" t="s">
        <v>739</v>
      </c>
      <c r="E5" t="s">
        <v>6</v>
      </c>
      <c r="F5" t="s">
        <v>5431</v>
      </c>
      <c r="H5" s="1">
        <v>46080</v>
      </c>
      <c r="I5" t="s">
        <v>5432</v>
      </c>
      <c r="J5" t="str">
        <f t="shared" si="0"/>
        <v>Orbia Advance Corporation</v>
      </c>
      <c r="K5" t="str">
        <f>IFERROR(VLOOKUP(Table1[[#This Row],[Top Parent]],'1.- Citas sin this week'!G:G,1,0),"New New")</f>
        <v>New New</v>
      </c>
      <c r="L5" s="25" t="e">
        <f>_xlfn.XLOOKUP(Table1[[#This Row],[Top Parent]],Table3[Top Parent],Table3[Date])</f>
        <v>#N/A</v>
      </c>
      <c r="M5" s="26" t="e">
        <f>Table1[[#This Row],[Date]]-Table1[[#This Row],[Last Date]]</f>
        <v>#N/A</v>
      </c>
      <c r="N5" s="25" t="e">
        <f>_xlfn.XLOOKUP(Table1[[#This Row],[Top Parent]],Table3[Top Parent],Table3[Owner Name])</f>
        <v>#N/A</v>
      </c>
      <c r="O5" s="26"/>
      <c r="P5" t="s">
        <v>403</v>
      </c>
      <c r="Q5" s="1" t="e">
        <f>IF(Table1[[#This Row],[Last Owner]]=Table1[[#This Row],[Owner Name]],"No","Si")</f>
        <v>#N/A</v>
      </c>
      <c r="R5" s="1" t="e">
        <f>IF(Table1[[#This Row],[Diferencia de dias]]&gt;182,"Si","No")</f>
        <v>#N/A</v>
      </c>
      <c r="S5" t="s">
        <v>5515</v>
      </c>
      <c r="T5" s="1" t="str">
        <f>IF(Table1[[#This Row],[Owner de la cuenta]]=Table1[[#This Row],[Owner Name]],"Si","No")</f>
        <v>No</v>
      </c>
      <c r="U5" t="s">
        <v>1223</v>
      </c>
      <c r="V5" t="s">
        <v>5521</v>
      </c>
      <c r="X5" t="s">
        <v>4991</v>
      </c>
    </row>
    <row r="6" spans="3:24" hidden="1" x14ac:dyDescent="0.35">
      <c r="C6" t="str">
        <f>VLOOKUP(D6,Diccionario!A:B,2,0)</f>
        <v>Guadalajara</v>
      </c>
      <c r="D6" t="s">
        <v>38</v>
      </c>
      <c r="E6" t="s">
        <v>6</v>
      </c>
      <c r="F6" t="s">
        <v>3750</v>
      </c>
      <c r="H6" s="1">
        <v>46080</v>
      </c>
      <c r="I6" t="s">
        <v>5433</v>
      </c>
      <c r="J6" t="str">
        <f t="shared" si="0"/>
        <v>Trabba Prefabricados Concretos</v>
      </c>
      <c r="K6" t="str">
        <f>IFERROR(VLOOKUP(Table1[[#This Row],[Top Parent]],'1.- Citas sin this week'!G:G,1,0),"New New")</f>
        <v>Trabba Prefabricados Concretos</v>
      </c>
      <c r="L6" s="25">
        <f>_xlfn.XLOOKUP(Table1[[#This Row],[Top Parent]],Table3[Top Parent],Table3[Date])</f>
        <v>45923</v>
      </c>
      <c r="M6" s="26">
        <f>Table1[[#This Row],[Date]]-Table1[[#This Row],[Last Date]]</f>
        <v>157</v>
      </c>
      <c r="N6" s="25" t="str">
        <f>_xlfn.XLOOKUP(Table1[[#This Row],[Top Parent]],Table3[Top Parent],Table3[Owner Name])</f>
        <v>Miguel Ortiz</v>
      </c>
      <c r="O6" s="26"/>
      <c r="P6" t="s">
        <v>403</v>
      </c>
      <c r="Q6" s="1" t="str">
        <f>IF(Table1[[#This Row],[Last Owner]]=Table1[[#This Row],[Owner Name]],"No","Si")</f>
        <v>No</v>
      </c>
      <c r="R6" s="1" t="str">
        <f>IF(Table1[[#This Row],[Diferencia de dias]]&gt;182,"Si","No")</f>
        <v>No</v>
      </c>
      <c r="S6" t="s">
        <v>38</v>
      </c>
      <c r="T6" s="1" t="str">
        <f>IF(Table1[[#This Row],[Owner de la cuenta]]=Table1[[#This Row],[Owner Name]],"Si","No")</f>
        <v>Si</v>
      </c>
      <c r="U6" t="s">
        <v>4716</v>
      </c>
      <c r="V6" t="s">
        <v>5522</v>
      </c>
      <c r="X6" t="s">
        <v>4984</v>
      </c>
    </row>
    <row r="7" spans="3:24" hidden="1" x14ac:dyDescent="0.35">
      <c r="C7" t="str">
        <f>VLOOKUP(D7,Diccionario!A:B,2,0)</f>
        <v>México 1</v>
      </c>
      <c r="D7" t="s">
        <v>970</v>
      </c>
      <c r="E7" t="s">
        <v>5434</v>
      </c>
      <c r="F7" t="s">
        <v>4705</v>
      </c>
      <c r="H7" s="1">
        <v>46080</v>
      </c>
      <c r="I7" t="s">
        <v>5435</v>
      </c>
      <c r="J7" t="str">
        <f t="shared" si="0"/>
        <v>Natura</v>
      </c>
      <c r="K7" t="str">
        <f>IFERROR(VLOOKUP(Table1[[#This Row],[Top Parent]],'1.- Citas sin this week'!G:G,1,0),"New New")</f>
        <v>Natura</v>
      </c>
      <c r="L7" s="25">
        <f>_xlfn.XLOOKUP(Table1[[#This Row],[Top Parent]],Table3[Top Parent],Table3[Date])</f>
        <v>46050</v>
      </c>
      <c r="M7" s="26">
        <f>Table1[[#This Row],[Date]]-Table1[[#This Row],[Last Date]]</f>
        <v>30</v>
      </c>
      <c r="N7" s="25" t="str">
        <f>_xlfn.XLOOKUP(Table1[[#This Row],[Top Parent]],Table3[Top Parent],Table3[Owner Name])</f>
        <v>Patricia Jurado</v>
      </c>
      <c r="O7" s="26"/>
      <c r="P7" t="s">
        <v>4711</v>
      </c>
      <c r="Q7" s="1" t="str">
        <f>IF(Table1[[#This Row],[Last Owner]]=Table1[[#This Row],[Owner Name]],"No","Si")</f>
        <v>No</v>
      </c>
      <c r="R7" s="1" t="str">
        <f>IF(Table1[[#This Row],[Diferencia de dias]]&gt;182,"Si","No")</f>
        <v>No</v>
      </c>
      <c r="S7" t="s">
        <v>970</v>
      </c>
      <c r="T7" s="1" t="str">
        <f>IF(Table1[[#This Row],[Owner de la cuenta]]=Table1[[#This Row],[Owner Name]],"Si","No")</f>
        <v>Si</v>
      </c>
      <c r="U7" t="s">
        <v>1223</v>
      </c>
      <c r="V7" t="s">
        <v>5523</v>
      </c>
      <c r="X7" t="s">
        <v>4989</v>
      </c>
    </row>
    <row r="8" spans="3:24" hidden="1" x14ac:dyDescent="0.35">
      <c r="C8" t="str">
        <f>VLOOKUP(D8,Diccionario!A:B,2,0)</f>
        <v>LMM 5</v>
      </c>
      <c r="D8" t="s">
        <v>207</v>
      </c>
      <c r="E8" t="s">
        <v>6</v>
      </c>
      <c r="F8" t="s">
        <v>3250</v>
      </c>
      <c r="G8" t="s">
        <v>224</v>
      </c>
      <c r="H8" s="1">
        <v>46080</v>
      </c>
      <c r="I8" t="s">
        <v>5436</v>
      </c>
      <c r="J8" t="str">
        <f t="shared" si="0"/>
        <v>Atelier Post CO</v>
      </c>
      <c r="K8" t="str">
        <f>IFERROR(VLOOKUP(Table1[[#This Row],[Top Parent]],'1.- Citas sin this week'!G:G,1,0),"New New")</f>
        <v>Atelier Post CO</v>
      </c>
      <c r="L8" s="25">
        <f>_xlfn.XLOOKUP(Table1[[#This Row],[Top Parent]],Table3[Top Parent],Table3[Date])</f>
        <v>45912</v>
      </c>
      <c r="M8" s="26">
        <f>Table1[[#This Row],[Date]]-Table1[[#This Row],[Last Date]]</f>
        <v>168</v>
      </c>
      <c r="N8" s="25" t="str">
        <f>_xlfn.XLOOKUP(Table1[[#This Row],[Top Parent]],Table3[Top Parent],Table3[Owner Name])</f>
        <v>Monserrat Villanueva</v>
      </c>
      <c r="O8" s="26"/>
      <c r="P8" t="s">
        <v>403</v>
      </c>
      <c r="Q8" s="1" t="str">
        <f>IF(Table1[[#This Row],[Last Owner]]=Table1[[#This Row],[Owner Name]],"No","Si")</f>
        <v>No</v>
      </c>
      <c r="R8" s="1" t="str">
        <f>IF(Table1[[#This Row],[Diferencia de dias]]&gt;182,"Si","No")</f>
        <v>No</v>
      </c>
      <c r="S8" t="s">
        <v>207</v>
      </c>
      <c r="T8" s="1" t="str">
        <f>IF(Table1[[#This Row],[Owner de la cuenta]]=Table1[[#This Row],[Owner Name]],"Si","No")</f>
        <v>Si</v>
      </c>
      <c r="U8" t="s">
        <v>1223</v>
      </c>
      <c r="V8" t="s">
        <v>5524</v>
      </c>
      <c r="X8" t="s">
        <v>4981</v>
      </c>
    </row>
    <row r="9" spans="3:24" hidden="1" x14ac:dyDescent="0.35">
      <c r="C9" t="str">
        <f>VLOOKUP(D9,Diccionario!A:B,2,0)</f>
        <v>LMM 3</v>
      </c>
      <c r="D9" t="s">
        <v>2693</v>
      </c>
      <c r="E9" t="s">
        <v>6</v>
      </c>
      <c r="F9" t="s">
        <v>5437</v>
      </c>
      <c r="G9" t="s">
        <v>341</v>
      </c>
      <c r="H9" s="1">
        <v>46080</v>
      </c>
      <c r="I9" t="s">
        <v>5438</v>
      </c>
      <c r="J9" t="str">
        <f t="shared" si="0"/>
        <v>Logistica Interncional De Mercancias</v>
      </c>
      <c r="K9" t="str">
        <f>IFERROR(VLOOKUP(Table1[[#This Row],[Top Parent]],'1.- Citas sin this week'!G:G,1,0),"New New")</f>
        <v>Logistica Interncional De Mercancias</v>
      </c>
      <c r="L9" s="25">
        <f>_xlfn.XLOOKUP(Table1[[#This Row],[Top Parent]],Table3[Top Parent],Table3[Date])</f>
        <v>46014</v>
      </c>
      <c r="M9" s="26">
        <f>Table1[[#This Row],[Date]]-Table1[[#This Row],[Last Date]]</f>
        <v>66</v>
      </c>
      <c r="N9" s="25" t="str">
        <f>_xlfn.XLOOKUP(Table1[[#This Row],[Top Parent]],Table3[Top Parent],Table3[Owner Name])</f>
        <v>Braulio Martinez</v>
      </c>
      <c r="O9" s="26"/>
      <c r="P9" t="s">
        <v>4711</v>
      </c>
      <c r="Q9" s="1" t="str">
        <f>IF(Table1[[#This Row],[Last Owner]]=Table1[[#This Row],[Owner Name]],"No","Si")</f>
        <v>No</v>
      </c>
      <c r="R9" s="1" t="str">
        <f>IF(Table1[[#This Row],[Diferencia de dias]]&gt;182,"Si","No")</f>
        <v>No</v>
      </c>
      <c r="S9" t="s">
        <v>2693</v>
      </c>
      <c r="T9" s="1" t="str">
        <f>IF(Table1[[#This Row],[Owner de la cuenta]]=Table1[[#This Row],[Owner Name]],"Si","No")</f>
        <v>Si</v>
      </c>
      <c r="U9" t="s">
        <v>1129</v>
      </c>
      <c r="V9" t="s">
        <v>5525</v>
      </c>
      <c r="W9">
        <v>6089998.7999999998</v>
      </c>
      <c r="X9" t="s">
        <v>4616</v>
      </c>
    </row>
    <row r="10" spans="3:24" hidden="1" x14ac:dyDescent="0.35">
      <c r="C10" t="str">
        <f>VLOOKUP(D10,Diccionario!A:B,2,0)</f>
        <v>México 2</v>
      </c>
      <c r="D10" t="s">
        <v>3129</v>
      </c>
      <c r="E10" t="s">
        <v>6</v>
      </c>
      <c r="F10" t="s">
        <v>4931</v>
      </c>
      <c r="H10" s="1">
        <v>46080</v>
      </c>
      <c r="I10" t="s">
        <v>5439</v>
      </c>
      <c r="J10" t="str">
        <f t="shared" si="0"/>
        <v>Vimar Construcciones</v>
      </c>
      <c r="K10" t="str">
        <f>IFERROR(VLOOKUP(Table1[[#This Row],[Top Parent]],'1.- Citas sin this week'!G:G,1,0),"New New")</f>
        <v>Vimar Construcciones</v>
      </c>
      <c r="L10" s="25">
        <f>_xlfn.XLOOKUP(Table1[[#This Row],[Top Parent]],Table3[Top Parent],Table3[Date])</f>
        <v>46048</v>
      </c>
      <c r="M10" s="26">
        <f>Table1[[#This Row],[Date]]-Table1[[#This Row],[Last Date]]</f>
        <v>32</v>
      </c>
      <c r="N10" s="25" t="str">
        <f>_xlfn.XLOOKUP(Table1[[#This Row],[Top Parent]],Table3[Top Parent],Table3[Owner Name])</f>
        <v>David Shaw</v>
      </c>
      <c r="O10" s="26"/>
      <c r="P10" t="s">
        <v>403</v>
      </c>
      <c r="Q10" s="1" t="str">
        <f>IF(Table1[[#This Row],[Last Owner]]=Table1[[#This Row],[Owner Name]],"No","Si")</f>
        <v>No</v>
      </c>
      <c r="R10" s="1" t="str">
        <f>IF(Table1[[#This Row],[Diferencia de dias]]&gt;182,"Si","No")</f>
        <v>No</v>
      </c>
      <c r="S10" t="s">
        <v>3129</v>
      </c>
      <c r="T10" s="1" t="str">
        <f>IF(Table1[[#This Row],[Owner de la cuenta]]=Table1[[#This Row],[Owner Name]],"Si","No")</f>
        <v>Si</v>
      </c>
      <c r="U10" t="s">
        <v>1223</v>
      </c>
      <c r="V10" t="s">
        <v>5526</v>
      </c>
      <c r="X10" t="s">
        <v>4984</v>
      </c>
    </row>
    <row r="11" spans="3:24" hidden="1" x14ac:dyDescent="0.35">
      <c r="C11" t="str">
        <f>VLOOKUP(D11,Diccionario!A:B,2,0)</f>
        <v>Estructurados Core</v>
      </c>
      <c r="D11" t="s">
        <v>1131</v>
      </c>
      <c r="E11" t="s">
        <v>6</v>
      </c>
      <c r="F11" t="s">
        <v>4397</v>
      </c>
      <c r="H11" s="1">
        <v>46080</v>
      </c>
      <c r="I11" t="s">
        <v>5440</v>
      </c>
      <c r="J11" t="str">
        <f t="shared" si="0"/>
        <v>AVICOLA ABE</v>
      </c>
      <c r="K11" t="str">
        <f>IFERROR(VLOOKUP(Table1[[#This Row],[Top Parent]],'1.- Citas sin this week'!G:G,1,0),"New New")</f>
        <v>AVICOLA ABE</v>
      </c>
      <c r="L11" s="25">
        <f>_xlfn.XLOOKUP(Table1[[#This Row],[Top Parent]],Table3[Top Parent],Table3[Date])</f>
        <v>46034</v>
      </c>
      <c r="M11" s="26">
        <f>Table1[[#This Row],[Date]]-Table1[[#This Row],[Last Date]]</f>
        <v>46</v>
      </c>
      <c r="N11" s="25" t="str">
        <f>_xlfn.XLOOKUP(Table1[[#This Row],[Top Parent]],Table3[Top Parent],Table3[Owner Name])</f>
        <v>Josue Olvera</v>
      </c>
      <c r="O11" s="26"/>
      <c r="P11" t="s">
        <v>403</v>
      </c>
      <c r="Q11" s="1" t="str">
        <f>IF(Table1[[#This Row],[Last Owner]]=Table1[[#This Row],[Owner Name]],"No","Si")</f>
        <v>No</v>
      </c>
      <c r="R11" s="1" t="str">
        <f>IF(Table1[[#This Row],[Diferencia de dias]]&gt;182,"Si","No")</f>
        <v>No</v>
      </c>
      <c r="S11" t="s">
        <v>1131</v>
      </c>
      <c r="T11" s="1" t="str">
        <f>IF(Table1[[#This Row],[Owner de la cuenta]]=Table1[[#This Row],[Owner Name]],"Si","No")</f>
        <v>Si</v>
      </c>
      <c r="U11" t="s">
        <v>4976</v>
      </c>
      <c r="V11" t="s">
        <v>5527</v>
      </c>
      <c r="X11" t="s">
        <v>4981</v>
      </c>
    </row>
    <row r="12" spans="3:24" hidden="1" x14ac:dyDescent="0.35">
      <c r="C12" t="str">
        <f>VLOOKUP(D12,Diccionario!A:B,2,0)</f>
        <v>LMM 1</v>
      </c>
      <c r="D12" t="s">
        <v>3092</v>
      </c>
      <c r="E12" t="s">
        <v>6</v>
      </c>
      <c r="F12" t="s">
        <v>4644</v>
      </c>
      <c r="H12" s="1">
        <v>46080</v>
      </c>
      <c r="I12" t="s">
        <v>5441</v>
      </c>
      <c r="J12" t="str">
        <f t="shared" si="0"/>
        <v>Representaciones Cyecsa</v>
      </c>
      <c r="K12" t="str">
        <f>IFERROR(VLOOKUP(Table1[[#This Row],[Top Parent]],'1.- Citas sin this week'!G:G,1,0),"New New")</f>
        <v>Representaciones Cyecsa</v>
      </c>
      <c r="L12" s="25">
        <f>_xlfn.XLOOKUP(Table1[[#This Row],[Top Parent]],Table3[Top Parent],Table3[Date])</f>
        <v>46036</v>
      </c>
      <c r="M12" s="26">
        <f>Table1[[#This Row],[Date]]-Table1[[#This Row],[Last Date]]</f>
        <v>44</v>
      </c>
      <c r="N12" s="25" t="str">
        <f>_xlfn.XLOOKUP(Table1[[#This Row],[Top Parent]],Table3[Top Parent],Table3[Owner Name])</f>
        <v>Roberto Anaya</v>
      </c>
      <c r="O12" s="26"/>
      <c r="P12" t="s">
        <v>403</v>
      </c>
      <c r="Q12" s="1" t="str">
        <f>IF(Table1[[#This Row],[Last Owner]]=Table1[[#This Row],[Owner Name]],"No","Si")</f>
        <v>No</v>
      </c>
      <c r="R12" s="1" t="str">
        <f>IF(Table1[[#This Row],[Diferencia de dias]]&gt;182,"Si","No")</f>
        <v>No</v>
      </c>
      <c r="S12" t="s">
        <v>3092</v>
      </c>
      <c r="T12" s="1" t="str">
        <f>IF(Table1[[#This Row],[Owner de la cuenta]]=Table1[[#This Row],[Owner Name]],"Si","No")</f>
        <v>Si</v>
      </c>
      <c r="U12" t="s">
        <v>4716</v>
      </c>
      <c r="V12" t="s">
        <v>5528</v>
      </c>
      <c r="X12" t="s">
        <v>5045</v>
      </c>
    </row>
    <row r="13" spans="3:24" hidden="1" x14ac:dyDescent="0.35">
      <c r="C13" t="str">
        <f>VLOOKUP(D13,Diccionario!A:B,2,0)</f>
        <v>Monterrey</v>
      </c>
      <c r="D13" t="s">
        <v>4472</v>
      </c>
      <c r="E13" t="s">
        <v>6</v>
      </c>
      <c r="F13" t="s">
        <v>5442</v>
      </c>
      <c r="H13" s="1">
        <v>46080</v>
      </c>
      <c r="I13" t="s">
        <v>5443</v>
      </c>
      <c r="J13" t="str">
        <f t="shared" si="0"/>
        <v>CORPORATIVO DE ACERO Y SERVICIOS ASOCIADOS</v>
      </c>
      <c r="K13" t="str">
        <f>IFERROR(VLOOKUP(Table1[[#This Row],[Top Parent]],'1.- Citas sin this week'!G:G,1,0),"New New")</f>
        <v>New New</v>
      </c>
      <c r="L13" s="25" t="e">
        <f>_xlfn.XLOOKUP(Table1[[#This Row],[Top Parent]],Table3[Top Parent],Table3[Date])</f>
        <v>#N/A</v>
      </c>
      <c r="M13" s="26" t="e">
        <f>Table1[[#This Row],[Date]]-Table1[[#This Row],[Last Date]]</f>
        <v>#N/A</v>
      </c>
      <c r="N13" s="25" t="e">
        <f>_xlfn.XLOOKUP(Table1[[#This Row],[Top Parent]],Table3[Top Parent],Table3[Owner Name])</f>
        <v>#N/A</v>
      </c>
      <c r="O13" s="26"/>
      <c r="P13" t="s">
        <v>403</v>
      </c>
      <c r="Q13" s="1" t="e">
        <f>IF(Table1[[#This Row],[Last Owner]]=Table1[[#This Row],[Owner Name]],"No","Si")</f>
        <v>#N/A</v>
      </c>
      <c r="R13" s="1" t="e">
        <f>IF(Table1[[#This Row],[Diferencia de dias]]&gt;182,"Si","No")</f>
        <v>#N/A</v>
      </c>
      <c r="S13" t="s">
        <v>5515</v>
      </c>
      <c r="T13" s="1" t="str">
        <f>IF(Table1[[#This Row],[Owner de la cuenta]]=Table1[[#This Row],[Owner Name]],"Si","No")</f>
        <v>No</v>
      </c>
      <c r="U13" t="s">
        <v>4713</v>
      </c>
      <c r="V13" t="s">
        <v>5529</v>
      </c>
      <c r="X13" t="s">
        <v>4984</v>
      </c>
    </row>
    <row r="14" spans="3:24" hidden="1" x14ac:dyDescent="0.35">
      <c r="C14" t="str">
        <f>VLOOKUP(D14,Diccionario!A:B,2,0)</f>
        <v>Estructurados Core</v>
      </c>
      <c r="D14" t="s">
        <v>1131</v>
      </c>
      <c r="E14" t="s">
        <v>6</v>
      </c>
      <c r="F14" t="s">
        <v>5194</v>
      </c>
      <c r="H14" s="1">
        <v>46076</v>
      </c>
      <c r="I14" t="s">
        <v>5195</v>
      </c>
      <c r="J14" t="str">
        <f t="shared" si="0"/>
        <v>ARTEGO</v>
      </c>
      <c r="K14" t="str">
        <f>IFERROR(VLOOKUP(Table1[[#This Row],[Top Parent]],'1.- Citas sin this week'!G:G,1,0),"New New")</f>
        <v>New New</v>
      </c>
      <c r="L14" s="25" t="e">
        <f>_xlfn.XLOOKUP(Table1[[#This Row],[Top Parent]],Table3[Top Parent],Table3[Date])</f>
        <v>#N/A</v>
      </c>
      <c r="M14" s="26" t="e">
        <f>Table1[[#This Row],[Date]]-Table1[[#This Row],[Last Date]]</f>
        <v>#N/A</v>
      </c>
      <c r="N14" s="25" t="e">
        <f>_xlfn.XLOOKUP(Table1[[#This Row],[Top Parent]],Table3[Top Parent],Table3[Owner Name])</f>
        <v>#N/A</v>
      </c>
      <c r="O14" s="26"/>
      <c r="P14" t="s">
        <v>403</v>
      </c>
      <c r="Q14" s="1" t="e">
        <f>IF(Table1[[#This Row],[Last Owner]]=Table1[[#This Row],[Owner Name]],"No","Si")</f>
        <v>#N/A</v>
      </c>
      <c r="R14" s="1" t="e">
        <f>IF(Table1[[#This Row],[Diferencia de dias]]&gt;182,"Si","No")</f>
        <v>#N/A</v>
      </c>
      <c r="S14" t="s">
        <v>1131</v>
      </c>
      <c r="T14" s="1" t="str">
        <f>IF(Table1[[#This Row],[Owner de la cuenta]]=Table1[[#This Row],[Owner Name]],"Si","No")</f>
        <v>Si</v>
      </c>
      <c r="U14" t="s">
        <v>4869</v>
      </c>
      <c r="V14" t="s">
        <v>5266</v>
      </c>
      <c r="X14" t="s">
        <v>4990</v>
      </c>
    </row>
    <row r="15" spans="3:24" hidden="1" x14ac:dyDescent="0.35">
      <c r="C15" t="str">
        <f>VLOOKUP(D15,Diccionario!A:B,2,0)</f>
        <v>México 1</v>
      </c>
      <c r="D15" t="s">
        <v>2912</v>
      </c>
      <c r="E15" t="s">
        <v>5434</v>
      </c>
      <c r="F15" t="s">
        <v>4297</v>
      </c>
      <c r="G15" t="s">
        <v>4298</v>
      </c>
      <c r="H15" s="1">
        <v>46080</v>
      </c>
      <c r="I15" t="s">
        <v>5446</v>
      </c>
      <c r="J15" t="str">
        <f t="shared" si="0"/>
        <v>Nadro</v>
      </c>
      <c r="K15" t="str">
        <f>IFERROR(VLOOKUP(Table1[[#This Row],[Top Parent]],'1.- Citas sin this week'!G:G,1,0),"New New")</f>
        <v>Nadro</v>
      </c>
      <c r="L15" s="25">
        <f>_xlfn.XLOOKUP(Table1[[#This Row],[Top Parent]],Table3[Top Parent],Table3[Date])</f>
        <v>46070</v>
      </c>
      <c r="M15" s="26">
        <f>Table1[[#This Row],[Date]]-Table1[[#This Row],[Last Date]]</f>
        <v>10</v>
      </c>
      <c r="N15" s="25" t="str">
        <f>_xlfn.XLOOKUP(Table1[[#This Row],[Top Parent]],Table3[Top Parent],Table3[Owner Name])</f>
        <v>Armando Estrada</v>
      </c>
      <c r="O15" s="26"/>
      <c r="P15" t="s">
        <v>4614</v>
      </c>
      <c r="Q15" s="1" t="str">
        <f>IF(Table1[[#This Row],[Last Owner]]=Table1[[#This Row],[Owner Name]],"No","Si")</f>
        <v>No</v>
      </c>
      <c r="R15" s="1" t="str">
        <f>IF(Table1[[#This Row],[Diferencia de dias]]&gt;182,"Si","No")</f>
        <v>No</v>
      </c>
      <c r="S15" t="s">
        <v>2912</v>
      </c>
      <c r="T15" s="1" t="str">
        <f>IF(Table1[[#This Row],[Owner de la cuenta]]=Table1[[#This Row],[Owner Name]],"Si","No")</f>
        <v>Si</v>
      </c>
      <c r="U15" t="s">
        <v>1223</v>
      </c>
      <c r="V15" t="s">
        <v>5531</v>
      </c>
      <c r="W15">
        <v>0</v>
      </c>
      <c r="X15" t="s">
        <v>4616</v>
      </c>
    </row>
    <row r="16" spans="3:24" hidden="1" x14ac:dyDescent="0.35">
      <c r="C16" t="str">
        <f>VLOOKUP(D16,Diccionario!A:B,2,0)</f>
        <v>LMM 3</v>
      </c>
      <c r="D16" t="s">
        <v>2693</v>
      </c>
      <c r="E16" t="s">
        <v>6</v>
      </c>
      <c r="F16" t="s">
        <v>1727</v>
      </c>
      <c r="G16" t="s">
        <v>204</v>
      </c>
      <c r="H16" s="1">
        <v>46080</v>
      </c>
      <c r="I16" t="s">
        <v>5447</v>
      </c>
      <c r="J16" t="str">
        <f t="shared" si="0"/>
        <v>JC MOLDS</v>
      </c>
      <c r="K16" t="str">
        <f>IFERROR(VLOOKUP(Table1[[#This Row],[Top Parent]],'1.- Citas sin this week'!G:G,1,0),"New New")</f>
        <v>JC MOLDS</v>
      </c>
      <c r="L16" s="25">
        <f>_xlfn.XLOOKUP(Table1[[#This Row],[Top Parent]],Table3[Top Parent],Table3[Date])</f>
        <v>46056</v>
      </c>
      <c r="M16" s="26">
        <f>Table1[[#This Row],[Date]]-Table1[[#This Row],[Last Date]]</f>
        <v>24</v>
      </c>
      <c r="N16" s="25" t="str">
        <f>_xlfn.XLOOKUP(Table1[[#This Row],[Top Parent]],Table3[Top Parent],Table3[Owner Name])</f>
        <v>Braulio Martinez</v>
      </c>
      <c r="O16" s="26"/>
      <c r="P16" t="s">
        <v>4712</v>
      </c>
      <c r="Q16" s="1" t="str">
        <f>IF(Table1[[#This Row],[Last Owner]]=Table1[[#This Row],[Owner Name]],"No","Si")</f>
        <v>No</v>
      </c>
      <c r="R16" s="1" t="str">
        <f>IF(Table1[[#This Row],[Diferencia de dias]]&gt;182,"Si","No")</f>
        <v>No</v>
      </c>
      <c r="S16" t="s">
        <v>2693</v>
      </c>
      <c r="T16" s="1" t="str">
        <f>IF(Table1[[#This Row],[Owner de la cuenta]]=Table1[[#This Row],[Owner Name]],"Si","No")</f>
        <v>Si</v>
      </c>
      <c r="U16" t="s">
        <v>4615</v>
      </c>
      <c r="V16" t="s">
        <v>5532</v>
      </c>
      <c r="W16">
        <v>3117751</v>
      </c>
      <c r="X16" t="s">
        <v>4982</v>
      </c>
    </row>
    <row r="17" spans="3:24" hidden="1" x14ac:dyDescent="0.35">
      <c r="C17" t="str">
        <f>VLOOKUP(D17,Diccionario!A:B,2,0)</f>
        <v>LMM 5</v>
      </c>
      <c r="D17" t="s">
        <v>207</v>
      </c>
      <c r="E17" t="s">
        <v>6</v>
      </c>
      <c r="F17" t="s">
        <v>3250</v>
      </c>
      <c r="G17" t="s">
        <v>224</v>
      </c>
      <c r="H17" s="1">
        <v>46080</v>
      </c>
      <c r="I17" t="s">
        <v>5448</v>
      </c>
      <c r="J17" t="str">
        <f t="shared" si="0"/>
        <v>Atelier Post CO</v>
      </c>
      <c r="K17" t="str">
        <f>IFERROR(VLOOKUP(Table1[[#This Row],[Top Parent]],'1.- Citas sin this week'!G:G,1,0),"New New")</f>
        <v>Atelier Post CO</v>
      </c>
      <c r="L17" s="25">
        <f>_xlfn.XLOOKUP(Table1[[#This Row],[Top Parent]],Table3[Top Parent],Table3[Date])</f>
        <v>45912</v>
      </c>
      <c r="M17" s="26">
        <f>Table1[[#This Row],[Date]]-Table1[[#This Row],[Last Date]]</f>
        <v>168</v>
      </c>
      <c r="N17" s="25" t="str">
        <f>_xlfn.XLOOKUP(Table1[[#This Row],[Top Parent]],Table3[Top Parent],Table3[Owner Name])</f>
        <v>Monserrat Villanueva</v>
      </c>
      <c r="O17" s="26"/>
      <c r="P17" t="s">
        <v>403</v>
      </c>
      <c r="Q17" s="1" t="str">
        <f>IF(Table1[[#This Row],[Last Owner]]=Table1[[#This Row],[Owner Name]],"No","Si")</f>
        <v>No</v>
      </c>
      <c r="R17" s="1" t="str">
        <f>IF(Table1[[#This Row],[Diferencia de dias]]&gt;182,"Si","No")</f>
        <v>No</v>
      </c>
      <c r="S17" t="s">
        <v>207</v>
      </c>
      <c r="T17" s="1" t="str">
        <f>IF(Table1[[#This Row],[Owner de la cuenta]]=Table1[[#This Row],[Owner Name]],"Si","No")</f>
        <v>Si</v>
      </c>
      <c r="U17" t="s">
        <v>1223</v>
      </c>
      <c r="V17" t="s">
        <v>5524</v>
      </c>
      <c r="X17" t="s">
        <v>4981</v>
      </c>
    </row>
    <row r="18" spans="3:24" hidden="1" x14ac:dyDescent="0.35">
      <c r="C18" t="str">
        <f>VLOOKUP(D18,Diccionario!A:B,2,0)</f>
        <v>México 1</v>
      </c>
      <c r="D18" t="s">
        <v>739</v>
      </c>
      <c r="E18" t="s">
        <v>6</v>
      </c>
      <c r="F18" t="s">
        <v>2982</v>
      </c>
      <c r="H18" s="1">
        <v>46080</v>
      </c>
      <c r="I18" t="s">
        <v>5449</v>
      </c>
      <c r="J18" t="str">
        <f t="shared" si="0"/>
        <v>Mexichem</v>
      </c>
      <c r="K18" t="str">
        <f>IFERROR(VLOOKUP(Table1[[#This Row],[Top Parent]],'1.- Citas sin this week'!G:G,1,0),"New New")</f>
        <v>Mexichem</v>
      </c>
      <c r="L18" s="25">
        <f>_xlfn.XLOOKUP(Table1[[#This Row],[Top Parent]],Table3[Top Parent],Table3[Date])</f>
        <v>46070</v>
      </c>
      <c r="M18" s="26">
        <f>Table1[[#This Row],[Date]]-Table1[[#This Row],[Last Date]]</f>
        <v>10</v>
      </c>
      <c r="N18" s="25" t="str">
        <f>_xlfn.XLOOKUP(Table1[[#This Row],[Top Parent]],Table3[Top Parent],Table3[Owner Name])</f>
        <v>Kenia Martinez</v>
      </c>
      <c r="O18" s="26"/>
      <c r="P18" t="s">
        <v>4614</v>
      </c>
      <c r="Q18" s="1" t="str">
        <f>IF(Table1[[#This Row],[Last Owner]]=Table1[[#This Row],[Owner Name]],"No","Si")</f>
        <v>No</v>
      </c>
      <c r="R18" s="1" t="str">
        <f>IF(Table1[[#This Row],[Diferencia de dias]]&gt;182,"Si","No")</f>
        <v>No</v>
      </c>
      <c r="S18" t="s">
        <v>739</v>
      </c>
      <c r="T18" s="1" t="str">
        <f>IF(Table1[[#This Row],[Owner de la cuenta]]=Table1[[#This Row],[Owner Name]],"Si","No")</f>
        <v>Si</v>
      </c>
      <c r="U18" t="s">
        <v>1223</v>
      </c>
      <c r="V18" t="s">
        <v>5533</v>
      </c>
      <c r="W18">
        <v>0</v>
      </c>
      <c r="X18" t="s">
        <v>4989</v>
      </c>
    </row>
    <row r="19" spans="3:24" hidden="1" x14ac:dyDescent="0.35">
      <c r="C19" t="str">
        <f>VLOOKUP(D19,Diccionario!A:B,2,0)</f>
        <v>Estructurados Core</v>
      </c>
      <c r="D19" t="s">
        <v>1131</v>
      </c>
      <c r="E19" t="s">
        <v>6</v>
      </c>
      <c r="F19" t="s">
        <v>86</v>
      </c>
      <c r="H19" s="1">
        <v>46079</v>
      </c>
      <c r="I19" t="s">
        <v>5110</v>
      </c>
      <c r="J19" t="str">
        <f t="shared" si="0"/>
        <v>SALZILLO</v>
      </c>
      <c r="K19" t="str">
        <f>IFERROR(VLOOKUP(Table1[[#This Row],[Top Parent]],'1.- Citas sin this week'!G:G,1,0),"New New")</f>
        <v>SALZILLO</v>
      </c>
      <c r="L19" s="25">
        <f>_xlfn.XLOOKUP(Table1[[#This Row],[Top Parent]],Table3[Top Parent],Table3[Date])</f>
        <v>45786</v>
      </c>
      <c r="M19" s="26">
        <f>Table1[[#This Row],[Date]]-Table1[[#This Row],[Last Date]]</f>
        <v>293</v>
      </c>
      <c r="N19" s="25" t="str">
        <f>_xlfn.XLOOKUP(Table1[[#This Row],[Top Parent]],Table3[Top Parent],Table3[Owner Name])</f>
        <v>Josue Olvera</v>
      </c>
      <c r="O19" s="26"/>
      <c r="P19" t="s">
        <v>403</v>
      </c>
      <c r="Q19" s="1" t="str">
        <f>IF(Table1[[#This Row],[Last Owner]]=Table1[[#This Row],[Owner Name]],"No","Si")</f>
        <v>No</v>
      </c>
      <c r="R19" s="1" t="str">
        <f>IF(Table1[[#This Row],[Diferencia de dias]]&gt;182,"Si","No")</f>
        <v>Si</v>
      </c>
      <c r="S19" t="s">
        <v>1131</v>
      </c>
      <c r="T19" s="1" t="str">
        <f>IF(Table1[[#This Row],[Owner de la cuenta]]=Table1[[#This Row],[Owner Name]],"Si","No")</f>
        <v>Si</v>
      </c>
      <c r="U19" t="s">
        <v>5033</v>
      </c>
      <c r="V19" t="s">
        <v>5216</v>
      </c>
      <c r="X19" t="s">
        <v>4616</v>
      </c>
    </row>
    <row r="20" spans="3:24" hidden="1" x14ac:dyDescent="0.35">
      <c r="C20" t="str">
        <f>VLOOKUP(D20,Diccionario!A:B,2,0)</f>
        <v>Estructurados Core</v>
      </c>
      <c r="D20" t="s">
        <v>280</v>
      </c>
      <c r="E20" t="s">
        <v>6</v>
      </c>
      <c r="F20" t="s">
        <v>5485</v>
      </c>
      <c r="H20" s="1">
        <v>46078</v>
      </c>
      <c r="I20" t="s">
        <v>5486</v>
      </c>
      <c r="J20" t="str">
        <f t="shared" si="0"/>
        <v>Aguacates Terravo</v>
      </c>
      <c r="K20" t="str">
        <f>IFERROR(VLOOKUP(Table1[[#This Row],[Top Parent]],'1.- Citas sin this week'!G:G,1,0),"New New")</f>
        <v>New New</v>
      </c>
      <c r="L20" s="25" t="e">
        <f>_xlfn.XLOOKUP(Table1[[#This Row],[Top Parent]],Table3[Top Parent],Table3[Date])</f>
        <v>#N/A</v>
      </c>
      <c r="M20" s="26" t="e">
        <f>Table1[[#This Row],[Date]]-Table1[[#This Row],[Last Date]]</f>
        <v>#N/A</v>
      </c>
      <c r="N20" s="25" t="e">
        <f>_xlfn.XLOOKUP(Table1[[#This Row],[Top Parent]],Table3[Top Parent],Table3[Owner Name])</f>
        <v>#N/A</v>
      </c>
      <c r="O20" s="26"/>
      <c r="Q20" s="1" t="e">
        <f>IF(Table1[[#This Row],[Last Owner]]=Table1[[#This Row],[Owner Name]],"No","Si")</f>
        <v>#N/A</v>
      </c>
      <c r="R20" s="1" t="e">
        <f>IF(Table1[[#This Row],[Diferencia de dias]]&gt;182,"Si","No")</f>
        <v>#N/A</v>
      </c>
      <c r="S20" t="s">
        <v>280</v>
      </c>
      <c r="T20" s="1" t="str">
        <f>IF(Table1[[#This Row],[Owner de la cuenta]]=Table1[[#This Row],[Owner Name]],"Si","No")</f>
        <v>Si</v>
      </c>
      <c r="U20" t="s">
        <v>4716</v>
      </c>
      <c r="V20" t="s">
        <v>5556</v>
      </c>
      <c r="X20" t="s">
        <v>4981</v>
      </c>
    </row>
    <row r="21" spans="3:24" hidden="1" x14ac:dyDescent="0.35">
      <c r="C21" t="str">
        <f>VLOOKUP(D21,Diccionario!A:B,2,0)</f>
        <v>Estructurados Core</v>
      </c>
      <c r="D21" t="s">
        <v>280</v>
      </c>
      <c r="E21" t="s">
        <v>6</v>
      </c>
      <c r="F21" t="s">
        <v>5495</v>
      </c>
      <c r="H21" s="1">
        <v>46078</v>
      </c>
      <c r="I21" t="s">
        <v>5496</v>
      </c>
      <c r="J21" t="str">
        <f t="shared" si="0"/>
        <v>BANANAS SAN JORGE</v>
      </c>
      <c r="K21" t="str">
        <f>IFERROR(VLOOKUP(Table1[[#This Row],[Top Parent]],'1.- Citas sin this week'!G:G,1,0),"New New")</f>
        <v>New New</v>
      </c>
      <c r="L21" s="25" t="e">
        <f>_xlfn.XLOOKUP(Table1[[#This Row],[Top Parent]],Table3[Top Parent],Table3[Date])</f>
        <v>#N/A</v>
      </c>
      <c r="M21" s="26" t="e">
        <f>Table1[[#This Row],[Date]]-Table1[[#This Row],[Last Date]]</f>
        <v>#N/A</v>
      </c>
      <c r="N21" s="25" t="e">
        <f>_xlfn.XLOOKUP(Table1[[#This Row],[Top Parent]],Table3[Top Parent],Table3[Owner Name])</f>
        <v>#N/A</v>
      </c>
      <c r="O21" s="26"/>
      <c r="P21" t="s">
        <v>403</v>
      </c>
      <c r="Q21" s="1" t="e">
        <f>IF(Table1[[#This Row],[Last Owner]]=Table1[[#This Row],[Owner Name]],"No","Si")</f>
        <v>#N/A</v>
      </c>
      <c r="R21" s="1" t="e">
        <f>IF(Table1[[#This Row],[Diferencia de dias]]&gt;182,"Si","No")</f>
        <v>#N/A</v>
      </c>
      <c r="S21" t="s">
        <v>280</v>
      </c>
      <c r="T21" s="1" t="str">
        <f>IF(Table1[[#This Row],[Owner de la cuenta]]=Table1[[#This Row],[Owner Name]],"Si","No")</f>
        <v>Si</v>
      </c>
      <c r="U21" t="s">
        <v>4716</v>
      </c>
      <c r="V21" t="s">
        <v>5562</v>
      </c>
      <c r="X21" t="s">
        <v>4981</v>
      </c>
    </row>
    <row r="22" spans="3:24" hidden="1" x14ac:dyDescent="0.35">
      <c r="C22" t="str">
        <f>VLOOKUP(D22,Diccionario!A:B,2,0)</f>
        <v>LMM 3</v>
      </c>
      <c r="D22" t="s">
        <v>4696</v>
      </c>
      <c r="E22" t="s">
        <v>6</v>
      </c>
      <c r="F22" t="s">
        <v>2458</v>
      </c>
      <c r="H22" s="1">
        <v>46079</v>
      </c>
      <c r="I22" t="s">
        <v>5452</v>
      </c>
      <c r="J22" t="str">
        <f t="shared" si="0"/>
        <v>Dmtress</v>
      </c>
      <c r="K22" t="s">
        <v>804</v>
      </c>
      <c r="L22" s="25">
        <f>_xlfn.XLOOKUP(Table1[[#This Row],[Top Parent]],Table3[Top Parent],Table3[Date])</f>
        <v>45826</v>
      </c>
      <c r="M22" s="26">
        <f>Table1[[#This Row],[Date]]-Table1[[#This Row],[Last Date]]</f>
        <v>253</v>
      </c>
      <c r="N22" s="25" t="str">
        <f>_xlfn.XLOOKUP(Table1[[#This Row],[Top Parent]],Table3[Top Parent],Table3[Owner Name])</f>
        <v>Diego Aviña</v>
      </c>
      <c r="O22" s="26"/>
      <c r="P22" t="s">
        <v>4712</v>
      </c>
      <c r="Q22" s="1" t="str">
        <f>IF(Table1[[#This Row],[Last Owner]]=Table1[[#This Row],[Owner Name]],"No","Si")</f>
        <v>Si</v>
      </c>
      <c r="R22" s="1" t="str">
        <f>IF(Table1[[#This Row],[Diferencia de dias]]&gt;182,"Si","No")</f>
        <v>Si</v>
      </c>
      <c r="S22" t="s">
        <v>4696</v>
      </c>
      <c r="T22" s="1" t="str">
        <f>IF(Table1[[#This Row],[Owner de la cuenta]]=Table1[[#This Row],[Owner Name]],"Si","No")</f>
        <v>Si</v>
      </c>
      <c r="U22" t="s">
        <v>4629</v>
      </c>
      <c r="V22" t="s">
        <v>5535</v>
      </c>
      <c r="W22">
        <v>224302.1</v>
      </c>
      <c r="X22" t="s">
        <v>4989</v>
      </c>
    </row>
    <row r="23" spans="3:24" hidden="1" x14ac:dyDescent="0.35">
      <c r="C23" t="str">
        <f>VLOOKUP(D23,Diccionario!A:B,2,0)</f>
        <v>Guadalajara</v>
      </c>
      <c r="D23" t="s">
        <v>10</v>
      </c>
      <c r="E23" t="s">
        <v>6</v>
      </c>
      <c r="F23" t="s">
        <v>666</v>
      </c>
      <c r="H23" s="1">
        <v>46079</v>
      </c>
      <c r="I23" t="s">
        <v>5453</v>
      </c>
      <c r="J23" t="str">
        <f t="shared" si="0"/>
        <v>Hospital San Javier</v>
      </c>
      <c r="K23" t="str">
        <f>IFERROR(VLOOKUP(Table1[[#This Row],[Top Parent]],'1.- Citas sin this week'!G:G,1,0),"New New")</f>
        <v>Hospital San Javier</v>
      </c>
      <c r="L23" s="25">
        <f>_xlfn.XLOOKUP(Table1[[#This Row],[Top Parent]],Table3[Top Parent],Table3[Date])</f>
        <v>45994</v>
      </c>
      <c r="M23" s="26">
        <f>Table1[[#This Row],[Date]]-Table1[[#This Row],[Last Date]]</f>
        <v>85</v>
      </c>
      <c r="N23" s="25" t="str">
        <f>_xlfn.XLOOKUP(Table1[[#This Row],[Top Parent]],Table3[Top Parent],Table3[Owner Name])</f>
        <v>Dulce Villegas</v>
      </c>
      <c r="O23" s="26"/>
      <c r="P23" t="s">
        <v>4711</v>
      </c>
      <c r="Q23" s="1" t="str">
        <f>IF(Table1[[#This Row],[Last Owner]]=Table1[[#This Row],[Owner Name]],"No","Si")</f>
        <v>No</v>
      </c>
      <c r="R23" s="1" t="str">
        <f>IF(Table1[[#This Row],[Diferencia de dias]]&gt;182,"Si","No")</f>
        <v>No</v>
      </c>
      <c r="S23" t="s">
        <v>10</v>
      </c>
      <c r="T23" s="1" t="str">
        <f>IF(Table1[[#This Row],[Owner de la cuenta]]=Table1[[#This Row],[Owner Name]],"Si","No")</f>
        <v>Si</v>
      </c>
      <c r="U23" t="s">
        <v>4716</v>
      </c>
      <c r="V23" t="s">
        <v>5536</v>
      </c>
      <c r="W23">
        <v>68316342.900000006</v>
      </c>
      <c r="X23" t="s">
        <v>4663</v>
      </c>
    </row>
    <row r="24" spans="3:24" hidden="1" x14ac:dyDescent="0.35">
      <c r="C24" t="str">
        <f>VLOOKUP(D24,Diccionario!A:B,2,0)</f>
        <v>Guadalajara</v>
      </c>
      <c r="D24" t="s">
        <v>10</v>
      </c>
      <c r="E24" t="s">
        <v>6</v>
      </c>
      <c r="F24" t="s">
        <v>5476</v>
      </c>
      <c r="H24" s="1">
        <v>46079</v>
      </c>
      <c r="I24" t="s">
        <v>5477</v>
      </c>
      <c r="J24" t="str">
        <f t="shared" si="0"/>
        <v>ZAZ MUEBLES Y ALGO MAS</v>
      </c>
      <c r="K24" t="str">
        <f>IFERROR(VLOOKUP(Table1[[#This Row],[Top Parent]],'1.- Citas sin this week'!G:G,1,0),"New New")</f>
        <v>New New</v>
      </c>
      <c r="L24" s="25" t="e">
        <f>_xlfn.XLOOKUP(Table1[[#This Row],[Top Parent]],Table3[Top Parent],Table3[Date])</f>
        <v>#N/A</v>
      </c>
      <c r="M24" s="26" t="e">
        <f>Table1[[#This Row],[Date]]-Table1[[#This Row],[Last Date]]</f>
        <v>#N/A</v>
      </c>
      <c r="N24" s="25" t="e">
        <f>_xlfn.XLOOKUP(Table1[[#This Row],[Top Parent]],Table3[Top Parent],Table3[Owner Name])</f>
        <v>#N/A</v>
      </c>
      <c r="O24" s="26"/>
      <c r="P24" t="s">
        <v>403</v>
      </c>
      <c r="Q24" s="1" t="e">
        <f>IF(Table1[[#This Row],[Last Owner]]=Table1[[#This Row],[Owner Name]],"No","Si")</f>
        <v>#N/A</v>
      </c>
      <c r="R24" s="1" t="e">
        <f>IF(Table1[[#This Row],[Diferencia de dias]]&gt;182,"Si","No")</f>
        <v>#N/A</v>
      </c>
      <c r="S24" t="s">
        <v>10</v>
      </c>
      <c r="T24" s="1" t="str">
        <f>IF(Table1[[#This Row],[Owner de la cuenta]]=Table1[[#This Row],[Owner Name]],"Si","No")</f>
        <v>Si</v>
      </c>
      <c r="U24" t="s">
        <v>4716</v>
      </c>
      <c r="V24" t="s">
        <v>5551</v>
      </c>
      <c r="X24" t="s">
        <v>4987</v>
      </c>
    </row>
    <row r="25" spans="3:24" hidden="1" x14ac:dyDescent="0.35">
      <c r="C25" t="str">
        <f>VLOOKUP(D25,Diccionario!A:B,2,0)</f>
        <v>Guadalajara</v>
      </c>
      <c r="D25" t="s">
        <v>51</v>
      </c>
      <c r="E25" t="s">
        <v>6</v>
      </c>
      <c r="F25" t="s">
        <v>5395</v>
      </c>
      <c r="H25" s="1">
        <v>46079</v>
      </c>
      <c r="I25" t="s">
        <v>5470</v>
      </c>
      <c r="J25" t="str">
        <f t="shared" si="0"/>
        <v>MADOBOX</v>
      </c>
      <c r="K25" t="str">
        <f>IFERROR(VLOOKUP(Table1[[#This Row],[Top Parent]],'1.- Citas sin this week'!G:G,1,0),"New New")</f>
        <v>New New</v>
      </c>
      <c r="L25" s="25" t="e">
        <f>_xlfn.XLOOKUP(Table1[[#This Row],[Top Parent]],Table3[Top Parent],Table3[Date])</f>
        <v>#N/A</v>
      </c>
      <c r="M25" s="26" t="e">
        <f>Table1[[#This Row],[Date]]-Table1[[#This Row],[Last Date]]</f>
        <v>#N/A</v>
      </c>
      <c r="N25" s="25" t="e">
        <f>_xlfn.XLOOKUP(Table1[[#This Row],[Top Parent]],Table3[Top Parent],Table3[Owner Name])</f>
        <v>#N/A</v>
      </c>
      <c r="O25" s="26"/>
      <c r="P25" t="s">
        <v>403</v>
      </c>
      <c r="Q25" s="1" t="e">
        <f>IF(Table1[[#This Row],[Last Owner]]=Table1[[#This Row],[Owner Name]],"No","Si")</f>
        <v>#N/A</v>
      </c>
      <c r="R25" s="1" t="e">
        <f>IF(Table1[[#This Row],[Diferencia de dias]]&gt;182,"Si","No")</f>
        <v>#N/A</v>
      </c>
      <c r="S25" t="s">
        <v>51</v>
      </c>
      <c r="T25" s="1" t="str">
        <f>IF(Table1[[#This Row],[Owner de la cuenta]]=Table1[[#This Row],[Owner Name]],"Si","No")</f>
        <v>Si</v>
      </c>
      <c r="U25" t="s">
        <v>4809</v>
      </c>
      <c r="V25" t="s">
        <v>5547</v>
      </c>
      <c r="X25" t="s">
        <v>5045</v>
      </c>
    </row>
    <row r="26" spans="3:24" hidden="1" x14ac:dyDescent="0.35">
      <c r="C26" t="str">
        <f>VLOOKUP(D26,Diccionario!A:B,2,0)</f>
        <v>Guadalajara</v>
      </c>
      <c r="D26" t="s">
        <v>116</v>
      </c>
      <c r="E26" t="s">
        <v>6</v>
      </c>
      <c r="F26" t="s">
        <v>5513</v>
      </c>
      <c r="H26" s="1">
        <v>46076</v>
      </c>
      <c r="I26" t="s">
        <v>5514</v>
      </c>
      <c r="J26" t="str">
        <f t="shared" si="0"/>
        <v>Agroservicios Nacionales</v>
      </c>
      <c r="K26" t="str">
        <f>IFERROR(VLOOKUP(Table1[[#This Row],[Top Parent]],'1.- Citas sin this week'!G:G,1,0),"New New")</f>
        <v>New New</v>
      </c>
      <c r="L26" s="25" t="e">
        <f>_xlfn.XLOOKUP(Table1[[#This Row],[Top Parent]],Table3[Top Parent],Table3[Date])</f>
        <v>#N/A</v>
      </c>
      <c r="M26" s="26" t="e">
        <f>Table1[[#This Row],[Date]]-Table1[[#This Row],[Last Date]]</f>
        <v>#N/A</v>
      </c>
      <c r="N26" s="25" t="e">
        <f>_xlfn.XLOOKUP(Table1[[#This Row],[Top Parent]],Table3[Top Parent],Table3[Owner Name])</f>
        <v>#N/A</v>
      </c>
      <c r="O26" s="26"/>
      <c r="P26" t="s">
        <v>403</v>
      </c>
      <c r="Q26" s="1" t="e">
        <f>IF(Table1[[#This Row],[Last Owner]]=Table1[[#This Row],[Owner Name]],"No","Si")</f>
        <v>#N/A</v>
      </c>
      <c r="R26" s="1" t="e">
        <f>IF(Table1[[#This Row],[Diferencia de dias]]&gt;182,"Si","No")</f>
        <v>#N/A</v>
      </c>
      <c r="S26" t="s">
        <v>116</v>
      </c>
      <c r="T26" s="1" t="str">
        <f>IF(Table1[[#This Row],[Owner de la cuenta]]=Table1[[#This Row],[Owner Name]],"Si","No")</f>
        <v>Si</v>
      </c>
      <c r="U26" t="s">
        <v>4716</v>
      </c>
      <c r="V26" t="s">
        <v>5573</v>
      </c>
      <c r="X26" t="s">
        <v>4989</v>
      </c>
    </row>
    <row r="27" spans="3:24" hidden="1" x14ac:dyDescent="0.35">
      <c r="C27" t="str">
        <f>VLOOKUP(D27,Diccionario!A:B,2,0)</f>
        <v>Guadalajara</v>
      </c>
      <c r="D27" t="s">
        <v>38</v>
      </c>
      <c r="E27" t="s">
        <v>6</v>
      </c>
      <c r="F27" t="s">
        <v>5151</v>
      </c>
      <c r="G27" t="s">
        <v>5152</v>
      </c>
      <c r="H27" s="1">
        <v>46078</v>
      </c>
      <c r="I27" t="s">
        <v>5153</v>
      </c>
      <c r="J27" t="str">
        <f t="shared" si="0"/>
        <v>Call Fasst</v>
      </c>
      <c r="K27" t="str">
        <f>IFERROR(VLOOKUP(Table1[[#This Row],[Top Parent]],'1.- Citas sin this week'!G:G,1,0),"New New")</f>
        <v>New New</v>
      </c>
      <c r="L27" s="25" t="e">
        <f>_xlfn.XLOOKUP(Table1[[#This Row],[Top Parent]],Table3[Top Parent],Table3[Date])</f>
        <v>#N/A</v>
      </c>
      <c r="M27" s="26" t="e">
        <f>Table1[[#This Row],[Date]]-Table1[[#This Row],[Last Date]]</f>
        <v>#N/A</v>
      </c>
      <c r="N27" s="25" t="e">
        <f>_xlfn.XLOOKUP(Table1[[#This Row],[Top Parent]],Table3[Top Parent],Table3[Owner Name])</f>
        <v>#N/A</v>
      </c>
      <c r="O27" s="26"/>
      <c r="P27" t="s">
        <v>403</v>
      </c>
      <c r="Q27" s="1" t="e">
        <f>IF(Table1[[#This Row],[Last Owner]]=Table1[[#This Row],[Owner Name]],"No","Si")</f>
        <v>#N/A</v>
      </c>
      <c r="R27" s="1" t="e">
        <f>IF(Table1[[#This Row],[Diferencia de dias]]&gt;182,"Si","No")</f>
        <v>#N/A</v>
      </c>
      <c r="S27" t="s">
        <v>38</v>
      </c>
      <c r="T27" s="1" t="str">
        <f>IF(Table1[[#This Row],[Owner de la cuenta]]=Table1[[#This Row],[Owner Name]],"Si","No")</f>
        <v>Si</v>
      </c>
      <c r="U27" t="s">
        <v>4719</v>
      </c>
      <c r="V27" t="s">
        <v>5242</v>
      </c>
      <c r="X27" t="s">
        <v>4988</v>
      </c>
    </row>
    <row r="28" spans="3:24" hidden="1" x14ac:dyDescent="0.35">
      <c r="C28" t="str">
        <f>VLOOKUP(D28,Diccionario!A:B,2,0)</f>
        <v>LMM 3</v>
      </c>
      <c r="D28" t="s">
        <v>25</v>
      </c>
      <c r="E28" t="s">
        <v>6</v>
      </c>
      <c r="F28" t="s">
        <v>4332</v>
      </c>
      <c r="H28" s="1">
        <v>46079</v>
      </c>
      <c r="I28" t="s">
        <v>5118</v>
      </c>
      <c r="J28" t="str">
        <f t="shared" si="0"/>
        <v>CAJAS Y CORRUGADOS PARA EMPAQUE</v>
      </c>
      <c r="K28" t="str">
        <f>IFERROR(VLOOKUP(Table1[[#This Row],[Top Parent]],'1.- Citas sin this week'!G:G,1,0),"New New")</f>
        <v>CAJAS Y CORRUGADOS PARA EMPAQUE</v>
      </c>
      <c r="L28" s="25">
        <f>_xlfn.XLOOKUP(Table1[[#This Row],[Top Parent]],Table3[Top Parent],Table3[Date])</f>
        <v>46073</v>
      </c>
      <c r="M28" s="26">
        <f>Table1[[#This Row],[Date]]-Table1[[#This Row],[Last Date]]</f>
        <v>6</v>
      </c>
      <c r="N28" s="25" t="str">
        <f>_xlfn.XLOOKUP(Table1[[#This Row],[Top Parent]],Table3[Top Parent],Table3[Owner Name])</f>
        <v>Jose Nava</v>
      </c>
      <c r="O28" s="26"/>
      <c r="P28" t="s">
        <v>4712</v>
      </c>
      <c r="Q28" s="1" t="str">
        <f>IF(Table1[[#This Row],[Last Owner]]=Table1[[#This Row],[Owner Name]],"No","Si")</f>
        <v>No</v>
      </c>
      <c r="R28" s="1" t="str">
        <f>IF(Table1[[#This Row],[Diferencia de dias]]&gt;182,"Si","No")</f>
        <v>No</v>
      </c>
      <c r="S28" t="s">
        <v>25</v>
      </c>
      <c r="T28" s="1" t="str">
        <f>IF(Table1[[#This Row],[Owner de la cuenta]]=Table1[[#This Row],[Owner Name]],"Si","No")</f>
        <v>Si</v>
      </c>
      <c r="U28" t="s">
        <v>4615</v>
      </c>
      <c r="V28" t="s">
        <v>5103</v>
      </c>
      <c r="W28">
        <v>2752767.5</v>
      </c>
      <c r="X28" t="s">
        <v>5045</v>
      </c>
    </row>
    <row r="29" spans="3:24" hidden="1" x14ac:dyDescent="0.35">
      <c r="C29" t="str">
        <f>VLOOKUP(D29,Diccionario!A:B,2,0)</f>
        <v>Guadalajara</v>
      </c>
      <c r="D29" t="s">
        <v>27</v>
      </c>
      <c r="E29" t="s">
        <v>6</v>
      </c>
      <c r="F29" t="s">
        <v>5465</v>
      </c>
      <c r="H29" s="1">
        <v>46079</v>
      </c>
      <c r="I29" t="s">
        <v>5466</v>
      </c>
      <c r="J29" t="str">
        <f t="shared" si="0"/>
        <v>Terminal de Almacenamiento y Distribución de Asfalto</v>
      </c>
      <c r="K29" t="str">
        <f>IFERROR(VLOOKUP(Table1[[#This Row],[Top Parent]],'1.- Citas sin this week'!G:G,1,0),"New New")</f>
        <v>New New</v>
      </c>
      <c r="L29" s="25" t="e">
        <f>_xlfn.XLOOKUP(Table1[[#This Row],[Top Parent]],Table3[Top Parent],Table3[Date])</f>
        <v>#N/A</v>
      </c>
      <c r="M29" s="26" t="e">
        <f>Table1[[#This Row],[Date]]-Table1[[#This Row],[Last Date]]</f>
        <v>#N/A</v>
      </c>
      <c r="N29" s="25" t="e">
        <f>_xlfn.XLOOKUP(Table1[[#This Row],[Top Parent]],Table3[Top Parent],Table3[Owner Name])</f>
        <v>#N/A</v>
      </c>
      <c r="O29" s="26"/>
      <c r="P29" t="s">
        <v>403</v>
      </c>
      <c r="Q29" s="1" t="e">
        <f>IF(Table1[[#This Row],[Last Owner]]=Table1[[#This Row],[Owner Name]],"No","Si")</f>
        <v>#N/A</v>
      </c>
      <c r="R29" s="1" t="e">
        <f>IF(Table1[[#This Row],[Diferencia de dias]]&gt;182,"Si","No")</f>
        <v>#N/A</v>
      </c>
      <c r="S29" t="s">
        <v>27</v>
      </c>
      <c r="T29" s="1" t="str">
        <f>IF(Table1[[#This Row],[Owner de la cuenta]]=Table1[[#This Row],[Owner Name]],"Si","No")</f>
        <v>Si</v>
      </c>
      <c r="U29" t="s">
        <v>5033</v>
      </c>
      <c r="V29" t="s">
        <v>5544</v>
      </c>
      <c r="X29" t="s">
        <v>4984</v>
      </c>
    </row>
    <row r="30" spans="3:24" hidden="1" x14ac:dyDescent="0.35">
      <c r="C30" t="str">
        <f>VLOOKUP(D30,Diccionario!A:B,2,0)</f>
        <v>México 1</v>
      </c>
      <c r="D30" t="s">
        <v>739</v>
      </c>
      <c r="E30" t="s">
        <v>6</v>
      </c>
      <c r="F30" t="s">
        <v>956</v>
      </c>
      <c r="H30" s="1">
        <v>46079</v>
      </c>
      <c r="I30" t="s">
        <v>5458</v>
      </c>
      <c r="J30" t="str">
        <f t="shared" si="0"/>
        <v>Ecoshell</v>
      </c>
      <c r="K30" t="str">
        <f>IFERROR(VLOOKUP(Table1[[#This Row],[Top Parent]],'1.- Citas sin this week'!G:G,1,0),"New New")</f>
        <v>Ecoshell</v>
      </c>
      <c r="L30" s="25">
        <f>_xlfn.XLOOKUP(Table1[[#This Row],[Top Parent]],Table3[Top Parent],Table3[Date])</f>
        <v>46028</v>
      </c>
      <c r="M30" s="26">
        <f>Table1[[#This Row],[Date]]-Table1[[#This Row],[Last Date]]</f>
        <v>51</v>
      </c>
      <c r="N30" s="25" t="str">
        <f>_xlfn.XLOOKUP(Table1[[#This Row],[Top Parent]],Table3[Top Parent],Table3[Owner Name])</f>
        <v>Kenia Martinez</v>
      </c>
      <c r="O30" s="26"/>
      <c r="P30" t="s">
        <v>403</v>
      </c>
      <c r="Q30" s="1" t="str">
        <f>IF(Table1[[#This Row],[Last Owner]]=Table1[[#This Row],[Owner Name]],"No","Si")</f>
        <v>No</v>
      </c>
      <c r="R30" s="1" t="str">
        <f>IF(Table1[[#This Row],[Diferencia de dias]]&gt;182,"Si","No")</f>
        <v>No</v>
      </c>
      <c r="S30" t="s">
        <v>739</v>
      </c>
      <c r="T30" s="1" t="str">
        <f>IF(Table1[[#This Row],[Owner de la cuenta]]=Table1[[#This Row],[Owner Name]],"Si","No")</f>
        <v>Si</v>
      </c>
      <c r="U30" t="s">
        <v>1223</v>
      </c>
      <c r="V30" t="s">
        <v>5539</v>
      </c>
      <c r="X30" t="s">
        <v>4989</v>
      </c>
    </row>
    <row r="31" spans="3:24" hidden="1" x14ac:dyDescent="0.35">
      <c r="C31" t="str">
        <f>VLOOKUP(D31,Diccionario!A:B,2,0)</f>
        <v>LMM 4</v>
      </c>
      <c r="D31" t="s">
        <v>28</v>
      </c>
      <c r="E31" t="s">
        <v>6</v>
      </c>
      <c r="F31" t="s">
        <v>4340</v>
      </c>
      <c r="H31" s="1">
        <v>46079</v>
      </c>
      <c r="I31" t="s">
        <v>5117</v>
      </c>
      <c r="J31" t="str">
        <f t="shared" si="0"/>
        <v>Güntner de México</v>
      </c>
      <c r="K31" t="str">
        <f>IFERROR(VLOOKUP(Table1[[#This Row],[Top Parent]],'1.- Citas sin this week'!G:G,1,0),"New New")</f>
        <v>Güntner de México</v>
      </c>
      <c r="L31" s="25">
        <f>_xlfn.XLOOKUP(Table1[[#This Row],[Top Parent]],Table3[Top Parent],Table3[Date])</f>
        <v>45988</v>
      </c>
      <c r="M31" s="26">
        <f>Table1[[#This Row],[Date]]-Table1[[#This Row],[Last Date]]</f>
        <v>91</v>
      </c>
      <c r="N31" s="25" t="str">
        <f>_xlfn.XLOOKUP(Table1[[#This Row],[Top Parent]],Table3[Top Parent],Table3[Owner Name])</f>
        <v>Alexandra Ramírez</v>
      </c>
      <c r="O31" s="26"/>
      <c r="P31" t="s">
        <v>403</v>
      </c>
      <c r="Q31" s="1" t="str">
        <f>IF(Table1[[#This Row],[Last Owner]]=Table1[[#This Row],[Owner Name]],"No","Si")</f>
        <v>No</v>
      </c>
      <c r="R31" s="1" t="str">
        <f>IF(Table1[[#This Row],[Diferencia de dias]]&gt;182,"Si","No")</f>
        <v>No</v>
      </c>
      <c r="S31" t="s">
        <v>28</v>
      </c>
      <c r="T31" s="1" t="str">
        <f>IF(Table1[[#This Row],[Owner de la cuenta]]=Table1[[#This Row],[Owner Name]],"Si","No")</f>
        <v>Si</v>
      </c>
      <c r="U31" t="s">
        <v>1224</v>
      </c>
      <c r="V31" t="s">
        <v>5220</v>
      </c>
      <c r="X31" t="s">
        <v>4982</v>
      </c>
    </row>
    <row r="32" spans="3:24" hidden="1" x14ac:dyDescent="0.35">
      <c r="C32" t="str">
        <f>VLOOKUP(D32,Diccionario!A:B,2,0)</f>
        <v>Monterrey</v>
      </c>
      <c r="D32" t="s">
        <v>172</v>
      </c>
      <c r="E32" t="s">
        <v>6</v>
      </c>
      <c r="F32" t="s">
        <v>4956</v>
      </c>
      <c r="H32" s="1">
        <v>46079</v>
      </c>
      <c r="I32" t="s">
        <v>5459</v>
      </c>
      <c r="J32" t="str">
        <f t="shared" si="0"/>
        <v>Tenedora Agnico Eagle México</v>
      </c>
      <c r="K32" t="str">
        <f>IFERROR(VLOOKUP(Table1[[#This Row],[Top Parent]],'1.- Citas sin this week'!G:G,1,0),"New New")</f>
        <v>Tenedora Agnico Eagle México</v>
      </c>
      <c r="L32" s="25">
        <f>_xlfn.XLOOKUP(Table1[[#This Row],[Top Parent]],Table3[Top Parent],Table3[Date])</f>
        <v>46065</v>
      </c>
      <c r="M32" s="26">
        <f>Table1[[#This Row],[Date]]-Table1[[#This Row],[Last Date]]</f>
        <v>14</v>
      </c>
      <c r="N32" s="25" t="str">
        <f>_xlfn.XLOOKUP(Table1[[#This Row],[Top Parent]],Table3[Top Parent],Table3[Owner Name])</f>
        <v>Sergio Mange</v>
      </c>
      <c r="O32" s="26"/>
      <c r="P32" t="s">
        <v>403</v>
      </c>
      <c r="Q32" s="1" t="str">
        <f>IF(Table1[[#This Row],[Last Owner]]=Table1[[#This Row],[Owner Name]],"No","Si")</f>
        <v>No</v>
      </c>
      <c r="R32" s="1" t="str">
        <f>IF(Table1[[#This Row],[Diferencia de dias]]&gt;182,"Si","No")</f>
        <v>No</v>
      </c>
      <c r="S32" t="s">
        <v>172</v>
      </c>
      <c r="T32" s="1" t="str">
        <f>IF(Table1[[#This Row],[Owner de la cuenta]]=Table1[[#This Row],[Owner Name]],"Si","No")</f>
        <v>Si</v>
      </c>
      <c r="U32" t="s">
        <v>4713</v>
      </c>
      <c r="V32" t="s">
        <v>5540</v>
      </c>
      <c r="X32" t="s">
        <v>4991</v>
      </c>
    </row>
    <row r="33" spans="3:24" hidden="1" x14ac:dyDescent="0.35">
      <c r="C33" t="str">
        <f>VLOOKUP(D33,Diccionario!A:B,2,0)</f>
        <v>Guadalajara</v>
      </c>
      <c r="D33" t="s">
        <v>29</v>
      </c>
      <c r="E33" t="s">
        <v>6</v>
      </c>
      <c r="F33" t="s">
        <v>5130</v>
      </c>
      <c r="H33" s="1">
        <v>46079</v>
      </c>
      <c r="I33" t="s">
        <v>5131</v>
      </c>
      <c r="J33" t="str">
        <f t="shared" si="0"/>
        <v>Empaques y diseños de polietileno</v>
      </c>
      <c r="K33" t="str">
        <f>IFERROR(VLOOKUP(Table1[[#This Row],[Top Parent]],'1.- Citas sin this week'!G:G,1,0),"New New")</f>
        <v>New New</v>
      </c>
      <c r="L33" s="25" t="e">
        <f>_xlfn.XLOOKUP(Table1[[#This Row],[Top Parent]],Table3[Top Parent],Table3[Date])</f>
        <v>#N/A</v>
      </c>
      <c r="M33" s="26" t="e">
        <f>Table1[[#This Row],[Date]]-Table1[[#This Row],[Last Date]]</f>
        <v>#N/A</v>
      </c>
      <c r="N33" s="25" t="e">
        <f>_xlfn.XLOOKUP(Table1[[#This Row],[Top Parent]],Table3[Top Parent],Table3[Owner Name])</f>
        <v>#N/A</v>
      </c>
      <c r="O33" s="26"/>
      <c r="P33" t="s">
        <v>403</v>
      </c>
      <c r="Q33" s="1" t="e">
        <f>IF(Table1[[#This Row],[Last Owner]]=Table1[[#This Row],[Owner Name]],"No","Si")</f>
        <v>#N/A</v>
      </c>
      <c r="R33" s="1" t="e">
        <f>IF(Table1[[#This Row],[Diferencia de dias]]&gt;182,"Si","No")</f>
        <v>#N/A</v>
      </c>
      <c r="S33" t="s">
        <v>29</v>
      </c>
      <c r="T33" s="1" t="str">
        <f>IF(Table1[[#This Row],[Owner de la cuenta]]=Table1[[#This Row],[Owner Name]],"Si","No")</f>
        <v>Si</v>
      </c>
      <c r="U33" t="s">
        <v>4716</v>
      </c>
      <c r="V33" t="s">
        <v>5228</v>
      </c>
      <c r="X33" t="s">
        <v>5045</v>
      </c>
    </row>
    <row r="34" spans="3:24" hidden="1" x14ac:dyDescent="0.35">
      <c r="C34" t="str">
        <f>VLOOKUP(D34,Diccionario!A:B,2,0)</f>
        <v>México 1</v>
      </c>
      <c r="D34" t="s">
        <v>2884</v>
      </c>
      <c r="E34" t="s">
        <v>5353</v>
      </c>
      <c r="F34" t="s">
        <v>4002</v>
      </c>
      <c r="H34" s="1">
        <v>46079</v>
      </c>
      <c r="I34" t="s">
        <v>5462</v>
      </c>
      <c r="J34" t="str">
        <f t="shared" ref="J34:J65" si="1">IF(G34="",F34,G34)</f>
        <v>Unifoods</v>
      </c>
      <c r="K34" t="str">
        <f>IFERROR(VLOOKUP(Table1[[#This Row],[Top Parent]],'1.- Citas sin this week'!G:G,1,0),"New New")</f>
        <v>Unifoods</v>
      </c>
      <c r="L34" s="25">
        <f>_xlfn.XLOOKUP(Table1[[#This Row],[Top Parent]],Table3[Top Parent],Table3[Date])</f>
        <v>46030</v>
      </c>
      <c r="M34" s="26">
        <f>Table1[[#This Row],[Date]]-Table1[[#This Row],[Last Date]]</f>
        <v>49</v>
      </c>
      <c r="N34" s="25" t="str">
        <f>_xlfn.XLOOKUP(Table1[[#This Row],[Top Parent]],Table3[Top Parent],Table3[Owner Name])</f>
        <v>Fernando Martin</v>
      </c>
      <c r="O34" s="26"/>
      <c r="P34" t="s">
        <v>403</v>
      </c>
      <c r="Q34" s="1" t="str">
        <f>IF(Table1[[#This Row],[Last Owner]]=Table1[[#This Row],[Owner Name]],"No","Si")</f>
        <v>No</v>
      </c>
      <c r="R34" s="1" t="str">
        <f>IF(Table1[[#This Row],[Diferencia de dias]]&gt;182,"Si","No")</f>
        <v>No</v>
      </c>
      <c r="S34" t="s">
        <v>2884</v>
      </c>
      <c r="T34" s="1" t="str">
        <f>IF(Table1[[#This Row],[Owner de la cuenta]]=Table1[[#This Row],[Owner Name]],"Si","No")</f>
        <v>Si</v>
      </c>
      <c r="U34" t="s">
        <v>1223</v>
      </c>
      <c r="V34" t="s">
        <v>5542</v>
      </c>
      <c r="X34" t="s">
        <v>4981</v>
      </c>
    </row>
    <row r="35" spans="3:24" hidden="1" x14ac:dyDescent="0.35">
      <c r="C35" t="str">
        <f>VLOOKUP(D35,Diccionario!A:B,2,0)</f>
        <v>LMM 1</v>
      </c>
      <c r="D35" t="s">
        <v>14</v>
      </c>
      <c r="E35" t="s">
        <v>6</v>
      </c>
      <c r="F35" t="s">
        <v>1128</v>
      </c>
      <c r="H35" s="1">
        <v>46079</v>
      </c>
      <c r="I35" t="s">
        <v>5120</v>
      </c>
      <c r="J35" t="str">
        <f t="shared" si="1"/>
        <v>Logística Express La Bufa</v>
      </c>
      <c r="K35" t="str">
        <f>IFERROR(VLOOKUP(Table1[[#This Row],[Top Parent]],'1.- Citas sin this week'!G:G,1,0),"New New")</f>
        <v>Logística Express La Bufa</v>
      </c>
      <c r="L35" s="25">
        <f>_xlfn.XLOOKUP(Table1[[#This Row],[Top Parent]],Table3[Top Parent],Table3[Date])</f>
        <v>46070</v>
      </c>
      <c r="M35" s="26">
        <f>Table1[[#This Row],[Date]]-Table1[[#This Row],[Last Date]]</f>
        <v>9</v>
      </c>
      <c r="N35" s="25" t="str">
        <f>_xlfn.XLOOKUP(Table1[[#This Row],[Top Parent]],Table3[Top Parent],Table3[Owner Name])</f>
        <v>Alejandro Monteón</v>
      </c>
      <c r="O35" s="26"/>
      <c r="P35" t="s">
        <v>4712</v>
      </c>
      <c r="Q35" s="1" t="str">
        <f>IF(Table1[[#This Row],[Last Owner]]=Table1[[#This Row],[Owner Name]],"No","Si")</f>
        <v>No</v>
      </c>
      <c r="R35" s="1" t="str">
        <f>IF(Table1[[#This Row],[Diferencia de dias]]&gt;182,"Si","No")</f>
        <v>No</v>
      </c>
      <c r="S35" t="s">
        <v>14</v>
      </c>
      <c r="T35" s="1" t="str">
        <f>IF(Table1[[#This Row],[Owner de la cuenta]]=Table1[[#This Row],[Owner Name]],"Si","No")</f>
        <v>Si</v>
      </c>
      <c r="U35" t="s">
        <v>4977</v>
      </c>
      <c r="V35" t="s">
        <v>5106</v>
      </c>
      <c r="W35">
        <v>11764701.300000001</v>
      </c>
      <c r="X35" t="s">
        <v>4616</v>
      </c>
    </row>
    <row r="36" spans="3:24" hidden="1" x14ac:dyDescent="0.35">
      <c r="C36" t="str">
        <f>VLOOKUP(D36,Diccionario!A:B,2,0)</f>
        <v>LMM 1</v>
      </c>
      <c r="D36" t="s">
        <v>14</v>
      </c>
      <c r="E36" t="s">
        <v>6</v>
      </c>
      <c r="F36" t="s">
        <v>1458</v>
      </c>
      <c r="H36" s="1">
        <v>46079</v>
      </c>
      <c r="I36" t="s">
        <v>5121</v>
      </c>
      <c r="J36" t="str">
        <f t="shared" si="1"/>
        <v>Mova Printing Solutions</v>
      </c>
      <c r="K36" t="str">
        <f>IFERROR(VLOOKUP(Table1[[#This Row],[Top Parent]],'1.- Citas sin this week'!G:G,1,0),"New New")</f>
        <v>Mova Printing Solutions</v>
      </c>
      <c r="L36" s="25">
        <f>_xlfn.XLOOKUP(Table1[[#This Row],[Top Parent]],Table3[Top Parent],Table3[Date])</f>
        <v>45931</v>
      </c>
      <c r="M36" s="26">
        <f>Table1[[#This Row],[Date]]-Table1[[#This Row],[Last Date]]</f>
        <v>148</v>
      </c>
      <c r="N36" s="25" t="str">
        <f>_xlfn.XLOOKUP(Table1[[#This Row],[Top Parent]],Table3[Top Parent],Table3[Owner Name])</f>
        <v>Alejandro Monteón</v>
      </c>
      <c r="O36" s="26"/>
      <c r="P36" t="s">
        <v>4711</v>
      </c>
      <c r="Q36" s="1" t="str">
        <f>IF(Table1[[#This Row],[Last Owner]]=Table1[[#This Row],[Owner Name]],"No","Si")</f>
        <v>No</v>
      </c>
      <c r="R36" s="1" t="str">
        <f>IF(Table1[[#This Row],[Diferencia de dias]]&gt;182,"Si","No")</f>
        <v>No</v>
      </c>
      <c r="S36" t="s">
        <v>14</v>
      </c>
      <c r="T36" s="1" t="str">
        <f>IF(Table1[[#This Row],[Owner de la cuenta]]=Table1[[#This Row],[Owner Name]],"Si","No")</f>
        <v>Si</v>
      </c>
      <c r="U36" t="s">
        <v>4716</v>
      </c>
      <c r="V36" t="s">
        <v>5222</v>
      </c>
      <c r="W36">
        <v>33515744.600000001</v>
      </c>
      <c r="X36" t="s">
        <v>5045</v>
      </c>
    </row>
    <row r="37" spans="3:24" hidden="1" x14ac:dyDescent="0.35">
      <c r="C37" t="str">
        <f>VLOOKUP(D37,Diccionario!A:B,2,0)</f>
        <v>Guadalajara</v>
      </c>
      <c r="D37" t="s">
        <v>24</v>
      </c>
      <c r="E37" t="s">
        <v>6</v>
      </c>
      <c r="F37" t="s">
        <v>5167</v>
      </c>
      <c r="H37" s="1">
        <v>46077</v>
      </c>
      <c r="I37" t="s">
        <v>5503</v>
      </c>
      <c r="J37" t="str">
        <f t="shared" si="1"/>
        <v>Ticoy Foods</v>
      </c>
      <c r="K37" t="str">
        <f>IFERROR(VLOOKUP(Table1[[#This Row],[Top Parent]],'1.- Citas sin this week'!G:G,1,0),"New New")</f>
        <v>New New</v>
      </c>
      <c r="L37" s="25" t="e">
        <f>_xlfn.XLOOKUP(Table1[[#This Row],[Top Parent]],Table3[Top Parent],Table3[Date])</f>
        <v>#N/A</v>
      </c>
      <c r="M37" s="26" t="e">
        <f>Table1[[#This Row],[Date]]-Table1[[#This Row],[Last Date]]</f>
        <v>#N/A</v>
      </c>
      <c r="N37" s="25" t="e">
        <f>_xlfn.XLOOKUP(Table1[[#This Row],[Top Parent]],Table3[Top Parent],Table3[Owner Name])</f>
        <v>#N/A</v>
      </c>
      <c r="O37" s="26"/>
      <c r="P37" t="s">
        <v>403</v>
      </c>
      <c r="Q37" s="1" t="e">
        <f>IF(Table1[[#This Row],[Last Owner]]=Table1[[#This Row],[Owner Name]],"No","Si")</f>
        <v>#N/A</v>
      </c>
      <c r="R37" s="1" t="e">
        <f>IF(Table1[[#This Row],[Diferencia de dias]]&gt;182,"Si","No")</f>
        <v>#N/A</v>
      </c>
      <c r="S37" t="s">
        <v>24</v>
      </c>
      <c r="T37" s="1" t="str">
        <f>IF(Table1[[#This Row],[Owner de la cuenta]]=Table1[[#This Row],[Owner Name]],"Si","No")</f>
        <v>Si</v>
      </c>
      <c r="U37" t="s">
        <v>4869</v>
      </c>
      <c r="V37" t="s">
        <v>5251</v>
      </c>
      <c r="X37" t="s">
        <v>4981</v>
      </c>
    </row>
    <row r="38" spans="3:24" x14ac:dyDescent="0.35">
      <c r="C38" t="str">
        <f>VLOOKUP(D38,Diccionario!A:B,2,0)</f>
        <v>LMM 1</v>
      </c>
      <c r="D38" t="s">
        <v>14</v>
      </c>
      <c r="E38" t="s">
        <v>6</v>
      </c>
      <c r="F38" t="s">
        <v>5143</v>
      </c>
      <c r="H38" s="1">
        <v>46078</v>
      </c>
      <c r="I38" t="s">
        <v>5144</v>
      </c>
      <c r="J38" t="str">
        <f t="shared" si="1"/>
        <v>Industria procesadora de empaques</v>
      </c>
      <c r="K38" t="str">
        <f>IFERROR(VLOOKUP(Table1[[#This Row],[Top Parent]],'1.- Citas sin this week'!G:G,1,0),"New New")</f>
        <v>New New</v>
      </c>
      <c r="L38" s="25" t="e">
        <f>_xlfn.XLOOKUP(Table1[[#This Row],[Top Parent]],Table3[Top Parent],Table3[Date])</f>
        <v>#N/A</v>
      </c>
      <c r="M38" s="26" t="e">
        <f>Table1[[#This Row],[Date]]-Table1[[#This Row],[Last Date]]</f>
        <v>#N/A</v>
      </c>
      <c r="N38" s="25" t="e">
        <f>_xlfn.XLOOKUP(Table1[[#This Row],[Top Parent]],Table3[Top Parent],Table3[Owner Name])</f>
        <v>#N/A</v>
      </c>
      <c r="O38" s="26"/>
      <c r="P38" t="s">
        <v>5574</v>
      </c>
      <c r="Q38" s="1" t="e">
        <f>IF(Table1[[#This Row],[Last Owner]]=Table1[[#This Row],[Owner Name]],"No","Si")</f>
        <v>#N/A</v>
      </c>
      <c r="R38" s="1" t="e">
        <f>IF(Table1[[#This Row],[Diferencia de dias]]&gt;182,"Si","No")</f>
        <v>#N/A</v>
      </c>
      <c r="S38" t="s">
        <v>14</v>
      </c>
      <c r="T38" s="1" t="str">
        <f>IF(Table1[[#This Row],[Owner de la cuenta]]=Table1[[#This Row],[Owner Name]],"Si","No")</f>
        <v>Si</v>
      </c>
      <c r="U38" t="s">
        <v>4716</v>
      </c>
      <c r="V38" t="s">
        <v>5236</v>
      </c>
      <c r="W38">
        <v>1</v>
      </c>
      <c r="X38" t="s">
        <v>4982</v>
      </c>
    </row>
    <row r="39" spans="3:24" x14ac:dyDescent="0.35">
      <c r="C39" t="str">
        <f>VLOOKUP(D39,Diccionario!A:B,2,0)</f>
        <v>LMM 1</v>
      </c>
      <c r="D39" t="s">
        <v>121</v>
      </c>
      <c r="E39" t="s">
        <v>6</v>
      </c>
      <c r="F39" t="s">
        <v>5127</v>
      </c>
      <c r="H39" s="1">
        <v>46079</v>
      </c>
      <c r="I39" t="s">
        <v>5128</v>
      </c>
      <c r="J39" t="str">
        <f t="shared" si="1"/>
        <v>RANCHO LA MEMORIA</v>
      </c>
      <c r="K39" t="str">
        <f>IFERROR(VLOOKUP(Table1[[#This Row],[Top Parent]],'1.- Citas sin this week'!G:G,1,0),"New New")</f>
        <v>New New</v>
      </c>
      <c r="L39" s="25" t="e">
        <f>_xlfn.XLOOKUP(Table1[[#This Row],[Top Parent]],Table3[Top Parent],Table3[Date])</f>
        <v>#N/A</v>
      </c>
      <c r="M39" s="26" t="e">
        <f>Table1[[#This Row],[Date]]-Table1[[#This Row],[Last Date]]</f>
        <v>#N/A</v>
      </c>
      <c r="N39" s="25" t="e">
        <f>_xlfn.XLOOKUP(Table1[[#This Row],[Top Parent]],Table3[Top Parent],Table3[Owner Name])</f>
        <v>#N/A</v>
      </c>
      <c r="O39" s="26"/>
      <c r="Q39" s="1" t="e">
        <f>IF(Table1[[#This Row],[Last Owner]]=Table1[[#This Row],[Owner Name]],"No","Si")</f>
        <v>#N/A</v>
      </c>
      <c r="R39" s="1" t="e">
        <f>IF(Table1[[#This Row],[Diferencia de dias]]&gt;182,"Si","No")</f>
        <v>#N/A</v>
      </c>
      <c r="S39" t="s">
        <v>121</v>
      </c>
      <c r="T39" s="1" t="str">
        <f>IF(Table1[[#This Row],[Owner de la cuenta]]=Table1[[#This Row],[Owner Name]],"Si","No")</f>
        <v>Si</v>
      </c>
      <c r="U39" t="s">
        <v>4976</v>
      </c>
      <c r="V39" t="s">
        <v>5226</v>
      </c>
      <c r="X39" t="s">
        <v>4981</v>
      </c>
    </row>
    <row r="40" spans="3:24" x14ac:dyDescent="0.35">
      <c r="C40" t="str">
        <f>VLOOKUP(D40,Diccionario!A:B,2,0)</f>
        <v>LMM 1</v>
      </c>
      <c r="D40" t="s">
        <v>121</v>
      </c>
      <c r="E40" t="s">
        <v>6</v>
      </c>
      <c r="F40" t="s">
        <v>5141</v>
      </c>
      <c r="H40" s="1">
        <v>46078</v>
      </c>
      <c r="I40" t="s">
        <v>5142</v>
      </c>
      <c r="J40" t="str">
        <f t="shared" si="1"/>
        <v>Energio Servicios de Energía Sostenible</v>
      </c>
      <c r="K40" t="str">
        <f>IFERROR(VLOOKUP(Table1[[#This Row],[Top Parent]],'1.- Citas sin this week'!G:G,1,0),"New New")</f>
        <v>New New</v>
      </c>
      <c r="L40" s="25" t="e">
        <f>_xlfn.XLOOKUP(Table1[[#This Row],[Top Parent]],Table3[Top Parent],Table3[Date])</f>
        <v>#N/A</v>
      </c>
      <c r="M40" s="26" t="e">
        <f>Table1[[#This Row],[Date]]-Table1[[#This Row],[Last Date]]</f>
        <v>#N/A</v>
      </c>
      <c r="N40" s="25" t="e">
        <f>_xlfn.XLOOKUP(Table1[[#This Row],[Top Parent]],Table3[Top Parent],Table3[Owner Name])</f>
        <v>#N/A</v>
      </c>
      <c r="O40" s="26"/>
      <c r="P40" t="s">
        <v>403</v>
      </c>
      <c r="Q40" s="1" t="e">
        <f>IF(Table1[[#This Row],[Last Owner]]=Table1[[#This Row],[Owner Name]],"No","Si")</f>
        <v>#N/A</v>
      </c>
      <c r="R40" s="1" t="e">
        <f>IF(Table1[[#This Row],[Diferencia de dias]]&gt;182,"Si","No")</f>
        <v>#N/A</v>
      </c>
      <c r="S40" t="s">
        <v>121</v>
      </c>
      <c r="T40" s="1" t="str">
        <f>IF(Table1[[#This Row],[Owner de la cuenta]]=Table1[[#This Row],[Owner Name]],"Si","No")</f>
        <v>Si</v>
      </c>
      <c r="U40" t="s">
        <v>4976</v>
      </c>
      <c r="V40" t="s">
        <v>5235</v>
      </c>
      <c r="X40" t="s">
        <v>4985</v>
      </c>
    </row>
    <row r="41" spans="3:24" x14ac:dyDescent="0.35">
      <c r="C41" t="str">
        <f>VLOOKUP(D41,Diccionario!A:B,2,0)</f>
        <v>LMM 1</v>
      </c>
      <c r="D41" t="s">
        <v>1006</v>
      </c>
      <c r="E41" t="s">
        <v>6</v>
      </c>
      <c r="F41" t="s">
        <v>5428</v>
      </c>
      <c r="H41" s="1">
        <v>46080</v>
      </c>
      <c r="I41" t="s">
        <v>5429</v>
      </c>
      <c r="J41" t="str">
        <f t="shared" si="1"/>
        <v>EMBAG PACK</v>
      </c>
      <c r="K41" t="str">
        <f>IFERROR(VLOOKUP(Table1[[#This Row],[Top Parent]],'1.- Citas sin this week'!G:G,1,0),"New New")</f>
        <v>New New</v>
      </c>
      <c r="L41" s="25" t="e">
        <f>_xlfn.XLOOKUP(Table1[[#This Row],[Top Parent]],Table3[Top Parent],Table3[Date])</f>
        <v>#N/A</v>
      </c>
      <c r="M41" s="26" t="e">
        <f>Table1[[#This Row],[Date]]-Table1[[#This Row],[Last Date]]</f>
        <v>#N/A</v>
      </c>
      <c r="N41" s="25" t="e">
        <f>_xlfn.XLOOKUP(Table1[[#This Row],[Top Parent]],Table3[Top Parent],Table3[Owner Name])</f>
        <v>#N/A</v>
      </c>
      <c r="O41" s="26"/>
      <c r="P41" t="s">
        <v>403</v>
      </c>
      <c r="Q41" s="1" t="e">
        <f>IF(Table1[[#This Row],[Last Owner]]=Table1[[#This Row],[Owner Name]],"No","Si")</f>
        <v>#N/A</v>
      </c>
      <c r="R41" s="1" t="e">
        <f>IF(Table1[[#This Row],[Diferencia de dias]]&gt;182,"Si","No")</f>
        <v>#N/A</v>
      </c>
      <c r="S41" t="s">
        <v>1006</v>
      </c>
      <c r="T41" s="1" t="str">
        <f>IF(Table1[[#This Row],[Owner de la cuenta]]=Table1[[#This Row],[Owner Name]],"Si","No")</f>
        <v>Si</v>
      </c>
      <c r="U41" t="s">
        <v>4809</v>
      </c>
      <c r="V41" t="s">
        <v>5519</v>
      </c>
      <c r="X41" t="s">
        <v>4989</v>
      </c>
    </row>
    <row r="42" spans="3:24" x14ac:dyDescent="0.35">
      <c r="C42" t="str">
        <f>VLOOKUP(D42,Diccionario!A:B,2,0)</f>
        <v>LMM 1</v>
      </c>
      <c r="D42" t="s">
        <v>1006</v>
      </c>
      <c r="E42" t="s">
        <v>6</v>
      </c>
      <c r="F42" t="s">
        <v>1724</v>
      </c>
      <c r="H42" s="1">
        <v>46078</v>
      </c>
      <c r="I42" t="s">
        <v>5134</v>
      </c>
      <c r="J42" t="str">
        <f t="shared" si="1"/>
        <v>Jesús Pulido</v>
      </c>
      <c r="K42" t="s">
        <v>804</v>
      </c>
      <c r="L42" s="25">
        <f>_xlfn.XLOOKUP(Table1[[#This Row],[Top Parent]],Table3[Top Parent],Table3[Date])</f>
        <v>45755</v>
      </c>
      <c r="M42" s="26">
        <f>Table1[[#This Row],[Date]]-Table1[[#This Row],[Last Date]]</f>
        <v>323</v>
      </c>
      <c r="N42" s="25" t="str">
        <f>_xlfn.XLOOKUP(Table1[[#This Row],[Top Parent]],Table3[Top Parent],Table3[Owner Name])</f>
        <v>Alejandro Monteón</v>
      </c>
      <c r="O42" s="26"/>
      <c r="P42" t="s">
        <v>403</v>
      </c>
      <c r="Q42" s="1" t="str">
        <f>IF(Table1[[#This Row],[Last Owner]]=Table1[[#This Row],[Owner Name]],"No","Si")</f>
        <v>Si</v>
      </c>
      <c r="R42" s="1" t="str">
        <f>IF(Table1[[#This Row],[Diferencia de dias]]&gt;182,"Si","No")</f>
        <v>Si</v>
      </c>
      <c r="S42" t="s">
        <v>1006</v>
      </c>
      <c r="T42" s="1" t="str">
        <f>IF(Table1[[#This Row],[Owner de la cuenta]]=Table1[[#This Row],[Owner Name]],"Si","No")</f>
        <v>Si</v>
      </c>
      <c r="U42" t="s">
        <v>4809</v>
      </c>
      <c r="V42" t="s">
        <v>5230</v>
      </c>
      <c r="X42" t="s">
        <v>4981</v>
      </c>
    </row>
    <row r="43" spans="3:24" x14ac:dyDescent="0.35">
      <c r="C43" t="str">
        <f>VLOOKUP(D43,Diccionario!A:B,2,0)</f>
        <v>LMM 3</v>
      </c>
      <c r="D43" t="s">
        <v>2693</v>
      </c>
      <c r="E43" t="s">
        <v>6</v>
      </c>
      <c r="F43" t="s">
        <v>5163</v>
      </c>
      <c r="H43" s="1">
        <v>46077</v>
      </c>
      <c r="I43" t="s">
        <v>5164</v>
      </c>
      <c r="J43" t="str">
        <f t="shared" si="1"/>
        <v>Grucotox Construcciones</v>
      </c>
      <c r="K43" t="str">
        <f>IFERROR(VLOOKUP(Table1[[#This Row],[Top Parent]],'1.- Citas sin this week'!G:G,1,0),"New New")</f>
        <v>New New</v>
      </c>
      <c r="L43" s="25" t="e">
        <f>_xlfn.XLOOKUP(Table1[[#This Row],[Top Parent]],Table3[Top Parent],Table3[Date])</f>
        <v>#N/A</v>
      </c>
      <c r="M43" s="26" t="e">
        <f>Table1[[#This Row],[Date]]-Table1[[#This Row],[Last Date]]</f>
        <v>#N/A</v>
      </c>
      <c r="N43" s="25" t="e">
        <f>_xlfn.XLOOKUP(Table1[[#This Row],[Top Parent]],Table3[Top Parent],Table3[Owner Name])</f>
        <v>#N/A</v>
      </c>
      <c r="O43" s="26"/>
      <c r="P43" t="s">
        <v>403</v>
      </c>
      <c r="Q43" s="1" t="e">
        <f>IF(Table1[[#This Row],[Last Owner]]=Table1[[#This Row],[Owner Name]],"No","Si")</f>
        <v>#N/A</v>
      </c>
      <c r="R43" s="1" t="e">
        <f>IF(Table1[[#This Row],[Diferencia de dias]]&gt;182,"Si","No")</f>
        <v>#N/A</v>
      </c>
      <c r="S43" t="s">
        <v>2693</v>
      </c>
      <c r="T43" s="1" t="str">
        <f>IF(Table1[[#This Row],[Owner de la cuenta]]=Table1[[#This Row],[Owner Name]],"Si","No")</f>
        <v>Si</v>
      </c>
      <c r="U43" t="s">
        <v>1223</v>
      </c>
      <c r="V43" t="s">
        <v>5249</v>
      </c>
      <c r="X43" t="s">
        <v>4984</v>
      </c>
    </row>
    <row r="44" spans="3:24" hidden="1" x14ac:dyDescent="0.35">
      <c r="C44" t="str">
        <f>VLOOKUP(D44,Diccionario!A:B,2,0)</f>
        <v>México 1</v>
      </c>
      <c r="D44" t="s">
        <v>739</v>
      </c>
      <c r="E44" t="s">
        <v>6</v>
      </c>
      <c r="F44" t="s">
        <v>304</v>
      </c>
      <c r="H44" s="1">
        <v>46079</v>
      </c>
      <c r="I44" t="s">
        <v>5471</v>
      </c>
      <c r="J44" t="str">
        <f t="shared" si="1"/>
        <v>Robert Bosch Gmbh</v>
      </c>
      <c r="K44" t="str">
        <f>IFERROR(VLOOKUP(Table1[[#This Row],[Top Parent]],'1.- Citas sin this week'!G:G,1,0),"New New")</f>
        <v>Robert Bosch Gmbh</v>
      </c>
      <c r="L44" s="25">
        <f>_xlfn.XLOOKUP(Table1[[#This Row],[Top Parent]],Table3[Top Parent],Table3[Date])</f>
        <v>45862</v>
      </c>
      <c r="M44" s="26">
        <f>Table1[[#This Row],[Date]]-Table1[[#This Row],[Last Date]]</f>
        <v>217</v>
      </c>
      <c r="N44" s="25" t="str">
        <f>_xlfn.XLOOKUP(Table1[[#This Row],[Top Parent]],Table3[Top Parent],Table3[Owner Name])</f>
        <v>Kenia Martinez</v>
      </c>
      <c r="O44" s="26"/>
      <c r="P44" t="s">
        <v>4614</v>
      </c>
      <c r="Q44" s="1" t="str">
        <f>IF(Table1[[#This Row],[Last Owner]]=Table1[[#This Row],[Owner Name]],"No","Si")</f>
        <v>No</v>
      </c>
      <c r="R44" s="1" t="str">
        <f>IF(Table1[[#This Row],[Diferencia de dias]]&gt;182,"Si","No")</f>
        <v>Si</v>
      </c>
      <c r="S44" t="s">
        <v>739</v>
      </c>
      <c r="T44" s="1" t="str">
        <f>IF(Table1[[#This Row],[Owner de la cuenta]]=Table1[[#This Row],[Owner Name]],"Si","No")</f>
        <v>Si</v>
      </c>
      <c r="U44" t="s">
        <v>1223</v>
      </c>
      <c r="V44" t="s">
        <v>5548</v>
      </c>
      <c r="W44">
        <v>0</v>
      </c>
      <c r="X44" t="s">
        <v>5108</v>
      </c>
    </row>
    <row r="45" spans="3:24" x14ac:dyDescent="0.35">
      <c r="C45" t="str">
        <f>VLOOKUP(D45,Diccionario!A:B,2,0)</f>
        <v>LMM 3</v>
      </c>
      <c r="D45" t="s">
        <v>2693</v>
      </c>
      <c r="E45" t="s">
        <v>6</v>
      </c>
      <c r="F45" t="s">
        <v>5198</v>
      </c>
      <c r="H45" s="1">
        <v>46076</v>
      </c>
      <c r="I45" t="s">
        <v>5199</v>
      </c>
      <c r="J45" t="str">
        <f t="shared" si="1"/>
        <v>Lite Tek</v>
      </c>
      <c r="K45" t="str">
        <f>IFERROR(VLOOKUP(Table1[[#This Row],[Top Parent]],'1.- Citas sin this week'!G:G,1,0),"New New")</f>
        <v>New New</v>
      </c>
      <c r="L45" s="25" t="e">
        <f>_xlfn.XLOOKUP(Table1[[#This Row],[Top Parent]],Table3[Top Parent],Table3[Date])</f>
        <v>#N/A</v>
      </c>
      <c r="M45" s="26" t="e">
        <f>Table1[[#This Row],[Date]]-Table1[[#This Row],[Last Date]]</f>
        <v>#N/A</v>
      </c>
      <c r="N45" s="25" t="e">
        <f>_xlfn.XLOOKUP(Table1[[#This Row],[Top Parent]],Table3[Top Parent],Table3[Owner Name])</f>
        <v>#N/A</v>
      </c>
      <c r="O45" s="26"/>
      <c r="P45" t="s">
        <v>403</v>
      </c>
      <c r="Q45" s="1" t="e">
        <f>IF(Table1[[#This Row],[Last Owner]]=Table1[[#This Row],[Owner Name]],"No","Si")</f>
        <v>#N/A</v>
      </c>
      <c r="R45" s="1" t="e">
        <f>IF(Table1[[#This Row],[Diferencia de dias]]&gt;182,"Si","No")</f>
        <v>#N/A</v>
      </c>
      <c r="S45" t="s">
        <v>2693</v>
      </c>
      <c r="T45" s="1" t="str">
        <f>IF(Table1[[#This Row],[Owner de la cuenta]]=Table1[[#This Row],[Owner Name]],"Si","No")</f>
        <v>Si</v>
      </c>
      <c r="U45" t="s">
        <v>4615</v>
      </c>
      <c r="V45" t="s">
        <v>5268</v>
      </c>
      <c r="X45" t="s">
        <v>4982</v>
      </c>
    </row>
    <row r="46" spans="3:24" hidden="1" x14ac:dyDescent="0.35">
      <c r="C46" t="str">
        <f>VLOOKUP(D46,Diccionario!A:B,2,0)</f>
        <v>México 2</v>
      </c>
      <c r="D46" t="s">
        <v>26</v>
      </c>
      <c r="E46" t="s">
        <v>6</v>
      </c>
      <c r="F46" t="s">
        <v>5398</v>
      </c>
      <c r="G46" t="s">
        <v>4582</v>
      </c>
      <c r="H46" s="1">
        <v>46079</v>
      </c>
      <c r="I46" t="s">
        <v>5473</v>
      </c>
      <c r="J46" t="str">
        <f t="shared" si="1"/>
        <v>Isa Corporativo</v>
      </c>
      <c r="K46" t="str">
        <f>IFERROR(VLOOKUP(Table1[[#This Row],[Top Parent]],'1.- Citas sin this week'!G:G,1,0),"New New")</f>
        <v>Isa Corporativo</v>
      </c>
      <c r="L46" s="25">
        <f>_xlfn.XLOOKUP(Table1[[#This Row],[Top Parent]],Table3[Top Parent],Table3[Date])</f>
        <v>46030</v>
      </c>
      <c r="M46" s="26">
        <f>Table1[[#This Row],[Date]]-Table1[[#This Row],[Last Date]]</f>
        <v>49</v>
      </c>
      <c r="N46" s="25" t="str">
        <f>_xlfn.XLOOKUP(Table1[[#This Row],[Top Parent]],Table3[Top Parent],Table3[Owner Name])</f>
        <v>Octavio Chimal</v>
      </c>
      <c r="O46" s="26"/>
      <c r="P46" t="s">
        <v>4614</v>
      </c>
      <c r="Q46" s="1" t="str">
        <f>IF(Table1[[#This Row],[Last Owner]]=Table1[[#This Row],[Owner Name]],"No","Si")</f>
        <v>No</v>
      </c>
      <c r="R46" s="1" t="str">
        <f>IF(Table1[[#This Row],[Diferencia de dias]]&gt;182,"Si","No")</f>
        <v>No</v>
      </c>
      <c r="S46" t="s">
        <v>5516</v>
      </c>
      <c r="T46" s="1" t="str">
        <f>IF(Table1[[#This Row],[Owner de la cuenta]]=Table1[[#This Row],[Owner Name]],"Si","No")</f>
        <v>No</v>
      </c>
      <c r="U46" t="s">
        <v>1223</v>
      </c>
      <c r="V46" t="s">
        <v>5549</v>
      </c>
      <c r="W46">
        <v>0</v>
      </c>
      <c r="X46" t="s">
        <v>4990</v>
      </c>
    </row>
    <row r="47" spans="3:24" x14ac:dyDescent="0.35">
      <c r="C47" t="str">
        <f>VLOOKUP(D47,Diccionario!A:B,2,0)</f>
        <v>LMM 3</v>
      </c>
      <c r="D47" t="s">
        <v>25</v>
      </c>
      <c r="E47" t="s">
        <v>6</v>
      </c>
      <c r="F47" t="s">
        <v>2200</v>
      </c>
      <c r="H47" s="1">
        <v>46079</v>
      </c>
      <c r="I47" t="s">
        <v>5119</v>
      </c>
      <c r="J47" t="str">
        <f t="shared" si="1"/>
        <v>JCB</v>
      </c>
      <c r="K47" t="s">
        <v>804</v>
      </c>
      <c r="L47" s="25">
        <f>_xlfn.XLOOKUP(Table1[[#This Row],[Top Parent]],Table3[Top Parent],Table3[Date])</f>
        <v>45792</v>
      </c>
      <c r="M47" s="26">
        <f>Table1[[#This Row],[Date]]-Table1[[#This Row],[Last Date]]</f>
        <v>287</v>
      </c>
      <c r="N47" s="25" t="str">
        <f>_xlfn.XLOOKUP(Table1[[#This Row],[Top Parent]],Table3[Top Parent],Table3[Owner Name])</f>
        <v>Rene Lopez</v>
      </c>
      <c r="O47" s="26"/>
      <c r="P47" t="s">
        <v>403</v>
      </c>
      <c r="Q47" s="1" t="str">
        <f>IF(Table1[[#This Row],[Last Owner]]=Table1[[#This Row],[Owner Name]],"No","Si")</f>
        <v>Si</v>
      </c>
      <c r="R47" s="1" t="str">
        <f>IF(Table1[[#This Row],[Diferencia de dias]]&gt;182,"Si","No")</f>
        <v>Si</v>
      </c>
      <c r="S47" t="s">
        <v>25</v>
      </c>
      <c r="T47" s="1" t="str">
        <f>IF(Table1[[#This Row],[Owner de la cuenta]]=Table1[[#This Row],[Owner Name]],"Si","No")</f>
        <v>Si</v>
      </c>
      <c r="U47" t="s">
        <v>4615</v>
      </c>
      <c r="V47" t="s">
        <v>5221</v>
      </c>
      <c r="X47" t="s">
        <v>4982</v>
      </c>
    </row>
    <row r="48" spans="3:24" hidden="1" x14ac:dyDescent="0.35">
      <c r="C48" t="str">
        <f>VLOOKUP(D48,Diccionario!A:B,2,0)</f>
        <v>LMM 3</v>
      </c>
      <c r="D48" t="s">
        <v>4696</v>
      </c>
      <c r="E48" t="s">
        <v>6</v>
      </c>
      <c r="F48" t="s">
        <v>5474</v>
      </c>
      <c r="H48" s="1">
        <v>46079</v>
      </c>
      <c r="I48" t="s">
        <v>5475</v>
      </c>
      <c r="J48" t="str">
        <f t="shared" si="1"/>
        <v>Intersyst Seguridad y Control</v>
      </c>
      <c r="K48" t="str">
        <f>IFERROR(VLOOKUP(Table1[[#This Row],[Top Parent]],'1.- Citas sin this week'!G:G,1,0),"New New")</f>
        <v>New New</v>
      </c>
      <c r="L48" s="25" t="e">
        <f>_xlfn.XLOOKUP(Table1[[#This Row],[Top Parent]],Table3[Top Parent],Table3[Date])</f>
        <v>#N/A</v>
      </c>
      <c r="M48" s="26" t="e">
        <f>Table1[[#This Row],[Date]]-Table1[[#This Row],[Last Date]]</f>
        <v>#N/A</v>
      </c>
      <c r="N48" s="25" t="e">
        <f>_xlfn.XLOOKUP(Table1[[#This Row],[Top Parent]],Table3[Top Parent],Table3[Owner Name])</f>
        <v>#N/A</v>
      </c>
      <c r="O48" s="26"/>
      <c r="P48" t="s">
        <v>4712</v>
      </c>
      <c r="Q48" s="1" t="e">
        <f>IF(Table1[[#This Row],[Last Owner]]=Table1[[#This Row],[Owner Name]],"No","Si")</f>
        <v>#N/A</v>
      </c>
      <c r="R48" s="1" t="e">
        <f>IF(Table1[[#This Row],[Diferencia de dias]]&gt;182,"Si","No")</f>
        <v>#N/A</v>
      </c>
      <c r="S48" t="s">
        <v>4696</v>
      </c>
      <c r="T48" s="1" t="str">
        <f>IF(Table1[[#This Row],[Owner de la cuenta]]=Table1[[#This Row],[Owner Name]],"Si","No")</f>
        <v>Si</v>
      </c>
      <c r="U48" t="s">
        <v>4629</v>
      </c>
      <c r="V48" t="s">
        <v>5550</v>
      </c>
      <c r="W48">
        <v>640826.80000000005</v>
      </c>
      <c r="X48" t="s">
        <v>4982</v>
      </c>
    </row>
    <row r="49" spans="3:24" x14ac:dyDescent="0.35">
      <c r="C49" t="str">
        <f>VLOOKUP(D49,Diccionario!A:B,2,0)</f>
        <v>LMM 3</v>
      </c>
      <c r="D49" t="s">
        <v>208</v>
      </c>
      <c r="E49" t="s">
        <v>6</v>
      </c>
      <c r="F49" t="s">
        <v>5456</v>
      </c>
      <c r="H49" s="1">
        <v>46079</v>
      </c>
      <c r="I49" t="s">
        <v>5457</v>
      </c>
      <c r="J49" t="str">
        <f t="shared" si="1"/>
        <v>Aceites Sustentables de Palma</v>
      </c>
      <c r="K49" t="str">
        <f>IFERROR(VLOOKUP(Table1[[#This Row],[Top Parent]],'1.- Citas sin this week'!G:G,1,0),"New New")</f>
        <v>New New</v>
      </c>
      <c r="L49" s="25" t="e">
        <f>_xlfn.XLOOKUP(Table1[[#This Row],[Top Parent]],Table3[Top Parent],Table3[Date])</f>
        <v>#N/A</v>
      </c>
      <c r="M49" s="26" t="e">
        <f>Table1[[#This Row],[Date]]-Table1[[#This Row],[Last Date]]</f>
        <v>#N/A</v>
      </c>
      <c r="N49" s="25" t="e">
        <f>_xlfn.XLOOKUP(Table1[[#This Row],[Top Parent]],Table3[Top Parent],Table3[Owner Name])</f>
        <v>#N/A</v>
      </c>
      <c r="O49" s="26"/>
      <c r="Q49" s="1" t="e">
        <f>IF(Table1[[#This Row],[Last Owner]]=Table1[[#This Row],[Owner Name]],"No","Si")</f>
        <v>#N/A</v>
      </c>
      <c r="R49" s="1" t="e">
        <f>IF(Table1[[#This Row],[Diferencia de dias]]&gt;182,"Si","No")</f>
        <v>#N/A</v>
      </c>
      <c r="S49" t="s">
        <v>208</v>
      </c>
      <c r="T49" s="1" t="str">
        <f>IF(Table1[[#This Row],[Owner de la cuenta]]=Table1[[#This Row],[Owner Name]],"Si","No")</f>
        <v>Si</v>
      </c>
      <c r="U49" t="s">
        <v>1223</v>
      </c>
      <c r="V49" t="s">
        <v>5538</v>
      </c>
      <c r="X49" t="s">
        <v>4981</v>
      </c>
    </row>
    <row r="50" spans="3:24" x14ac:dyDescent="0.35">
      <c r="C50" t="str">
        <f>VLOOKUP(D50,Diccionario!A:B,2,0)</f>
        <v>LMM 3</v>
      </c>
      <c r="D50" t="s">
        <v>169</v>
      </c>
      <c r="E50" t="s">
        <v>6</v>
      </c>
      <c r="F50" t="s">
        <v>5183</v>
      </c>
      <c r="H50" s="1">
        <v>46077</v>
      </c>
      <c r="I50" t="s">
        <v>5184</v>
      </c>
      <c r="J50" t="str">
        <f t="shared" si="1"/>
        <v>Productos Helados Milky Mich</v>
      </c>
      <c r="K50" t="str">
        <f>IFERROR(VLOOKUP(Table1[[#This Row],[Top Parent]],'1.- Citas sin this week'!G:G,1,0),"New New")</f>
        <v>New New</v>
      </c>
      <c r="L50" s="25" t="e">
        <f>_xlfn.XLOOKUP(Table1[[#This Row],[Top Parent]],Table3[Top Parent],Table3[Date])</f>
        <v>#N/A</v>
      </c>
      <c r="M50" s="26" t="e">
        <f>Table1[[#This Row],[Date]]-Table1[[#This Row],[Last Date]]</f>
        <v>#N/A</v>
      </c>
      <c r="N50" s="25" t="e">
        <f>_xlfn.XLOOKUP(Table1[[#This Row],[Top Parent]],Table3[Top Parent],Table3[Owner Name])</f>
        <v>#N/A</v>
      </c>
      <c r="O50" s="26"/>
      <c r="P50" t="s">
        <v>403</v>
      </c>
      <c r="Q50" s="1" t="e">
        <f>IF(Table1[[#This Row],[Last Owner]]=Table1[[#This Row],[Owner Name]],"No","Si")</f>
        <v>#N/A</v>
      </c>
      <c r="R50" s="1" t="e">
        <f>IF(Table1[[#This Row],[Diferencia de dias]]&gt;182,"Si","No")</f>
        <v>#N/A</v>
      </c>
      <c r="S50" t="s">
        <v>169</v>
      </c>
      <c r="T50" s="1" t="str">
        <f>IF(Table1[[#This Row],[Owner de la cuenta]]=Table1[[#This Row],[Owner Name]],"Si","No")</f>
        <v>Si</v>
      </c>
      <c r="U50" t="s">
        <v>4718</v>
      </c>
      <c r="V50" t="s">
        <v>5259</v>
      </c>
      <c r="X50" t="s">
        <v>4981</v>
      </c>
    </row>
    <row r="51" spans="3:24" x14ac:dyDescent="0.35">
      <c r="C51" t="str">
        <f>VLOOKUP(D51,Diccionario!A:B,2,0)</f>
        <v>LMM 3</v>
      </c>
      <c r="D51" t="s">
        <v>4696</v>
      </c>
      <c r="E51" t="s">
        <v>6</v>
      </c>
      <c r="F51" t="s">
        <v>5463</v>
      </c>
      <c r="H51" s="1">
        <v>46079</v>
      </c>
      <c r="I51" t="s">
        <v>5464</v>
      </c>
      <c r="J51" t="str">
        <f t="shared" si="1"/>
        <v>Geoperfora del Golfo</v>
      </c>
      <c r="K51" t="str">
        <f>IFERROR(VLOOKUP(Table1[[#This Row],[Top Parent]],'1.- Citas sin this week'!G:G,1,0),"New New")</f>
        <v>New New</v>
      </c>
      <c r="L51" s="25" t="e">
        <f>_xlfn.XLOOKUP(Table1[[#This Row],[Top Parent]],Table3[Top Parent],Table3[Date])</f>
        <v>#N/A</v>
      </c>
      <c r="M51" s="26" t="e">
        <f>Table1[[#This Row],[Date]]-Table1[[#This Row],[Last Date]]</f>
        <v>#N/A</v>
      </c>
      <c r="N51" s="25" t="e">
        <f>_xlfn.XLOOKUP(Table1[[#This Row],[Top Parent]],Table3[Top Parent],Table3[Owner Name])</f>
        <v>#N/A</v>
      </c>
      <c r="O51" s="26"/>
      <c r="P51" t="s">
        <v>4614</v>
      </c>
      <c r="Q51" s="1" t="e">
        <f>IF(Table1[[#This Row],[Last Owner]]=Table1[[#This Row],[Owner Name]],"No","Si")</f>
        <v>#N/A</v>
      </c>
      <c r="R51" s="1" t="e">
        <f>IF(Table1[[#This Row],[Diferencia de dias]]&gt;182,"Si","No")</f>
        <v>#N/A</v>
      </c>
      <c r="S51" t="s">
        <v>4696</v>
      </c>
      <c r="T51" s="1" t="str">
        <f>IF(Table1[[#This Row],[Owner de la cuenta]]=Table1[[#This Row],[Owner Name]],"Si","No")</f>
        <v>Si</v>
      </c>
      <c r="U51" t="s">
        <v>4629</v>
      </c>
      <c r="V51" t="s">
        <v>5543</v>
      </c>
      <c r="W51">
        <v>0</v>
      </c>
      <c r="X51" t="s">
        <v>4984</v>
      </c>
    </row>
    <row r="52" spans="3:24" x14ac:dyDescent="0.35">
      <c r="C52" t="str">
        <f>VLOOKUP(D52,Diccionario!A:B,2,0)</f>
        <v>LMM 3</v>
      </c>
      <c r="D52" t="s">
        <v>4696</v>
      </c>
      <c r="E52" t="s">
        <v>6</v>
      </c>
      <c r="F52" t="s">
        <v>5122</v>
      </c>
      <c r="H52" s="1">
        <v>46079</v>
      </c>
      <c r="I52" t="s">
        <v>5123</v>
      </c>
      <c r="J52" t="str">
        <f t="shared" si="1"/>
        <v>Manufacturera 3M</v>
      </c>
      <c r="K52" t="str">
        <f>IFERROR(VLOOKUP(Table1[[#This Row],[Top Parent]],'1.- Citas sin this week'!G:G,1,0),"New New")</f>
        <v>New New</v>
      </c>
      <c r="L52" s="25" t="e">
        <f>_xlfn.XLOOKUP(Table1[[#This Row],[Top Parent]],Table3[Top Parent],Table3[Date])</f>
        <v>#N/A</v>
      </c>
      <c r="M52" s="26" t="e">
        <f>Table1[[#This Row],[Date]]-Table1[[#This Row],[Last Date]]</f>
        <v>#N/A</v>
      </c>
      <c r="N52" s="25" t="e">
        <f>_xlfn.XLOOKUP(Table1[[#This Row],[Top Parent]],Table3[Top Parent],Table3[Owner Name])</f>
        <v>#N/A</v>
      </c>
      <c r="O52" s="26"/>
      <c r="P52" t="s">
        <v>403</v>
      </c>
      <c r="Q52" s="1" t="e">
        <f>IF(Table1[[#This Row],[Last Owner]]=Table1[[#This Row],[Owner Name]],"No","Si")</f>
        <v>#N/A</v>
      </c>
      <c r="R52" s="1" t="e">
        <f>IF(Table1[[#This Row],[Diferencia de dias]]&gt;182,"Si","No")</f>
        <v>#N/A</v>
      </c>
      <c r="S52" t="s">
        <v>4696</v>
      </c>
      <c r="T52" s="1" t="str">
        <f>IF(Table1[[#This Row],[Owner de la cuenta]]=Table1[[#This Row],[Owner Name]],"Si","No")</f>
        <v>Si</v>
      </c>
      <c r="U52" t="s">
        <v>4629</v>
      </c>
      <c r="V52" t="s">
        <v>5223</v>
      </c>
      <c r="X52" t="s">
        <v>4982</v>
      </c>
    </row>
    <row r="53" spans="3:24" x14ac:dyDescent="0.35">
      <c r="C53" t="str">
        <f>VLOOKUP(D53,Diccionario!A:B,2,0)</f>
        <v>LMM 3</v>
      </c>
      <c r="D53" t="s">
        <v>4696</v>
      </c>
      <c r="E53" t="s">
        <v>6</v>
      </c>
      <c r="F53" t="s">
        <v>5161</v>
      </c>
      <c r="H53" s="1">
        <v>46077</v>
      </c>
      <c r="I53" t="s">
        <v>5162</v>
      </c>
      <c r="J53" t="str">
        <f t="shared" si="1"/>
        <v>Manuel Jedidias Islas Bonilla</v>
      </c>
      <c r="K53" t="str">
        <f>IFERROR(VLOOKUP(Table1[[#This Row],[Top Parent]],'1.- Citas sin this week'!G:G,1,0),"New New")</f>
        <v>New New</v>
      </c>
      <c r="L53" s="25" t="e">
        <f>_xlfn.XLOOKUP(Table1[[#This Row],[Top Parent]],Table3[Top Parent],Table3[Date])</f>
        <v>#N/A</v>
      </c>
      <c r="M53" s="26" t="e">
        <f>Table1[[#This Row],[Date]]-Table1[[#This Row],[Last Date]]</f>
        <v>#N/A</v>
      </c>
      <c r="N53" s="25" t="e">
        <f>_xlfn.XLOOKUP(Table1[[#This Row],[Top Parent]],Table3[Top Parent],Table3[Owner Name])</f>
        <v>#N/A</v>
      </c>
      <c r="O53" s="26"/>
      <c r="P53" t="s">
        <v>403</v>
      </c>
      <c r="Q53" s="1" t="e">
        <f>IF(Table1[[#This Row],[Last Owner]]=Table1[[#This Row],[Owner Name]],"No","Si")</f>
        <v>#N/A</v>
      </c>
      <c r="R53" s="1" t="e">
        <f>IF(Table1[[#This Row],[Diferencia de dias]]&gt;182,"Si","No")</f>
        <v>#N/A</v>
      </c>
      <c r="S53" t="s">
        <v>4696</v>
      </c>
      <c r="T53" s="1" t="str">
        <f>IF(Table1[[#This Row],[Owner de la cuenta]]=Table1[[#This Row],[Owner Name]],"Si","No")</f>
        <v>Si</v>
      </c>
      <c r="U53" t="s">
        <v>5215</v>
      </c>
      <c r="V53" t="s">
        <v>5248</v>
      </c>
      <c r="X53" t="s">
        <v>4981</v>
      </c>
    </row>
    <row r="54" spans="3:24" hidden="1" x14ac:dyDescent="0.35">
      <c r="C54" t="str">
        <f>VLOOKUP(D54,Diccionario!A:B,2,0)</f>
        <v>Monterrey</v>
      </c>
      <c r="D54" t="s">
        <v>172</v>
      </c>
      <c r="E54" t="s">
        <v>6</v>
      </c>
      <c r="F54" t="s">
        <v>866</v>
      </c>
      <c r="H54" s="1">
        <v>46078</v>
      </c>
      <c r="I54" t="s">
        <v>5479</v>
      </c>
      <c r="J54" t="str">
        <f t="shared" si="1"/>
        <v>Compañia Impresora Especializada</v>
      </c>
      <c r="K54" t="str">
        <f>IFERROR(VLOOKUP(Table1[[#This Row],[Top Parent]],'1.- Citas sin this week'!G:G,1,0),"New New")</f>
        <v>Compañia Impresora Especializada</v>
      </c>
      <c r="L54" s="25">
        <f>_xlfn.XLOOKUP(Table1[[#This Row],[Top Parent]],Table3[Top Parent],Table3[Date])</f>
        <v>46049</v>
      </c>
      <c r="M54" s="26">
        <f>Table1[[#This Row],[Date]]-Table1[[#This Row],[Last Date]]</f>
        <v>29</v>
      </c>
      <c r="N54" s="25" t="str">
        <f>_xlfn.XLOOKUP(Table1[[#This Row],[Top Parent]],Table3[Top Parent],Table3[Owner Name])</f>
        <v>Sergio Mange</v>
      </c>
      <c r="O54" s="26"/>
      <c r="P54" t="s">
        <v>4712</v>
      </c>
      <c r="Q54" s="1" t="str">
        <f>IF(Table1[[#This Row],[Last Owner]]=Table1[[#This Row],[Owner Name]],"No","Si")</f>
        <v>No</v>
      </c>
      <c r="R54" s="1" t="str">
        <f>IF(Table1[[#This Row],[Diferencia de dias]]&gt;182,"Si","No")</f>
        <v>No</v>
      </c>
      <c r="S54" t="s">
        <v>172</v>
      </c>
      <c r="T54" s="1" t="str">
        <f>IF(Table1[[#This Row],[Owner de la cuenta]]=Table1[[#This Row],[Owner Name]],"Si","No")</f>
        <v>Si</v>
      </c>
      <c r="U54" t="s">
        <v>1224</v>
      </c>
      <c r="V54" t="s">
        <v>5552</v>
      </c>
      <c r="W54">
        <v>11160322.1</v>
      </c>
      <c r="X54" t="s">
        <v>5045</v>
      </c>
    </row>
    <row r="55" spans="3:24" x14ac:dyDescent="0.35">
      <c r="C55" t="str">
        <f>VLOOKUP(D55,Diccionario!A:B,2,0)</f>
        <v>LMM 3</v>
      </c>
      <c r="D55" t="s">
        <v>4696</v>
      </c>
      <c r="E55" t="s">
        <v>6</v>
      </c>
      <c r="F55" t="s">
        <v>5506</v>
      </c>
      <c r="H55" s="1">
        <v>46077</v>
      </c>
      <c r="I55" t="s">
        <v>5507</v>
      </c>
      <c r="J55" t="str">
        <f t="shared" si="1"/>
        <v>Etesla</v>
      </c>
      <c r="K55" t="str">
        <f>IFERROR(VLOOKUP(Table1[[#This Row],[Top Parent]],'1.- Citas sin this week'!G:G,1,0),"New New")</f>
        <v>New New</v>
      </c>
      <c r="L55" s="25" t="e">
        <f>_xlfn.XLOOKUP(Table1[[#This Row],[Top Parent]],Table3[Top Parent],Table3[Date])</f>
        <v>#N/A</v>
      </c>
      <c r="M55" s="26" t="e">
        <f>Table1[[#This Row],[Date]]-Table1[[#This Row],[Last Date]]</f>
        <v>#N/A</v>
      </c>
      <c r="N55" s="25" t="e">
        <f>_xlfn.XLOOKUP(Table1[[#This Row],[Top Parent]],Table3[Top Parent],Table3[Owner Name])</f>
        <v>#N/A</v>
      </c>
      <c r="O55" s="26"/>
      <c r="P55" t="s">
        <v>403</v>
      </c>
      <c r="Q55" s="1" t="e">
        <f>IF(Table1[[#This Row],[Last Owner]]=Table1[[#This Row],[Owner Name]],"No","Si")</f>
        <v>#N/A</v>
      </c>
      <c r="R55" s="1" t="e">
        <f>IF(Table1[[#This Row],[Diferencia de dias]]&gt;182,"Si","No")</f>
        <v>#N/A</v>
      </c>
      <c r="S55" t="s">
        <v>5515</v>
      </c>
      <c r="T55" s="1" t="s">
        <v>5575</v>
      </c>
      <c r="U55" t="s">
        <v>4629</v>
      </c>
      <c r="V55" t="s">
        <v>5569</v>
      </c>
      <c r="X55" t="s">
        <v>4980</v>
      </c>
    </row>
    <row r="56" spans="3:24" hidden="1" x14ac:dyDescent="0.35">
      <c r="C56" t="str">
        <f>VLOOKUP(D56,Diccionario!A:B,2,0)</f>
        <v>LMM 3</v>
      </c>
      <c r="D56" t="s">
        <v>169</v>
      </c>
      <c r="E56" t="s">
        <v>6</v>
      </c>
      <c r="F56" t="s">
        <v>2973</v>
      </c>
      <c r="H56" s="1">
        <v>46078</v>
      </c>
      <c r="I56" t="s">
        <v>5137</v>
      </c>
      <c r="J56" t="str">
        <f t="shared" si="1"/>
        <v>SYNELMEX</v>
      </c>
      <c r="K56" t="str">
        <f>IFERROR(VLOOKUP(Table1[[#This Row],[Top Parent]],'1.- Citas sin this week'!G:G,1,0),"New New")</f>
        <v>SYNELMEX</v>
      </c>
      <c r="L56" s="25">
        <f>_xlfn.XLOOKUP(Table1[[#This Row],[Top Parent]],Table3[Top Parent],Table3[Date])</f>
        <v>46041</v>
      </c>
      <c r="M56" s="26">
        <f>Table1[[#This Row],[Date]]-Table1[[#This Row],[Last Date]]</f>
        <v>37</v>
      </c>
      <c r="N56" s="25" t="str">
        <f>_xlfn.XLOOKUP(Table1[[#This Row],[Top Parent]],Table3[Top Parent],Table3[Owner Name])</f>
        <v>Teresa Cisneros</v>
      </c>
      <c r="O56" s="26"/>
      <c r="P56" t="s">
        <v>403</v>
      </c>
      <c r="Q56" s="1" t="str">
        <f>IF(Table1[[#This Row],[Last Owner]]=Table1[[#This Row],[Owner Name]],"No","Si")</f>
        <v>No</v>
      </c>
      <c r="R56" s="1" t="str">
        <f>IF(Table1[[#This Row],[Diferencia de dias]]&gt;182,"Si","No")</f>
        <v>No</v>
      </c>
      <c r="S56" t="s">
        <v>169</v>
      </c>
      <c r="T56" s="1" t="str">
        <f>IF(Table1[[#This Row],[Owner de la cuenta]]=Table1[[#This Row],[Owner Name]],"Si","No")</f>
        <v>Si</v>
      </c>
      <c r="U56" t="s">
        <v>1223</v>
      </c>
      <c r="V56" t="s">
        <v>5232</v>
      </c>
      <c r="X56" t="s">
        <v>4980</v>
      </c>
    </row>
    <row r="57" spans="3:24" x14ac:dyDescent="0.35">
      <c r="C57" t="str">
        <f>VLOOKUP(D57,Diccionario!A:B,2,0)</f>
        <v>LMM 4</v>
      </c>
      <c r="D57" t="s">
        <v>37</v>
      </c>
      <c r="E57" t="s">
        <v>6</v>
      </c>
      <c r="F57" t="s">
        <v>5172</v>
      </c>
      <c r="H57" s="1">
        <v>46077</v>
      </c>
      <c r="I57" t="s">
        <v>5173</v>
      </c>
      <c r="J57" t="str">
        <f t="shared" si="1"/>
        <v>Pecom</v>
      </c>
      <c r="K57" t="str">
        <f>IFERROR(VLOOKUP(Table1[[#This Row],[Top Parent]],'1.- Citas sin this week'!G:G,1,0),"New New")</f>
        <v>New New</v>
      </c>
      <c r="L57" s="25" t="e">
        <f>_xlfn.XLOOKUP(Table1[[#This Row],[Top Parent]],Table3[Top Parent],Table3[Date])</f>
        <v>#N/A</v>
      </c>
      <c r="M57" s="26" t="e">
        <f>Table1[[#This Row],[Date]]-Table1[[#This Row],[Last Date]]</f>
        <v>#N/A</v>
      </c>
      <c r="N57" s="25" t="e">
        <f>_xlfn.XLOOKUP(Table1[[#This Row],[Top Parent]],Table3[Top Parent],Table3[Owner Name])</f>
        <v>#N/A</v>
      </c>
      <c r="O57" s="26"/>
      <c r="P57" t="s">
        <v>403</v>
      </c>
      <c r="Q57" s="1" t="e">
        <f>IF(Table1[[#This Row],[Last Owner]]=Table1[[#This Row],[Owner Name]],"No","Si")</f>
        <v>#N/A</v>
      </c>
      <c r="R57" s="1" t="e">
        <f>IF(Table1[[#This Row],[Diferencia de dias]]&gt;182,"Si","No")</f>
        <v>#N/A</v>
      </c>
      <c r="S57" t="s">
        <v>37</v>
      </c>
      <c r="T57" s="1" t="str">
        <f>IF(Table1[[#This Row],[Owner de la cuenta]]=Table1[[#This Row],[Owner Name]],"Si","No")</f>
        <v>Si</v>
      </c>
      <c r="U57" t="s">
        <v>4714</v>
      </c>
      <c r="V57" t="s">
        <v>5255</v>
      </c>
      <c r="X57" t="s">
        <v>4988</v>
      </c>
    </row>
    <row r="58" spans="3:24" hidden="1" x14ac:dyDescent="0.35">
      <c r="C58" t="str">
        <f>VLOOKUP(D58,Diccionario!A:B,2,0)</f>
        <v>Guadalajara</v>
      </c>
      <c r="D58" t="s">
        <v>10</v>
      </c>
      <c r="E58" t="s">
        <v>6</v>
      </c>
      <c r="F58" t="s">
        <v>548</v>
      </c>
      <c r="H58" s="1">
        <v>46078</v>
      </c>
      <c r="I58" t="s">
        <v>5482</v>
      </c>
      <c r="J58" t="str">
        <f t="shared" si="1"/>
        <v>Cervecería de Colima</v>
      </c>
      <c r="K58" t="str">
        <f>IFERROR(VLOOKUP(Table1[[#This Row],[Top Parent]],'1.- Citas sin this week'!G:G,1,0),"New New")</f>
        <v>Cervecería de Colima</v>
      </c>
      <c r="L58" s="25">
        <f>_xlfn.XLOOKUP(Table1[[#This Row],[Top Parent]],Table3[Top Parent],Table3[Date])</f>
        <v>45968</v>
      </c>
      <c r="M58" s="26">
        <f>Table1[[#This Row],[Date]]-Table1[[#This Row],[Last Date]]</f>
        <v>110</v>
      </c>
      <c r="N58" s="25" t="str">
        <f>_xlfn.XLOOKUP(Table1[[#This Row],[Top Parent]],Table3[Top Parent],Table3[Owner Name])</f>
        <v>Dulce Villegas</v>
      </c>
      <c r="O58" s="26"/>
      <c r="P58" t="s">
        <v>4712</v>
      </c>
      <c r="Q58" s="1" t="str">
        <f>IF(Table1[[#This Row],[Last Owner]]=Table1[[#This Row],[Owner Name]],"No","Si")</f>
        <v>No</v>
      </c>
      <c r="R58" s="1" t="str">
        <f>IF(Table1[[#This Row],[Diferencia de dias]]&gt;182,"Si","No")</f>
        <v>No</v>
      </c>
      <c r="S58" t="s">
        <v>10</v>
      </c>
      <c r="T58" s="1" t="str">
        <f>IF(Table1[[#This Row],[Owner de la cuenta]]=Table1[[#This Row],[Owner Name]],"Si","No")</f>
        <v>Si</v>
      </c>
      <c r="U58" t="s">
        <v>5285</v>
      </c>
      <c r="V58" t="s">
        <v>5554</v>
      </c>
      <c r="W58">
        <v>1</v>
      </c>
      <c r="X58" t="s">
        <v>4981</v>
      </c>
    </row>
    <row r="59" spans="3:24" x14ac:dyDescent="0.35">
      <c r="C59" t="str">
        <f>VLOOKUP(D59,Diccionario!A:B,2,0)</f>
        <v>LMM 4</v>
      </c>
      <c r="D59" t="s">
        <v>37</v>
      </c>
      <c r="E59" t="s">
        <v>6</v>
      </c>
      <c r="F59" t="s">
        <v>5213</v>
      </c>
      <c r="H59" s="1">
        <v>46076</v>
      </c>
      <c r="I59" t="s">
        <v>5214</v>
      </c>
      <c r="J59" t="str">
        <f t="shared" si="1"/>
        <v>DYLU SERVICIOS</v>
      </c>
      <c r="K59" t="str">
        <f>IFERROR(VLOOKUP(Table1[[#This Row],[Top Parent]],'1.- Citas sin this week'!G:G,1,0),"New New")</f>
        <v>New New</v>
      </c>
      <c r="L59" s="25" t="e">
        <f>_xlfn.XLOOKUP(Table1[[#This Row],[Top Parent]],Table3[Top Parent],Table3[Date])</f>
        <v>#N/A</v>
      </c>
      <c r="M59" s="26" t="e">
        <f>Table1[[#This Row],[Date]]-Table1[[#This Row],[Last Date]]</f>
        <v>#N/A</v>
      </c>
      <c r="N59" s="25" t="e">
        <f>_xlfn.XLOOKUP(Table1[[#This Row],[Top Parent]],Table3[Top Parent],Table3[Owner Name])</f>
        <v>#N/A</v>
      </c>
      <c r="O59" s="26"/>
      <c r="P59" t="s">
        <v>403</v>
      </c>
      <c r="Q59" s="1" t="e">
        <f>IF(Table1[[#This Row],[Last Owner]]=Table1[[#This Row],[Owner Name]],"No","Si")</f>
        <v>#N/A</v>
      </c>
      <c r="R59" s="1" t="e">
        <f>IF(Table1[[#This Row],[Diferencia de dias]]&gt;182,"Si","No")</f>
        <v>#N/A</v>
      </c>
      <c r="S59" t="s">
        <v>37</v>
      </c>
      <c r="T59" s="1" t="str">
        <f>IF(Table1[[#This Row],[Owner de la cuenta]]=Table1[[#This Row],[Owner Name]],"Si","No")</f>
        <v>Si</v>
      </c>
      <c r="U59" t="s">
        <v>4714</v>
      </c>
      <c r="V59" t="s">
        <v>5277</v>
      </c>
      <c r="X59" t="s">
        <v>4985</v>
      </c>
    </row>
    <row r="60" spans="3:24" hidden="1" x14ac:dyDescent="0.35">
      <c r="C60" t="str">
        <f>VLOOKUP(D60,Diccionario!A:B,2,0)</f>
        <v>LMM 4</v>
      </c>
      <c r="D60" t="s">
        <v>28</v>
      </c>
      <c r="E60" t="s">
        <v>6</v>
      </c>
      <c r="F60" t="s">
        <v>2738</v>
      </c>
      <c r="H60" s="1">
        <v>46078</v>
      </c>
      <c r="I60" t="s">
        <v>5138</v>
      </c>
      <c r="J60" t="str">
        <f t="shared" si="1"/>
        <v>M25 INTERNATIONAL TECH</v>
      </c>
      <c r="K60" t="str">
        <f>IFERROR(VLOOKUP(Table1[[#This Row],[Top Parent]],'1.- Citas sin this week'!G:G,1,0),"New New")</f>
        <v>M25 INTERNATIONAL TECH</v>
      </c>
      <c r="L60" s="25">
        <f>_xlfn.XLOOKUP(Table1[[#This Row],[Top Parent]],Table3[Top Parent],Table3[Date])</f>
        <v>45828</v>
      </c>
      <c r="M60" s="26">
        <f>Table1[[#This Row],[Date]]-Table1[[#This Row],[Last Date]]</f>
        <v>250</v>
      </c>
      <c r="N60" s="25" t="str">
        <f>_xlfn.XLOOKUP(Table1[[#This Row],[Top Parent]],Table3[Top Parent],Table3[Owner Name])</f>
        <v>Alexandra Ramírez</v>
      </c>
      <c r="O60" s="26"/>
      <c r="P60" t="s">
        <v>403</v>
      </c>
      <c r="Q60" s="1" t="str">
        <f>IF(Table1[[#This Row],[Last Owner]]=Table1[[#This Row],[Owner Name]],"No","Si")</f>
        <v>No</v>
      </c>
      <c r="R60" s="1" t="str">
        <f>IF(Table1[[#This Row],[Diferencia de dias]]&gt;182,"Si","No")</f>
        <v>Si</v>
      </c>
      <c r="S60" t="s">
        <v>28</v>
      </c>
      <c r="T60" s="1" t="str">
        <f>IF(Table1[[#This Row],[Owner de la cuenta]]=Table1[[#This Row],[Owner Name]],"Si","No")</f>
        <v>Si</v>
      </c>
      <c r="U60" t="s">
        <v>4810</v>
      </c>
      <c r="V60" t="s">
        <v>5233</v>
      </c>
      <c r="X60" t="s">
        <v>4982</v>
      </c>
    </row>
    <row r="61" spans="3:24" hidden="1" x14ac:dyDescent="0.35">
      <c r="C61" t="str">
        <f>VLOOKUP(D61,Diccionario!A:B,2,0)</f>
        <v>Monterrey</v>
      </c>
      <c r="D61" t="s">
        <v>39</v>
      </c>
      <c r="E61" t="s">
        <v>5139</v>
      </c>
      <c r="F61" t="s">
        <v>4847</v>
      </c>
      <c r="H61" s="1">
        <v>46078</v>
      </c>
      <c r="I61" t="s">
        <v>5140</v>
      </c>
      <c r="J61" t="str">
        <f t="shared" si="1"/>
        <v>Centrus Packaging</v>
      </c>
      <c r="K61" t="str">
        <f>IFERROR(VLOOKUP(Table1[[#This Row],[Top Parent]],'1.- Citas sin this week'!G:G,1,0),"New New")</f>
        <v>Centrus Packaging</v>
      </c>
      <c r="L61" s="25">
        <f>_xlfn.XLOOKUP(Table1[[#This Row],[Top Parent]],Table3[Top Parent],Table3[Date])</f>
        <v>46064</v>
      </c>
      <c r="M61" s="26">
        <f>Table1[[#This Row],[Date]]-Table1[[#This Row],[Last Date]]</f>
        <v>14</v>
      </c>
      <c r="N61" s="25" t="str">
        <f>_xlfn.XLOOKUP(Table1[[#This Row],[Top Parent]],Table3[Top Parent],Table3[Owner Name])</f>
        <v>Miguel Antunez</v>
      </c>
      <c r="O61" s="26"/>
      <c r="P61" t="s">
        <v>403</v>
      </c>
      <c r="Q61" s="1" t="str">
        <f>IF(Table1[[#This Row],[Last Owner]]=Table1[[#This Row],[Owner Name]],"No","Si")</f>
        <v>No</v>
      </c>
      <c r="R61" s="1" t="str">
        <f>IF(Table1[[#This Row],[Diferencia de dias]]&gt;182,"Si","No")</f>
        <v>No</v>
      </c>
      <c r="S61" t="s">
        <v>39</v>
      </c>
      <c r="T61" s="1" t="str">
        <f>IF(Table1[[#This Row],[Owner de la cuenta]]=Table1[[#This Row],[Owner Name]],"Si","No")</f>
        <v>Si</v>
      </c>
      <c r="U61" t="s">
        <v>4717</v>
      </c>
      <c r="V61" t="s">
        <v>5234</v>
      </c>
      <c r="X61" t="s">
        <v>5045</v>
      </c>
    </row>
    <row r="62" spans="3:24" x14ac:dyDescent="0.35">
      <c r="C62" t="str">
        <f>VLOOKUP(D62,Diccionario!A:B,2,0)</f>
        <v>LMM 4</v>
      </c>
      <c r="D62" t="s">
        <v>28</v>
      </c>
      <c r="E62" t="s">
        <v>6</v>
      </c>
      <c r="F62" t="s">
        <v>5135</v>
      </c>
      <c r="H62" s="1">
        <v>46078</v>
      </c>
      <c r="I62" t="s">
        <v>5136</v>
      </c>
      <c r="J62" t="str">
        <f t="shared" si="1"/>
        <v>Ciemmobil</v>
      </c>
      <c r="K62" t="str">
        <f>IFERROR(VLOOKUP(Table1[[#This Row],[Top Parent]],'1.- Citas sin this week'!G:G,1,0),"New New")</f>
        <v>New New</v>
      </c>
      <c r="L62" s="25" t="e">
        <f>_xlfn.XLOOKUP(Table1[[#This Row],[Top Parent]],Table3[Top Parent],Table3[Date])</f>
        <v>#N/A</v>
      </c>
      <c r="M62" s="26" t="e">
        <f>Table1[[#This Row],[Date]]-Table1[[#This Row],[Last Date]]</f>
        <v>#N/A</v>
      </c>
      <c r="N62" s="25" t="e">
        <f>_xlfn.XLOOKUP(Table1[[#This Row],[Top Parent]],Table3[Top Parent],Table3[Owner Name])</f>
        <v>#N/A</v>
      </c>
      <c r="O62" s="26"/>
      <c r="P62" t="s">
        <v>403</v>
      </c>
      <c r="Q62" s="1" t="e">
        <f>IF(Table1[[#This Row],[Last Owner]]=Table1[[#This Row],[Owner Name]],"No","Si")</f>
        <v>#N/A</v>
      </c>
      <c r="R62" s="1" t="e">
        <f>IF(Table1[[#This Row],[Diferencia de dias]]&gt;182,"Si","No")</f>
        <v>#N/A</v>
      </c>
      <c r="S62" t="s">
        <v>28</v>
      </c>
      <c r="T62" s="1" t="str">
        <f>IF(Table1[[#This Row],[Owner de la cuenta]]=Table1[[#This Row],[Owner Name]],"Si","No")</f>
        <v>Si</v>
      </c>
      <c r="U62" t="s">
        <v>4715</v>
      </c>
      <c r="V62" t="s">
        <v>5231</v>
      </c>
      <c r="X62" t="s">
        <v>4982</v>
      </c>
    </row>
    <row r="63" spans="3:24" x14ac:dyDescent="0.35">
      <c r="C63" t="str">
        <f>VLOOKUP(D63,Diccionario!A:B,2,0)</f>
        <v>LMM 4</v>
      </c>
      <c r="D63" t="s">
        <v>77</v>
      </c>
      <c r="E63" t="s">
        <v>6</v>
      </c>
      <c r="F63" t="s">
        <v>5185</v>
      </c>
      <c r="H63" s="1">
        <v>46077</v>
      </c>
      <c r="I63" t="s">
        <v>5186</v>
      </c>
      <c r="J63" t="str">
        <f t="shared" si="1"/>
        <v>Mercados populares de Cuauhtemoc</v>
      </c>
      <c r="K63" t="str">
        <f>IFERROR(VLOOKUP(Table1[[#This Row],[Top Parent]],'1.- Citas sin this week'!G:G,1,0),"New New")</f>
        <v>New New</v>
      </c>
      <c r="L63" s="25" t="e">
        <f>_xlfn.XLOOKUP(Table1[[#This Row],[Top Parent]],Table3[Top Parent],Table3[Date])</f>
        <v>#N/A</v>
      </c>
      <c r="M63" s="26" t="e">
        <f>Table1[[#This Row],[Date]]-Table1[[#This Row],[Last Date]]</f>
        <v>#N/A</v>
      </c>
      <c r="N63" s="25" t="e">
        <f>_xlfn.XLOOKUP(Table1[[#This Row],[Top Parent]],Table3[Top Parent],Table3[Owner Name])</f>
        <v>#N/A</v>
      </c>
      <c r="O63" s="26"/>
      <c r="Q63" s="1" t="e">
        <f>IF(Table1[[#This Row],[Last Owner]]=Table1[[#This Row],[Owner Name]],"No","Si")</f>
        <v>#N/A</v>
      </c>
      <c r="R63" s="1" t="e">
        <f>IF(Table1[[#This Row],[Diferencia de dias]]&gt;182,"Si","No")</f>
        <v>#N/A</v>
      </c>
      <c r="S63" t="s">
        <v>77</v>
      </c>
      <c r="T63" s="1" t="str">
        <f>IF(Table1[[#This Row],[Owner de la cuenta]]=Table1[[#This Row],[Owner Name]],"Si","No")</f>
        <v>Si</v>
      </c>
      <c r="U63" t="s">
        <v>4713</v>
      </c>
      <c r="V63" t="s">
        <v>5260</v>
      </c>
      <c r="X63" t="s">
        <v>4990</v>
      </c>
    </row>
    <row r="64" spans="3:24" x14ac:dyDescent="0.35">
      <c r="C64" t="str">
        <f>VLOOKUP(D64,Diccionario!A:B,2,0)</f>
        <v>LMM 5</v>
      </c>
      <c r="D64" t="s">
        <v>932</v>
      </c>
      <c r="E64" t="s">
        <v>6</v>
      </c>
      <c r="F64" t="s">
        <v>5145</v>
      </c>
      <c r="H64" s="1">
        <v>46078</v>
      </c>
      <c r="I64" t="s">
        <v>5487</v>
      </c>
      <c r="J64" t="str">
        <f>IF(G64="",F64,G64)</f>
        <v>SKN IMAGEN Y BELLEZA</v>
      </c>
      <c r="K64" t="str">
        <f>IFERROR(VLOOKUP(Table1[[#This Row],[Top Parent]],'1.- Citas sin this week'!G:G,1,0),"New New")</f>
        <v>New New</v>
      </c>
      <c r="L64" s="25" t="e">
        <f>_xlfn.XLOOKUP(Table1[[#This Row],[Top Parent]],Table3[Top Parent],Table3[Date])</f>
        <v>#N/A</v>
      </c>
      <c r="M64" s="26" t="e">
        <f>Table1[[#This Row],[Date]]-Table1[[#This Row],[Last Date]]</f>
        <v>#N/A</v>
      </c>
      <c r="N64" s="25" t="e">
        <f>_xlfn.XLOOKUP(Table1[[#This Row],[Top Parent]],Table3[Top Parent],Table3[Owner Name])</f>
        <v>#N/A</v>
      </c>
      <c r="O64" s="26"/>
      <c r="P64" t="s">
        <v>403</v>
      </c>
      <c r="Q64" s="1" t="e">
        <f>IF(Table1[[#This Row],[Last Owner]]=Table1[[#This Row],[Owner Name]],"No","Si")</f>
        <v>#N/A</v>
      </c>
      <c r="R64" s="1" t="e">
        <f>IF(Table1[[#This Row],[Diferencia de dias]]&gt;182,"Si","No")</f>
        <v>#N/A</v>
      </c>
      <c r="S64" t="s">
        <v>932</v>
      </c>
      <c r="T64" s="1" t="str">
        <f>IF(Table1[[#This Row],[Owner de la cuenta]]=Table1[[#This Row],[Owner Name]],"Si","No")</f>
        <v>Si</v>
      </c>
      <c r="U64" t="s">
        <v>1129</v>
      </c>
      <c r="V64" t="s">
        <v>5237</v>
      </c>
      <c r="X64" t="s">
        <v>4989</v>
      </c>
    </row>
    <row r="65" spans="3:24" x14ac:dyDescent="0.35">
      <c r="C65" t="str">
        <f>VLOOKUP(D65,Diccionario!A:B,2,0)</f>
        <v>LMM 5</v>
      </c>
      <c r="D65" t="s">
        <v>932</v>
      </c>
      <c r="E65" t="s">
        <v>6</v>
      </c>
      <c r="F65" t="s">
        <v>3333</v>
      </c>
      <c r="H65" s="1">
        <v>46078</v>
      </c>
      <c r="I65" t="s">
        <v>5497</v>
      </c>
      <c r="J65" t="str">
        <f>IF(G65="",F65,G65)</f>
        <v>Cromher De Mexico</v>
      </c>
      <c r="K65" t="s">
        <v>804</v>
      </c>
      <c r="L65" s="25">
        <f>_xlfn.XLOOKUP(Table1[[#This Row],[Top Parent]],Table3[Top Parent],Table3[Date])</f>
        <v>45890</v>
      </c>
      <c r="M65" s="26">
        <f>Table1[[#This Row],[Date]]-Table1[[#This Row],[Last Date]]</f>
        <v>188</v>
      </c>
      <c r="N65" s="25" t="str">
        <f>_xlfn.XLOOKUP(Table1[[#This Row],[Top Parent]],Table3[Top Parent],Table3[Owner Name])</f>
        <v>Karol Alfaro</v>
      </c>
      <c r="O65" s="26"/>
      <c r="P65" t="s">
        <v>403</v>
      </c>
      <c r="Q65" s="1" t="str">
        <f>IF(Table1[[#This Row],[Last Owner]]=Table1[[#This Row],[Owner Name]],"No","Si")</f>
        <v>Si</v>
      </c>
      <c r="R65" s="1" t="str">
        <f>IF(Table1[[#This Row],[Diferencia de dias]]&gt;182,"Si","No")</f>
        <v>Si</v>
      </c>
      <c r="S65" t="s">
        <v>932</v>
      </c>
      <c r="T65" s="1" t="str">
        <f>IF(Table1[[#This Row],[Owner de la cuenta]]=Table1[[#This Row],[Owner Name]],"Si","No")</f>
        <v>Si</v>
      </c>
      <c r="U65" t="s">
        <v>1129</v>
      </c>
      <c r="V65" t="s">
        <v>5238</v>
      </c>
      <c r="X65" t="s">
        <v>4989</v>
      </c>
    </row>
    <row r="66" spans="3:24" x14ac:dyDescent="0.35">
      <c r="C66" t="str">
        <f>VLOOKUP(D66,Diccionario!A:B,2,0)</f>
        <v>LMM 5</v>
      </c>
      <c r="D66" t="s">
        <v>3553</v>
      </c>
      <c r="E66" t="s">
        <v>6</v>
      </c>
      <c r="F66" t="s">
        <v>5168</v>
      </c>
      <c r="H66" s="1">
        <v>46077</v>
      </c>
      <c r="I66" t="s">
        <v>5169</v>
      </c>
      <c r="J66" t="str">
        <f>IF(G66="",F66,G66)</f>
        <v>LOUNN</v>
      </c>
      <c r="K66" t="str">
        <f>IFERROR(VLOOKUP(Table1[[#This Row],[Top Parent]],'1.- Citas sin this week'!G:G,1,0),"New New")</f>
        <v>New New</v>
      </c>
      <c r="L66" s="25" t="e">
        <f>_xlfn.XLOOKUP(Table1[[#This Row],[Top Parent]],Table3[Top Parent],Table3[Date])</f>
        <v>#N/A</v>
      </c>
      <c r="M66" s="26" t="e">
        <f>Table1[[#This Row],[Date]]-Table1[[#This Row],[Last Date]]</f>
        <v>#N/A</v>
      </c>
      <c r="N66" s="25" t="e">
        <f>_xlfn.XLOOKUP(Table1[[#This Row],[Top Parent]],Table3[Top Parent],Table3[Owner Name])</f>
        <v>#N/A</v>
      </c>
      <c r="O66" s="26"/>
      <c r="P66" t="s">
        <v>403</v>
      </c>
      <c r="Q66" s="1" t="e">
        <f>IF(Table1[[#This Row],[Last Owner]]=Table1[[#This Row],[Owner Name]],"No","Si")</f>
        <v>#N/A</v>
      </c>
      <c r="R66" s="1" t="e">
        <f>IF(Table1[[#This Row],[Diferencia de dias]]&gt;182,"Si","No")</f>
        <v>#N/A</v>
      </c>
      <c r="S66" t="s">
        <v>3553</v>
      </c>
      <c r="T66" s="1" t="str">
        <f>IF(Table1[[#This Row],[Owner de la cuenta]]=Table1[[#This Row],[Owner Name]],"Si","No")</f>
        <v>Si</v>
      </c>
      <c r="U66" t="s">
        <v>1223</v>
      </c>
      <c r="V66" t="s">
        <v>5252</v>
      </c>
      <c r="X66" t="s">
        <v>5279</v>
      </c>
    </row>
    <row r="67" spans="3:24" hidden="1" x14ac:dyDescent="0.35">
      <c r="C67" t="str">
        <f>VLOOKUP(D67,Diccionario!A:B,2,0)</f>
        <v>Monterrey</v>
      </c>
      <c r="D67" t="s">
        <v>4472</v>
      </c>
      <c r="E67" t="s">
        <v>6</v>
      </c>
      <c r="F67" t="s">
        <v>1214</v>
      </c>
      <c r="H67" s="1">
        <v>46078</v>
      </c>
      <c r="I67" t="s">
        <v>5490</v>
      </c>
      <c r="J67" t="str">
        <f>IF(G67="",F67,G67)</f>
        <v>INGENIERIA METALICA Y PLASTICA DE MEXICO</v>
      </c>
      <c r="K67" t="s">
        <v>804</v>
      </c>
      <c r="L67" s="25">
        <f>_xlfn.XLOOKUP(Table1[[#This Row],[Top Parent]],Table3[Top Parent],Table3[Date])</f>
        <v>45840</v>
      </c>
      <c r="M67" s="26">
        <f>Table1[[#This Row],[Date]]-Table1[[#This Row],[Last Date]]</f>
        <v>238</v>
      </c>
      <c r="N67" s="25" t="str">
        <f>_xlfn.XLOOKUP(Table1[[#This Row],[Top Parent]],Table3[Top Parent],Table3[Owner Name])</f>
        <v>Dario del Río</v>
      </c>
      <c r="O67" s="26"/>
      <c r="P67" t="s">
        <v>4712</v>
      </c>
      <c r="Q67" s="1" t="str">
        <f>IF(Table1[[#This Row],[Last Owner]]=Table1[[#This Row],[Owner Name]],"No","Si")</f>
        <v>Si</v>
      </c>
      <c r="R67" s="1" t="str">
        <f>IF(Table1[[#This Row],[Diferencia de dias]]&gt;182,"Si","No")</f>
        <v>Si</v>
      </c>
      <c r="S67" t="s">
        <v>4472</v>
      </c>
      <c r="T67" s="1" t="str">
        <f>IF(Table1[[#This Row],[Owner de la cuenta]]=Table1[[#This Row],[Owner Name]],"Si","No")</f>
        <v>Si</v>
      </c>
      <c r="U67" t="s">
        <v>4713</v>
      </c>
      <c r="V67" t="s">
        <v>5558</v>
      </c>
      <c r="W67">
        <v>5413728.7999999998</v>
      </c>
      <c r="X67" t="s">
        <v>4989</v>
      </c>
    </row>
    <row r="68" spans="3:24" x14ac:dyDescent="0.35">
      <c r="C68" t="str">
        <f>VLOOKUP(D68,Diccionario!A:B,2,0)</f>
        <v>LMM 5</v>
      </c>
      <c r="D68" t="s">
        <v>3553</v>
      </c>
      <c r="E68" t="s">
        <v>6</v>
      </c>
      <c r="F68" t="s">
        <v>5201</v>
      </c>
      <c r="H68" s="1">
        <v>46076</v>
      </c>
      <c r="I68" t="s">
        <v>5202</v>
      </c>
      <c r="J68" t="str">
        <f>IF(G68="",F68,G68)</f>
        <v>Laboratorios San Angel</v>
      </c>
      <c r="K68" t="str">
        <f>IFERROR(VLOOKUP(Table1[[#This Row],[Top Parent]],'1.- Citas sin this week'!G:G,1,0),"New New")</f>
        <v>New New</v>
      </c>
      <c r="L68" s="25" t="e">
        <f>_xlfn.XLOOKUP(Table1[[#This Row],[Top Parent]],Table3[Top Parent],Table3[Date])</f>
        <v>#N/A</v>
      </c>
      <c r="M68" s="26" t="e">
        <f>Table1[[#This Row],[Date]]-Table1[[#This Row],[Last Date]]</f>
        <v>#N/A</v>
      </c>
      <c r="N68" s="25" t="e">
        <f>_xlfn.XLOOKUP(Table1[[#This Row],[Top Parent]],Table3[Top Parent],Table3[Owner Name])</f>
        <v>#N/A</v>
      </c>
      <c r="O68" s="26"/>
      <c r="P68" t="s">
        <v>403</v>
      </c>
      <c r="Q68" s="1" t="e">
        <f>IF(Table1[[#This Row],[Last Owner]]=Table1[[#This Row],[Owner Name]],"No","Si")</f>
        <v>#N/A</v>
      </c>
      <c r="R68" s="1" t="e">
        <f>IF(Table1[[#This Row],[Diferencia de dias]]&gt;182,"Si","No")</f>
        <v>#N/A</v>
      </c>
      <c r="S68" t="s">
        <v>3553</v>
      </c>
      <c r="T68" s="1" t="str">
        <f>IF(Table1[[#This Row],[Owner de la cuenta]]=Table1[[#This Row],[Owner Name]],"Si","No")</f>
        <v>Si</v>
      </c>
      <c r="U68" t="s">
        <v>1223</v>
      </c>
      <c r="V68" t="s">
        <v>5270</v>
      </c>
      <c r="X68" t="s">
        <v>4663</v>
      </c>
    </row>
    <row r="69" spans="3:24" hidden="1" x14ac:dyDescent="0.35">
      <c r="C69" t="str">
        <f>VLOOKUP(D69,Diccionario!A:B,2,0)</f>
        <v>Guadalajara</v>
      </c>
      <c r="D69" t="s">
        <v>10</v>
      </c>
      <c r="E69" t="s">
        <v>6</v>
      </c>
      <c r="F69" t="s">
        <v>453</v>
      </c>
      <c r="H69" s="1">
        <v>46078</v>
      </c>
      <c r="I69" t="s">
        <v>5493</v>
      </c>
      <c r="J69" t="str">
        <f>IF(G69="",F69,G69)</f>
        <v>Anteus Constructora</v>
      </c>
      <c r="K69" t="str">
        <f>IFERROR(VLOOKUP(Table1[[#This Row],[Top Parent]],'1.- Citas sin this week'!G:G,1,0),"New New")</f>
        <v>Anteus Constructora</v>
      </c>
      <c r="L69" s="25">
        <f>_xlfn.XLOOKUP(Table1[[#This Row],[Top Parent]],Table3[Top Parent],Table3[Date])</f>
        <v>45940</v>
      </c>
      <c r="M69" s="26">
        <f>Table1[[#This Row],[Date]]-Table1[[#This Row],[Last Date]]</f>
        <v>138</v>
      </c>
      <c r="N69" s="25" t="str">
        <f>_xlfn.XLOOKUP(Table1[[#This Row],[Top Parent]],Table3[Top Parent],Table3[Owner Name])</f>
        <v>Dulce Villegas</v>
      </c>
      <c r="O69" s="26"/>
      <c r="P69" t="s">
        <v>4712</v>
      </c>
      <c r="Q69" s="1" t="str">
        <f>IF(Table1[[#This Row],[Last Owner]]=Table1[[#This Row],[Owner Name]],"No","Si")</f>
        <v>No</v>
      </c>
      <c r="R69" s="1" t="str">
        <f>IF(Table1[[#This Row],[Diferencia de dias]]&gt;182,"Si","No")</f>
        <v>No</v>
      </c>
      <c r="S69" t="s">
        <v>10</v>
      </c>
      <c r="T69" s="1" t="str">
        <f>IF(Table1[[#This Row],[Owner de la cuenta]]=Table1[[#This Row],[Owner Name]],"Si","No")</f>
        <v>Si</v>
      </c>
      <c r="U69" t="s">
        <v>4716</v>
      </c>
      <c r="V69" t="s">
        <v>5560</v>
      </c>
      <c r="W69">
        <v>0</v>
      </c>
      <c r="X69" t="s">
        <v>4984</v>
      </c>
    </row>
    <row r="70" spans="3:24" x14ac:dyDescent="0.35">
      <c r="C70" t="str">
        <f>VLOOKUP(D70,Diccionario!A:B,2,0)</f>
        <v>LMM 5</v>
      </c>
      <c r="D70" t="s">
        <v>23</v>
      </c>
      <c r="E70" t="s">
        <v>6</v>
      </c>
      <c r="F70" t="s">
        <v>5367</v>
      </c>
      <c r="H70" s="1">
        <v>46079</v>
      </c>
      <c r="I70" t="s">
        <v>5469</v>
      </c>
      <c r="J70" t="str">
        <f>IF(G70="",F70,G70)</f>
        <v>Softelligence</v>
      </c>
      <c r="K70" t="str">
        <f>IFERROR(VLOOKUP(Table1[[#This Row],[Top Parent]],'1.- Citas sin this week'!G:G,1,0),"New New")</f>
        <v>New New</v>
      </c>
      <c r="L70" s="25" t="e">
        <f>_xlfn.XLOOKUP(Table1[[#This Row],[Top Parent]],Table3[Top Parent],Table3[Date])</f>
        <v>#N/A</v>
      </c>
      <c r="M70" s="26" t="e">
        <f>Table1[[#This Row],[Date]]-Table1[[#This Row],[Last Date]]</f>
        <v>#N/A</v>
      </c>
      <c r="N70" s="25" t="e">
        <f>_xlfn.XLOOKUP(Table1[[#This Row],[Top Parent]],Table3[Top Parent],Table3[Owner Name])</f>
        <v>#N/A</v>
      </c>
      <c r="O70" s="26"/>
      <c r="P70" t="s">
        <v>403</v>
      </c>
      <c r="Q70" s="1" t="e">
        <f>IF(Table1[[#This Row],[Last Owner]]=Table1[[#This Row],[Owner Name]],"No","Si")</f>
        <v>#N/A</v>
      </c>
      <c r="R70" s="1" t="e">
        <f>IF(Table1[[#This Row],[Diferencia de dias]]&gt;182,"Si","No")</f>
        <v>#N/A</v>
      </c>
      <c r="S70" t="s">
        <v>23</v>
      </c>
      <c r="T70" s="1" t="str">
        <f>IF(Table1[[#This Row],[Owner de la cuenta]]=Table1[[#This Row],[Owner Name]],"Si","No")</f>
        <v>Si</v>
      </c>
      <c r="U70" t="s">
        <v>4719</v>
      </c>
      <c r="V70" t="s">
        <v>5546</v>
      </c>
      <c r="X70" t="s">
        <v>5370</v>
      </c>
    </row>
    <row r="71" spans="3:24" x14ac:dyDescent="0.35">
      <c r="C71" t="str">
        <f>VLOOKUP(D71,Diccionario!A:B,2,0)</f>
        <v>LMM 5</v>
      </c>
      <c r="D71" t="s">
        <v>23</v>
      </c>
      <c r="E71" t="s">
        <v>6</v>
      </c>
      <c r="F71" t="s">
        <v>5154</v>
      </c>
      <c r="H71" s="1">
        <v>46078</v>
      </c>
      <c r="I71" t="s">
        <v>5155</v>
      </c>
      <c r="J71" t="str">
        <f>IF(G71="",F71,G71)</f>
        <v>SIISA SOLUCIONES</v>
      </c>
      <c r="K71" t="str">
        <f>IFERROR(VLOOKUP(Table1[[#This Row],[Top Parent]],'1.- Citas sin this week'!G:G,1,0),"New New")</f>
        <v>New New</v>
      </c>
      <c r="L71" s="25" t="e">
        <f>_xlfn.XLOOKUP(Table1[[#This Row],[Top Parent]],Table3[Top Parent],Table3[Date])</f>
        <v>#N/A</v>
      </c>
      <c r="M71" s="26" t="e">
        <f>Table1[[#This Row],[Date]]-Table1[[#This Row],[Last Date]]</f>
        <v>#N/A</v>
      </c>
      <c r="N71" s="25" t="e">
        <f>_xlfn.XLOOKUP(Table1[[#This Row],[Top Parent]],Table3[Top Parent],Table3[Owner Name])</f>
        <v>#N/A</v>
      </c>
      <c r="O71" s="26"/>
      <c r="P71" t="s">
        <v>403</v>
      </c>
      <c r="Q71" s="1" t="e">
        <f>IF(Table1[[#This Row],[Last Owner]]=Table1[[#This Row],[Owner Name]],"No","Si")</f>
        <v>#N/A</v>
      </c>
      <c r="R71" s="1" t="e">
        <f>IF(Table1[[#This Row],[Diferencia de dias]]&gt;182,"Si","No")</f>
        <v>#N/A</v>
      </c>
      <c r="S71" t="s">
        <v>23</v>
      </c>
      <c r="T71" s="1" t="str">
        <f>IF(Table1[[#This Row],[Owner de la cuenta]]=Table1[[#This Row],[Owner Name]],"Si","No")</f>
        <v>Si</v>
      </c>
      <c r="U71" t="s">
        <v>4719</v>
      </c>
      <c r="V71" t="s">
        <v>5243</v>
      </c>
      <c r="X71" t="s">
        <v>4984</v>
      </c>
    </row>
    <row r="72" spans="3:24" x14ac:dyDescent="0.35">
      <c r="C72" t="str">
        <f>VLOOKUP(D72,Diccionario!A:B,2,0)</f>
        <v>LMM 5</v>
      </c>
      <c r="D72" t="s">
        <v>88</v>
      </c>
      <c r="E72" t="s">
        <v>6</v>
      </c>
      <c r="F72" t="s">
        <v>5111</v>
      </c>
      <c r="H72" s="1">
        <v>46079</v>
      </c>
      <c r="I72" t="s">
        <v>5112</v>
      </c>
      <c r="J72" t="str">
        <f>IF(G72="",F72,G72)</f>
        <v>Remake Advertising</v>
      </c>
      <c r="K72" t="str">
        <f>IFERROR(VLOOKUP(Table1[[#This Row],[Top Parent]],'1.- Citas sin this week'!G:G,1,0),"New New")</f>
        <v>New New</v>
      </c>
      <c r="L72" s="25" t="e">
        <f>_xlfn.XLOOKUP(Table1[[#This Row],[Top Parent]],Table3[Top Parent],Table3[Date])</f>
        <v>#N/A</v>
      </c>
      <c r="M72" s="26" t="e">
        <f>Table1[[#This Row],[Date]]-Table1[[#This Row],[Last Date]]</f>
        <v>#N/A</v>
      </c>
      <c r="N72" s="25" t="e">
        <f>_xlfn.XLOOKUP(Table1[[#This Row],[Top Parent]],Table3[Top Parent],Table3[Owner Name])</f>
        <v>#N/A</v>
      </c>
      <c r="O72" s="26"/>
      <c r="Q72" s="1" t="e">
        <f>IF(Table1[[#This Row],[Last Owner]]=Table1[[#This Row],[Owner Name]],"No","Si")</f>
        <v>#N/A</v>
      </c>
      <c r="R72" s="1" t="e">
        <f>IF(Table1[[#This Row],[Diferencia de dias]]&gt;182,"Si","No")</f>
        <v>#N/A</v>
      </c>
      <c r="S72" t="s">
        <v>88</v>
      </c>
      <c r="T72" s="1" t="str">
        <f>IF(Table1[[#This Row],[Owner de la cuenta]]=Table1[[#This Row],[Owner Name]],"Si","No")</f>
        <v>Si</v>
      </c>
      <c r="U72" t="s">
        <v>1223</v>
      </c>
      <c r="V72" t="s">
        <v>5217</v>
      </c>
      <c r="X72" t="s">
        <v>4984</v>
      </c>
    </row>
    <row r="73" spans="3:24" hidden="1" x14ac:dyDescent="0.35">
      <c r="C73" t="str">
        <f>VLOOKUP(D73,Diccionario!A:B,2,0)</f>
        <v>LMM 1</v>
      </c>
      <c r="D73" t="s">
        <v>121</v>
      </c>
      <c r="E73" t="s">
        <v>6</v>
      </c>
      <c r="F73" t="s">
        <v>1618</v>
      </c>
      <c r="H73" s="1">
        <v>46078</v>
      </c>
      <c r="I73" t="s">
        <v>5146</v>
      </c>
      <c r="J73" t="str">
        <f>IF(G73="",F73,G73)</f>
        <v>Nutriesence</v>
      </c>
      <c r="K73" t="str">
        <f>IFERROR(VLOOKUP(Table1[[#This Row],[Top Parent]],'1.- Citas sin this week'!G:G,1,0),"New New")</f>
        <v>Nutriesence</v>
      </c>
      <c r="L73" s="25">
        <f>_xlfn.XLOOKUP(Table1[[#This Row],[Top Parent]],Table3[Top Parent],Table3[Date])</f>
        <v>45734</v>
      </c>
      <c r="M73" s="26">
        <f>Table1[[#This Row],[Date]]-Table1[[#This Row],[Last Date]]</f>
        <v>344</v>
      </c>
      <c r="N73" s="25" t="str">
        <f>_xlfn.XLOOKUP(Table1[[#This Row],[Top Parent]],Table3[Top Parent],Table3[Owner Name])</f>
        <v>Juan Villaseñor</v>
      </c>
      <c r="O73" s="26"/>
      <c r="P73" t="s">
        <v>403</v>
      </c>
      <c r="Q73" s="1" t="str">
        <f>IF(Table1[[#This Row],[Last Owner]]=Table1[[#This Row],[Owner Name]],"No","Si")</f>
        <v>No</v>
      </c>
      <c r="R73" s="1" t="str">
        <f>IF(Table1[[#This Row],[Diferencia de dias]]&gt;182,"Si","No")</f>
        <v>Si</v>
      </c>
      <c r="S73" t="s">
        <v>121</v>
      </c>
      <c r="T73" s="1" t="str">
        <f>IF(Table1[[#This Row],[Owner de la cuenta]]=Table1[[#This Row],[Owner Name]],"Si","No")</f>
        <v>Si</v>
      </c>
      <c r="U73" t="s">
        <v>4716</v>
      </c>
      <c r="V73" t="s">
        <v>5239</v>
      </c>
      <c r="X73" t="s">
        <v>4981</v>
      </c>
    </row>
    <row r="74" spans="3:24" hidden="1" x14ac:dyDescent="0.35">
      <c r="C74" t="str">
        <f>VLOOKUP(D74,Diccionario!A:B,2,0)</f>
        <v>LMM 3</v>
      </c>
      <c r="D74" t="s">
        <v>4696</v>
      </c>
      <c r="E74" t="s">
        <v>6</v>
      </c>
      <c r="F74" t="s">
        <v>1597</v>
      </c>
      <c r="H74" s="1">
        <v>46078</v>
      </c>
      <c r="I74" t="s">
        <v>5498</v>
      </c>
      <c r="J74" t="str">
        <f>IF(G74="",F74,G74)</f>
        <v>Baco Transportes</v>
      </c>
      <c r="K74" t="s">
        <v>804</v>
      </c>
      <c r="L74" s="25">
        <f>_xlfn.XLOOKUP(Table1[[#This Row],[Top Parent]],Table3[Top Parent],Table3[Date])</f>
        <v>45827</v>
      </c>
      <c r="M74" s="26">
        <f>Table1[[#This Row],[Date]]-Table1[[#This Row],[Last Date]]</f>
        <v>251</v>
      </c>
      <c r="N74" s="25" t="str">
        <f>_xlfn.XLOOKUP(Table1[[#This Row],[Top Parent]],Table3[Top Parent],Table3[Owner Name])</f>
        <v>Diego Aviña</v>
      </c>
      <c r="O74" s="26"/>
      <c r="P74" t="s">
        <v>4712</v>
      </c>
      <c r="Q74" s="1" t="str">
        <f>IF(Table1[[#This Row],[Last Owner]]=Table1[[#This Row],[Owner Name]],"No","Si")</f>
        <v>Si</v>
      </c>
      <c r="R74" s="1" t="str">
        <f>IF(Table1[[#This Row],[Diferencia de dias]]&gt;182,"Si","No")</f>
        <v>Si</v>
      </c>
      <c r="S74" t="s">
        <v>4696</v>
      </c>
      <c r="T74" s="1" t="str">
        <f>IF(Table1[[#This Row],[Owner de la cuenta]]=Table1[[#This Row],[Owner Name]],"Si","No")</f>
        <v>Si</v>
      </c>
      <c r="U74" t="s">
        <v>4629</v>
      </c>
      <c r="V74" t="s">
        <v>5563</v>
      </c>
      <c r="W74">
        <v>19335242.5</v>
      </c>
      <c r="X74" t="s">
        <v>4616</v>
      </c>
    </row>
    <row r="75" spans="3:24" hidden="1" x14ac:dyDescent="0.35">
      <c r="C75" t="str">
        <f>VLOOKUP(D75,Diccionario!A:B,2,0)</f>
        <v>LMM 5</v>
      </c>
      <c r="D75" t="s">
        <v>925</v>
      </c>
      <c r="E75" t="s">
        <v>6</v>
      </c>
      <c r="F75" t="s">
        <v>5147</v>
      </c>
      <c r="H75" s="1">
        <v>46078</v>
      </c>
      <c r="I75" t="s">
        <v>5148</v>
      </c>
      <c r="J75" t="str">
        <f>IF(G75="",F75,G75)</f>
        <v>FOOD PROTEINS CORPORATION</v>
      </c>
      <c r="K75" t="str">
        <f>IFERROR(VLOOKUP(Table1[[#This Row],[Top Parent]],'1.- Citas sin this week'!G:G,1,0),"New New")</f>
        <v>New New</v>
      </c>
      <c r="L75" s="25" t="e">
        <f>_xlfn.XLOOKUP(Table1[[#This Row],[Top Parent]],Table3[Top Parent],Table3[Date])</f>
        <v>#N/A</v>
      </c>
      <c r="M75" s="26" t="e">
        <f>Table1[[#This Row],[Date]]-Table1[[#This Row],[Last Date]]</f>
        <v>#N/A</v>
      </c>
      <c r="N75" s="25" t="e">
        <f>_xlfn.XLOOKUP(Table1[[#This Row],[Top Parent]],Table3[Top Parent],Table3[Owner Name])</f>
        <v>#N/A</v>
      </c>
      <c r="O75" s="26"/>
      <c r="P75" t="s">
        <v>4712</v>
      </c>
      <c r="Q75" s="1" t="e">
        <f>IF(Table1[[#This Row],[Last Owner]]=Table1[[#This Row],[Owner Name]],"No","Si")</f>
        <v>#N/A</v>
      </c>
      <c r="R75" s="1" t="e">
        <f>IF(Table1[[#This Row],[Diferencia de dias]]&gt;182,"Si","No")</f>
        <v>#N/A</v>
      </c>
      <c r="S75" t="s">
        <v>925</v>
      </c>
      <c r="T75" s="1" t="str">
        <f>IF(Table1[[#This Row],[Owner de la cuenta]]=Table1[[#This Row],[Owner Name]],"Si","No")</f>
        <v>Si</v>
      </c>
      <c r="U75" t="s">
        <v>1223</v>
      </c>
      <c r="V75" t="s">
        <v>5240</v>
      </c>
      <c r="W75">
        <v>56824.1</v>
      </c>
      <c r="X75" t="s">
        <v>4981</v>
      </c>
    </row>
    <row r="76" spans="3:24" x14ac:dyDescent="0.35">
      <c r="C76" t="str">
        <f>VLOOKUP(D76,Diccionario!A:B,2,0)</f>
        <v>LMM 5</v>
      </c>
      <c r="D76" t="s">
        <v>88</v>
      </c>
      <c r="E76" t="s">
        <v>6</v>
      </c>
      <c r="F76" t="s">
        <v>5132</v>
      </c>
      <c r="H76" s="1">
        <v>46079</v>
      </c>
      <c r="I76" t="s">
        <v>5133</v>
      </c>
      <c r="J76" t="str">
        <f>IF(G76="",F76,G76)</f>
        <v>Miguel Angel Jímenez</v>
      </c>
      <c r="K76" t="str">
        <f>IFERROR(VLOOKUP(Table1[[#This Row],[Top Parent]],'1.- Citas sin this week'!G:G,1,0),"New New")</f>
        <v>New New</v>
      </c>
      <c r="L76" s="25" t="e">
        <f>_xlfn.XLOOKUP(Table1[[#This Row],[Top Parent]],Table3[Top Parent],Table3[Date])</f>
        <v>#N/A</v>
      </c>
      <c r="M76" s="26" t="e">
        <f>Table1[[#This Row],[Date]]-Table1[[#This Row],[Last Date]]</f>
        <v>#N/A</v>
      </c>
      <c r="N76" s="25" t="e">
        <f>_xlfn.XLOOKUP(Table1[[#This Row],[Top Parent]],Table3[Top Parent],Table3[Owner Name])</f>
        <v>#N/A</v>
      </c>
      <c r="O76" s="26"/>
      <c r="Q76" s="1" t="e">
        <f>IF(Table1[[#This Row],[Last Owner]]=Table1[[#This Row],[Owner Name]],"No","Si")</f>
        <v>#N/A</v>
      </c>
      <c r="R76" s="1" t="e">
        <f>IF(Table1[[#This Row],[Diferencia de dias]]&gt;182,"Si","No")</f>
        <v>#N/A</v>
      </c>
      <c r="S76" t="s">
        <v>88</v>
      </c>
      <c r="T76" s="1" t="str">
        <f>IF(Table1[[#This Row],[Owner de la cuenta]]=Table1[[#This Row],[Owner Name]],"Si","No")</f>
        <v>Si</v>
      </c>
      <c r="U76" t="s">
        <v>4716</v>
      </c>
      <c r="V76" t="s">
        <v>5229</v>
      </c>
      <c r="X76" t="s">
        <v>5278</v>
      </c>
    </row>
    <row r="77" spans="3:24" x14ac:dyDescent="0.35">
      <c r="C77" t="str">
        <f>VLOOKUP(D77,Diccionario!A:B,2,0)</f>
        <v>LMM 5</v>
      </c>
      <c r="D77" t="s">
        <v>88</v>
      </c>
      <c r="E77" t="s">
        <v>22</v>
      </c>
      <c r="F77" t="s">
        <v>5149</v>
      </c>
      <c r="H77" s="1">
        <v>46078</v>
      </c>
      <c r="I77" t="s">
        <v>5150</v>
      </c>
      <c r="J77" t="str">
        <f>IF(G77="",F77,G77)</f>
        <v>Industrias Plásticas de San Luis</v>
      </c>
      <c r="K77" t="str">
        <f>IFERROR(VLOOKUP(Table1[[#This Row],[Top Parent]],'1.- Citas sin this week'!G:G,1,0),"New New")</f>
        <v>New New</v>
      </c>
      <c r="L77" s="25" t="e">
        <f>_xlfn.XLOOKUP(Table1[[#This Row],[Top Parent]],Table3[Top Parent],Table3[Date])</f>
        <v>#N/A</v>
      </c>
      <c r="M77" s="26" t="e">
        <f>Table1[[#This Row],[Date]]-Table1[[#This Row],[Last Date]]</f>
        <v>#N/A</v>
      </c>
      <c r="N77" s="25" t="e">
        <f>_xlfn.XLOOKUP(Table1[[#This Row],[Top Parent]],Table3[Top Parent],Table3[Owner Name])</f>
        <v>#N/A</v>
      </c>
      <c r="O77" s="26"/>
      <c r="Q77" s="1" t="e">
        <f>IF(Table1[[#This Row],[Last Owner]]=Table1[[#This Row],[Owner Name]],"No","Si")</f>
        <v>#N/A</v>
      </c>
      <c r="R77" s="1" t="e">
        <f>IF(Table1[[#This Row],[Diferencia de dias]]&gt;182,"Si","No")</f>
        <v>#N/A</v>
      </c>
      <c r="S77" t="s">
        <v>88</v>
      </c>
      <c r="T77" s="1" t="str">
        <f>IF(Table1[[#This Row],[Owner de la cuenta]]=Table1[[#This Row],[Owner Name]],"Si","No")</f>
        <v>Si</v>
      </c>
      <c r="U77" t="s">
        <v>5053</v>
      </c>
      <c r="V77" t="s">
        <v>5241</v>
      </c>
      <c r="X77" t="s">
        <v>4989</v>
      </c>
    </row>
    <row r="78" spans="3:24" x14ac:dyDescent="0.35">
      <c r="C78" t="str">
        <f>VLOOKUP(D78,Diccionario!A:B,2,0)</f>
        <v>LMM 5</v>
      </c>
      <c r="D78" t="s">
        <v>88</v>
      </c>
      <c r="E78" t="s">
        <v>6</v>
      </c>
      <c r="F78" t="s">
        <v>5158</v>
      </c>
      <c r="H78" s="1">
        <v>46077</v>
      </c>
      <c r="I78" t="s">
        <v>5159</v>
      </c>
      <c r="J78" t="str">
        <f>IF(G78="",F78,G78)</f>
        <v>Servicios de Analisis Tecnicos</v>
      </c>
      <c r="K78" t="str">
        <f>IFERROR(VLOOKUP(Table1[[#This Row],[Top Parent]],'1.- Citas sin this week'!G:G,1,0),"New New")</f>
        <v>New New</v>
      </c>
      <c r="L78" s="25" t="e">
        <f>_xlfn.XLOOKUP(Table1[[#This Row],[Top Parent]],Table3[Top Parent],Table3[Date])</f>
        <v>#N/A</v>
      </c>
      <c r="M78" s="26" t="e">
        <f>Table1[[#This Row],[Date]]-Table1[[#This Row],[Last Date]]</f>
        <v>#N/A</v>
      </c>
      <c r="N78" s="25" t="e">
        <f>_xlfn.XLOOKUP(Table1[[#This Row],[Top Parent]],Table3[Top Parent],Table3[Owner Name])</f>
        <v>#N/A</v>
      </c>
      <c r="O78" s="26"/>
      <c r="Q78" s="1" t="e">
        <f>IF(Table1[[#This Row],[Last Owner]]=Table1[[#This Row],[Owner Name]],"No","Si")</f>
        <v>#N/A</v>
      </c>
      <c r="R78" s="1" t="e">
        <f>IF(Table1[[#This Row],[Diferencia de dias]]&gt;182,"Si","No")</f>
        <v>#N/A</v>
      </c>
      <c r="S78" t="s">
        <v>88</v>
      </c>
      <c r="T78" s="1" t="str">
        <f>IF(Table1[[#This Row],[Owner de la cuenta]]=Table1[[#This Row],[Owner Name]],"Si","No")</f>
        <v>Si</v>
      </c>
      <c r="U78" t="s">
        <v>1223</v>
      </c>
      <c r="V78" t="s">
        <v>5246</v>
      </c>
      <c r="X78" t="s">
        <v>4985</v>
      </c>
    </row>
    <row r="79" spans="3:24" hidden="1" x14ac:dyDescent="0.35">
      <c r="C79" t="str">
        <f>VLOOKUP(D79,Diccionario!A:B,2,0)</f>
        <v>LMM 3</v>
      </c>
      <c r="D79" t="s">
        <v>2693</v>
      </c>
      <c r="E79" t="s">
        <v>6</v>
      </c>
      <c r="F79" t="s">
        <v>3338</v>
      </c>
      <c r="H79" s="1">
        <v>46078</v>
      </c>
      <c r="I79" t="s">
        <v>5156</v>
      </c>
      <c r="J79" t="str">
        <f>IF(G79="",F79,G79)</f>
        <v>Hyrcosa</v>
      </c>
      <c r="K79" t="str">
        <f>IFERROR(VLOOKUP(Table1[[#This Row],[Top Parent]],'1.- Citas sin this week'!G:G,1,0),"New New")</f>
        <v>Hyrcosa</v>
      </c>
      <c r="L79" s="25">
        <f>_xlfn.XLOOKUP(Table1[[#This Row],[Top Parent]],Table3[Top Parent],Table3[Date])</f>
        <v>45889</v>
      </c>
      <c r="M79" s="26">
        <f>Table1[[#This Row],[Date]]-Table1[[#This Row],[Last Date]]</f>
        <v>189</v>
      </c>
      <c r="N79" s="25" t="str">
        <f>_xlfn.XLOOKUP(Table1[[#This Row],[Top Parent]],Table3[Top Parent],Table3[Owner Name])</f>
        <v>Braulio Martinez</v>
      </c>
      <c r="O79" s="26"/>
      <c r="P79" t="s">
        <v>403</v>
      </c>
      <c r="Q79" s="1" t="str">
        <f>IF(Table1[[#This Row],[Last Owner]]=Table1[[#This Row],[Owner Name]],"No","Si")</f>
        <v>No</v>
      </c>
      <c r="R79" s="1" t="str">
        <f>IF(Table1[[#This Row],[Diferencia de dias]]&gt;182,"Si","No")</f>
        <v>Si</v>
      </c>
      <c r="S79" t="s">
        <v>2693</v>
      </c>
      <c r="T79" s="1" t="str">
        <f>IF(Table1[[#This Row],[Owner de la cuenta]]=Table1[[#This Row],[Owner Name]],"Si","No")</f>
        <v>Si</v>
      </c>
      <c r="U79" t="s">
        <v>5050</v>
      </c>
      <c r="V79" t="s">
        <v>5244</v>
      </c>
      <c r="X79" t="s">
        <v>4981</v>
      </c>
    </row>
    <row r="80" spans="3:24" x14ac:dyDescent="0.35">
      <c r="C80" t="str">
        <f>VLOOKUP(D80,Diccionario!A:B,2,0)</f>
        <v>LMM 5</v>
      </c>
      <c r="D80" t="s">
        <v>88</v>
      </c>
      <c r="E80" t="s">
        <v>6</v>
      </c>
      <c r="F80" t="s">
        <v>5174</v>
      </c>
      <c r="H80" s="1">
        <v>46077</v>
      </c>
      <c r="I80" t="s">
        <v>5175</v>
      </c>
      <c r="J80" t="str">
        <f>IF(G80="",F80,G80)</f>
        <v>Movilab SA de CV</v>
      </c>
      <c r="K80" t="str">
        <f>IFERROR(VLOOKUP(Table1[[#This Row],[Top Parent]],'1.- Citas sin this week'!G:G,1,0),"New New")</f>
        <v>New New</v>
      </c>
      <c r="L80" s="25" t="e">
        <f>_xlfn.XLOOKUP(Table1[[#This Row],[Top Parent]],Table3[Top Parent],Table3[Date])</f>
        <v>#N/A</v>
      </c>
      <c r="M80" s="26" t="e">
        <f>Table1[[#This Row],[Date]]-Table1[[#This Row],[Last Date]]</f>
        <v>#N/A</v>
      </c>
      <c r="N80" s="25" t="e">
        <f>_xlfn.XLOOKUP(Table1[[#This Row],[Top Parent]],Table3[Top Parent],Table3[Owner Name])</f>
        <v>#N/A</v>
      </c>
      <c r="O80" s="26"/>
      <c r="Q80" s="1" t="e">
        <f>IF(Table1[[#This Row],[Last Owner]]=Table1[[#This Row],[Owner Name]],"No","Si")</f>
        <v>#N/A</v>
      </c>
      <c r="R80" s="1" t="e">
        <f>IF(Table1[[#This Row],[Diferencia de dias]]&gt;182,"Si","No")</f>
        <v>#N/A</v>
      </c>
      <c r="S80" t="s">
        <v>88</v>
      </c>
      <c r="T80" s="1" t="str">
        <f>IF(Table1[[#This Row],[Owner de la cuenta]]=Table1[[#This Row],[Owner Name]],"Si","No")</f>
        <v>Si</v>
      </c>
      <c r="U80" t="s">
        <v>1129</v>
      </c>
      <c r="V80" t="s">
        <v>5256</v>
      </c>
      <c r="X80" t="s">
        <v>4985</v>
      </c>
    </row>
    <row r="81" spans="3:24" hidden="1" x14ac:dyDescent="0.35">
      <c r="C81" t="str">
        <f>VLOOKUP(D81,Diccionario!A:B,2,0)</f>
        <v>LMM 1</v>
      </c>
      <c r="D81" t="s">
        <v>14</v>
      </c>
      <c r="E81" t="s">
        <v>6</v>
      </c>
      <c r="F81" t="s">
        <v>728</v>
      </c>
      <c r="H81" s="1">
        <v>46077</v>
      </c>
      <c r="I81" t="s">
        <v>5157</v>
      </c>
      <c r="J81" t="str">
        <f>IF(G81="",F81,G81)</f>
        <v>Keymax Comercializadora</v>
      </c>
      <c r="K81" t="str">
        <f>IFERROR(VLOOKUP(Table1[[#This Row],[Top Parent]],'1.- Citas sin this week'!G:G,1,0),"New New")</f>
        <v>Keymax Comercializadora</v>
      </c>
      <c r="L81" s="25">
        <f>_xlfn.XLOOKUP(Table1[[#This Row],[Top Parent]],Table3[Top Parent],Table3[Date])</f>
        <v>46051</v>
      </c>
      <c r="M81" s="26">
        <f>Table1[[#This Row],[Date]]-Table1[[#This Row],[Last Date]]</f>
        <v>26</v>
      </c>
      <c r="N81" s="25" t="str">
        <f>_xlfn.XLOOKUP(Table1[[#This Row],[Top Parent]],Table3[Top Parent],Table3[Owner Name])</f>
        <v>Alejandro Monteón</v>
      </c>
      <c r="O81" s="26"/>
      <c r="P81" t="s">
        <v>4711</v>
      </c>
      <c r="Q81" s="1" t="str">
        <f>IF(Table1[[#This Row],[Last Owner]]=Table1[[#This Row],[Owner Name]],"No","Si")</f>
        <v>No</v>
      </c>
      <c r="R81" s="1" t="str">
        <f>IF(Table1[[#This Row],[Diferencia de dias]]&gt;182,"Si","No")</f>
        <v>No</v>
      </c>
      <c r="S81" t="s">
        <v>14</v>
      </c>
      <c r="T81" s="1" t="str">
        <f>IF(Table1[[#This Row],[Owner de la cuenta]]=Table1[[#This Row],[Owner Name]],"Si","No")</f>
        <v>Si</v>
      </c>
      <c r="U81" t="s">
        <v>4716</v>
      </c>
      <c r="V81" t="s">
        <v>5245</v>
      </c>
      <c r="W81">
        <v>7425419.4000000004</v>
      </c>
      <c r="X81" t="s">
        <v>4988</v>
      </c>
    </row>
    <row r="82" spans="3:24" x14ac:dyDescent="0.35">
      <c r="C82" t="str">
        <f>VLOOKUP(D82,Diccionario!A:B,2,0)</f>
        <v>LMM 5</v>
      </c>
      <c r="D82" t="s">
        <v>88</v>
      </c>
      <c r="E82" t="s">
        <v>6</v>
      </c>
      <c r="F82" t="s">
        <v>5181</v>
      </c>
      <c r="H82" s="1">
        <v>46077</v>
      </c>
      <c r="I82" t="s">
        <v>5182</v>
      </c>
      <c r="J82" t="str">
        <f>IF(G82="",F82,G82)</f>
        <v>PRODUCTORA HUEVO SAN LUIS</v>
      </c>
      <c r="K82" t="str">
        <f>IFERROR(VLOOKUP(Table1[[#This Row],[Top Parent]],'1.- Citas sin this week'!G:G,1,0),"New New")</f>
        <v>New New</v>
      </c>
      <c r="L82" s="25" t="e">
        <f>_xlfn.XLOOKUP(Table1[[#This Row],[Top Parent]],Table3[Top Parent],Table3[Date])</f>
        <v>#N/A</v>
      </c>
      <c r="M82" s="26" t="e">
        <f>Table1[[#This Row],[Date]]-Table1[[#This Row],[Last Date]]</f>
        <v>#N/A</v>
      </c>
      <c r="N82" s="25" t="e">
        <f>_xlfn.XLOOKUP(Table1[[#This Row],[Top Parent]],Table3[Top Parent],Table3[Owner Name])</f>
        <v>#N/A</v>
      </c>
      <c r="O82" s="26"/>
      <c r="P82" t="s">
        <v>403</v>
      </c>
      <c r="Q82" s="1" t="e">
        <f>IF(Table1[[#This Row],[Last Owner]]=Table1[[#This Row],[Owner Name]],"No","Si")</f>
        <v>#N/A</v>
      </c>
      <c r="R82" s="1" t="e">
        <f>IF(Table1[[#This Row],[Diferencia de dias]]&gt;182,"Si","No")</f>
        <v>#N/A</v>
      </c>
      <c r="S82" t="s">
        <v>88</v>
      </c>
      <c r="T82" s="1" t="str">
        <f>IF(Table1[[#This Row],[Owner de la cuenta]]=Table1[[#This Row],[Owner Name]],"Si","No")</f>
        <v>Si</v>
      </c>
      <c r="U82" t="s">
        <v>5053</v>
      </c>
      <c r="V82" t="s">
        <v>5258</v>
      </c>
      <c r="X82" t="s">
        <v>4981</v>
      </c>
    </row>
    <row r="83" spans="3:24" x14ac:dyDescent="0.35">
      <c r="C83" t="str">
        <f>VLOOKUP(D83,Diccionario!A:B,2,0)</f>
        <v>LMM 5</v>
      </c>
      <c r="D83" t="s">
        <v>207</v>
      </c>
      <c r="E83" t="s">
        <v>6</v>
      </c>
      <c r="F83" t="s">
        <v>5206</v>
      </c>
      <c r="H83" s="1">
        <v>46076</v>
      </c>
      <c r="I83" t="s">
        <v>5207</v>
      </c>
      <c r="J83" t="str">
        <f>IF(G83="",F83,G83)</f>
        <v>Moons Dental</v>
      </c>
      <c r="K83" t="str">
        <f>IFERROR(VLOOKUP(Table1[[#This Row],[Top Parent]],'1.- Citas sin this week'!G:G,1,0),"New New")</f>
        <v>New New</v>
      </c>
      <c r="L83" s="25" t="e">
        <f>_xlfn.XLOOKUP(Table1[[#This Row],[Top Parent]],Table3[Top Parent],Table3[Date])</f>
        <v>#N/A</v>
      </c>
      <c r="M83" s="26" t="e">
        <f>Table1[[#This Row],[Date]]-Table1[[#This Row],[Last Date]]</f>
        <v>#N/A</v>
      </c>
      <c r="N83" s="25" t="e">
        <f>_xlfn.XLOOKUP(Table1[[#This Row],[Top Parent]],Table3[Top Parent],Table3[Owner Name])</f>
        <v>#N/A</v>
      </c>
      <c r="O83" s="26"/>
      <c r="P83" t="s">
        <v>403</v>
      </c>
      <c r="Q83" s="1" t="e">
        <f>IF(Table1[[#This Row],[Last Owner]]=Table1[[#This Row],[Owner Name]],"No","Si")</f>
        <v>#N/A</v>
      </c>
      <c r="R83" s="1" t="e">
        <f>IF(Table1[[#This Row],[Diferencia de dias]]&gt;182,"Si","No")</f>
        <v>#N/A</v>
      </c>
      <c r="S83" t="s">
        <v>207</v>
      </c>
      <c r="T83" s="1" t="str">
        <f>IF(Table1[[#This Row],[Owner de la cuenta]]=Table1[[#This Row],[Owner Name]],"Si","No")</f>
        <v>Si</v>
      </c>
      <c r="U83" t="s">
        <v>1223</v>
      </c>
      <c r="V83" t="s">
        <v>5274</v>
      </c>
      <c r="X83" t="s">
        <v>4663</v>
      </c>
    </row>
    <row r="84" spans="3:24" hidden="1" x14ac:dyDescent="0.35">
      <c r="C84" t="str">
        <f>VLOOKUP(D84,Diccionario!A:B,2,0)</f>
        <v>LMM 4</v>
      </c>
      <c r="D84" t="s">
        <v>28</v>
      </c>
      <c r="E84" t="s">
        <v>6</v>
      </c>
      <c r="F84" t="s">
        <v>1052</v>
      </c>
      <c r="H84" s="1">
        <v>46077</v>
      </c>
      <c r="I84" t="s">
        <v>5160</v>
      </c>
      <c r="J84" t="str">
        <f>IF(G84="",F84,G84)</f>
        <v>Agricenter zevilla</v>
      </c>
      <c r="K84" t="str">
        <f>IFERROR(VLOOKUP(Table1[[#This Row],[Top Parent]],'1.- Citas sin this week'!G:G,1,0),"New New")</f>
        <v>Agricenter zevilla</v>
      </c>
      <c r="L84" s="25">
        <f>_xlfn.XLOOKUP(Table1[[#This Row],[Top Parent]],Table3[Top Parent],Table3[Date])</f>
        <v>45925</v>
      </c>
      <c r="M84" s="26">
        <f>Table1[[#This Row],[Date]]-Table1[[#This Row],[Last Date]]</f>
        <v>152</v>
      </c>
      <c r="N84" s="25" t="str">
        <f>_xlfn.XLOOKUP(Table1[[#This Row],[Top Parent]],Table3[Top Parent],Table3[Owner Name])</f>
        <v>Alexandra Ramírez</v>
      </c>
      <c r="O84" s="26"/>
      <c r="P84" t="s">
        <v>403</v>
      </c>
      <c r="Q84" s="1" t="str">
        <f>IF(Table1[[#This Row],[Last Owner]]=Table1[[#This Row],[Owner Name]],"No","Si")</f>
        <v>No</v>
      </c>
      <c r="R84" s="1" t="str">
        <f>IF(Table1[[#This Row],[Diferencia de dias]]&gt;182,"Si","No")</f>
        <v>No</v>
      </c>
      <c r="S84" t="s">
        <v>28</v>
      </c>
      <c r="T84" s="1" t="str">
        <f>IF(Table1[[#This Row],[Owner de la cuenta]]=Table1[[#This Row],[Owner Name]],"Si","No")</f>
        <v>Si</v>
      </c>
      <c r="U84" t="s">
        <v>4715</v>
      </c>
      <c r="V84" t="s">
        <v>5247</v>
      </c>
      <c r="X84" t="s">
        <v>4981</v>
      </c>
    </row>
    <row r="85" spans="3:24" x14ac:dyDescent="0.35">
      <c r="C85" t="str">
        <f>VLOOKUP(D85,Diccionario!A:B,2,0)</f>
        <v>LMM 5</v>
      </c>
      <c r="D85" t="s">
        <v>12</v>
      </c>
      <c r="E85" t="s">
        <v>6</v>
      </c>
      <c r="F85" t="s">
        <v>5426</v>
      </c>
      <c r="H85" s="1">
        <v>46080</v>
      </c>
      <c r="I85" t="s">
        <v>5427</v>
      </c>
      <c r="J85" t="str">
        <f>IF(G85="",F85,G85)</f>
        <v>XK NET</v>
      </c>
      <c r="K85" t="str">
        <f>IFERROR(VLOOKUP(Table1[[#This Row],[Top Parent]],'1.- Citas sin this week'!G:G,1,0),"New New")</f>
        <v>New New</v>
      </c>
      <c r="L85" s="25" t="e">
        <f>_xlfn.XLOOKUP(Table1[[#This Row],[Top Parent]],Table3[Top Parent],Table3[Date])</f>
        <v>#N/A</v>
      </c>
      <c r="M85" s="26" t="e">
        <f>Table1[[#This Row],[Date]]-Table1[[#This Row],[Last Date]]</f>
        <v>#N/A</v>
      </c>
      <c r="N85" s="25" t="e">
        <f>_xlfn.XLOOKUP(Table1[[#This Row],[Top Parent]],Table3[Top Parent],Table3[Owner Name])</f>
        <v>#N/A</v>
      </c>
      <c r="O85" s="26"/>
      <c r="P85" t="s">
        <v>403</v>
      </c>
      <c r="Q85" s="1" t="e">
        <f>IF(Table1[[#This Row],[Last Owner]]=Table1[[#This Row],[Owner Name]],"No","Si")</f>
        <v>#N/A</v>
      </c>
      <c r="R85" s="1" t="e">
        <f>IF(Table1[[#This Row],[Diferencia de dias]]&gt;182,"Si","No")</f>
        <v>#N/A</v>
      </c>
      <c r="S85" t="s">
        <v>12</v>
      </c>
      <c r="T85" s="1" t="str">
        <f>IF(Table1[[#This Row],[Owner de la cuenta]]=Table1[[#This Row],[Owner Name]],"Si","No")</f>
        <v>Si</v>
      </c>
      <c r="U85" t="s">
        <v>5517</v>
      </c>
      <c r="V85" t="s">
        <v>5518</v>
      </c>
      <c r="X85" t="s">
        <v>4985</v>
      </c>
    </row>
    <row r="86" spans="3:24" hidden="1" x14ac:dyDescent="0.35">
      <c r="C86" t="str">
        <f>VLOOKUP(D86,Diccionario!A:B,2,0)</f>
        <v>LMM 1</v>
      </c>
      <c r="D86" t="s">
        <v>3092</v>
      </c>
      <c r="E86" t="s">
        <v>6</v>
      </c>
      <c r="F86" t="s">
        <v>5018</v>
      </c>
      <c r="H86" s="1">
        <v>46077</v>
      </c>
      <c r="I86" t="s">
        <v>5165</v>
      </c>
      <c r="J86" t="str">
        <f>IF(G86="",F86,G86)</f>
        <v>Suajes y Empaques</v>
      </c>
      <c r="K86" t="str">
        <f>IFERROR(VLOOKUP(Table1[[#This Row],[Top Parent]],'1.- Citas sin this week'!G:G,1,0),"New New")</f>
        <v>Suajes y Empaques</v>
      </c>
      <c r="L86" s="25">
        <f>_xlfn.XLOOKUP(Table1[[#This Row],[Top Parent]],Table3[Top Parent],Table3[Date])</f>
        <v>46073</v>
      </c>
      <c r="M86" s="26">
        <f>Table1[[#This Row],[Date]]-Table1[[#This Row],[Last Date]]</f>
        <v>4</v>
      </c>
      <c r="N86" s="25" t="str">
        <f>_xlfn.XLOOKUP(Table1[[#This Row],[Top Parent]],Table3[Top Parent],Table3[Owner Name])</f>
        <v>Roberto Anaya</v>
      </c>
      <c r="O86" s="26"/>
      <c r="P86" t="s">
        <v>403</v>
      </c>
      <c r="Q86" s="1" t="str">
        <f>IF(Table1[[#This Row],[Last Owner]]=Table1[[#This Row],[Owner Name]],"No","Si")</f>
        <v>No</v>
      </c>
      <c r="R86" s="1" t="str">
        <f>IF(Table1[[#This Row],[Diferencia de dias]]&gt;182,"Si","No")</f>
        <v>No</v>
      </c>
      <c r="S86" t="s">
        <v>3092</v>
      </c>
      <c r="T86" s="1" t="str">
        <f>IF(Table1[[#This Row],[Owner de la cuenta]]=Table1[[#This Row],[Owner Name]],"Si","No")</f>
        <v>Si</v>
      </c>
      <c r="U86" t="s">
        <v>5033</v>
      </c>
      <c r="V86" t="s">
        <v>5035</v>
      </c>
      <c r="X86" t="s">
        <v>4982</v>
      </c>
    </row>
    <row r="87" spans="3:24" x14ac:dyDescent="0.35">
      <c r="C87" t="str">
        <f>VLOOKUP(D87,Diccionario!A:B,2,0)</f>
        <v>LMM 5</v>
      </c>
      <c r="D87" t="s">
        <v>12</v>
      </c>
      <c r="E87" t="s">
        <v>6</v>
      </c>
      <c r="F87" t="s">
        <v>5208</v>
      </c>
      <c r="H87" s="1">
        <v>46076</v>
      </c>
      <c r="I87" t="s">
        <v>5209</v>
      </c>
      <c r="J87" t="str">
        <f>IF(G87="",F87,G87)</f>
        <v>Productora De Alimentos Mexicanos</v>
      </c>
      <c r="K87" t="str">
        <f>IFERROR(VLOOKUP(Table1[[#This Row],[Top Parent]],'1.- Citas sin this week'!G:G,1,0),"New New")</f>
        <v>New New</v>
      </c>
      <c r="L87" s="25" t="e">
        <f>_xlfn.XLOOKUP(Table1[[#This Row],[Top Parent]],Table3[Top Parent],Table3[Date])</f>
        <v>#N/A</v>
      </c>
      <c r="M87" s="26" t="e">
        <f>Table1[[#This Row],[Date]]-Table1[[#This Row],[Last Date]]</f>
        <v>#N/A</v>
      </c>
      <c r="N87" s="25" t="e">
        <f>_xlfn.XLOOKUP(Table1[[#This Row],[Top Parent]],Table3[Top Parent],Table3[Owner Name])</f>
        <v>#N/A</v>
      </c>
      <c r="O87" s="26"/>
      <c r="P87" t="s">
        <v>403</v>
      </c>
      <c r="Q87" s="1" t="e">
        <f>IF(Table1[[#This Row],[Last Owner]]=Table1[[#This Row],[Owner Name]],"No","Si")</f>
        <v>#N/A</v>
      </c>
      <c r="R87" s="1" t="e">
        <f>IF(Table1[[#This Row],[Diferencia de dias]]&gt;182,"Si","No")</f>
        <v>#N/A</v>
      </c>
      <c r="S87" t="s">
        <v>12</v>
      </c>
      <c r="T87" s="1" t="str">
        <f>IF(Table1[[#This Row],[Owner de la cuenta]]=Table1[[#This Row],[Owner Name]],"Si","No")</f>
        <v>Si</v>
      </c>
      <c r="U87" t="s">
        <v>4983</v>
      </c>
      <c r="V87" t="s">
        <v>5275</v>
      </c>
      <c r="X87" t="s">
        <v>4981</v>
      </c>
    </row>
    <row r="88" spans="3:24" hidden="1" x14ac:dyDescent="0.35">
      <c r="C88" t="str">
        <f>VLOOKUP(D88,Diccionario!A:B,2,0)</f>
        <v>México 2</v>
      </c>
      <c r="D88" t="s">
        <v>32</v>
      </c>
      <c r="E88" t="s">
        <v>6</v>
      </c>
      <c r="F88" t="s">
        <v>461</v>
      </c>
      <c r="H88" s="1">
        <v>46077</v>
      </c>
      <c r="I88" t="s">
        <v>5502</v>
      </c>
      <c r="J88" t="str">
        <f t="shared" ref="J66:J97" si="2">IF(G88="",F88,G88)</f>
        <v>Prefamovil Infraestructura</v>
      </c>
      <c r="K88" t="str">
        <f>IFERROR(VLOOKUP(Table1[[#This Row],[Top Parent]],'1.- Citas sin this week'!G:G,1,0),"New New")</f>
        <v>Prefamovil Infraestructura</v>
      </c>
      <c r="L88" s="25">
        <f>_xlfn.XLOOKUP(Table1[[#This Row],[Top Parent]],Table3[Top Parent],Table3[Date])</f>
        <v>46073</v>
      </c>
      <c r="M88" s="26">
        <f>Table1[[#This Row],[Date]]-Table1[[#This Row],[Last Date]]</f>
        <v>4</v>
      </c>
      <c r="N88" s="25" t="str">
        <f>_xlfn.XLOOKUP(Table1[[#This Row],[Top Parent]],Table3[Top Parent],Table3[Owner Name])</f>
        <v>Rafael Garcia</v>
      </c>
      <c r="O88" s="26"/>
      <c r="P88" t="s">
        <v>4711</v>
      </c>
      <c r="Q88" s="1" t="str">
        <f>IF(Table1[[#This Row],[Last Owner]]=Table1[[#This Row],[Owner Name]],"No","Si")</f>
        <v>No</v>
      </c>
      <c r="R88" s="1" t="str">
        <f>IF(Table1[[#This Row],[Diferencia de dias]]&gt;182,"Si","No")</f>
        <v>No</v>
      </c>
      <c r="S88" t="s">
        <v>32</v>
      </c>
      <c r="T88" s="1" t="str">
        <f>IF(Table1[[#This Row],[Owner de la cuenta]]=Table1[[#This Row],[Owner Name]],"Si","No")</f>
        <v>Si</v>
      </c>
      <c r="U88" t="s">
        <v>1129</v>
      </c>
      <c r="V88" t="s">
        <v>5566</v>
      </c>
      <c r="W88">
        <v>5469774.9000000004</v>
      </c>
      <c r="X88" t="s">
        <v>4984</v>
      </c>
    </row>
    <row r="89" spans="3:24" hidden="1" x14ac:dyDescent="0.35">
      <c r="C89" t="str">
        <f>VLOOKUP(D89,Diccionario!A:B,2,0)</f>
        <v>México 1</v>
      </c>
      <c r="D89" t="s">
        <v>2912</v>
      </c>
      <c r="E89" t="s">
        <v>5351</v>
      </c>
      <c r="F89" t="s">
        <v>5114</v>
      </c>
      <c r="G89" t="s">
        <v>5115</v>
      </c>
      <c r="H89" s="1">
        <v>46079</v>
      </c>
      <c r="I89" t="s">
        <v>5116</v>
      </c>
      <c r="J89" t="str">
        <f t="shared" si="2"/>
        <v>AlcisCorp</v>
      </c>
      <c r="K89" t="str">
        <f>IFERROR(VLOOKUP(Table1[[#This Row],[Top Parent]],'1.- Citas sin this week'!G:G,1,0),"New New")</f>
        <v>New New</v>
      </c>
      <c r="L89" s="25" t="e">
        <f>_xlfn.XLOOKUP(Table1[[#This Row],[Top Parent]],Table3[Top Parent],Table3[Date])</f>
        <v>#N/A</v>
      </c>
      <c r="M89" s="26" t="e">
        <f>Table1[[#This Row],[Date]]-Table1[[#This Row],[Last Date]]</f>
        <v>#N/A</v>
      </c>
      <c r="N89" s="25" t="e">
        <f>_xlfn.XLOOKUP(Table1[[#This Row],[Top Parent]],Table3[Top Parent],Table3[Owner Name])</f>
        <v>#N/A</v>
      </c>
      <c r="O89" s="26"/>
      <c r="P89" t="s">
        <v>403</v>
      </c>
      <c r="Q89" s="1" t="e">
        <f>IF(Table1[[#This Row],[Last Owner]]=Table1[[#This Row],[Owner Name]],"No","Si")</f>
        <v>#N/A</v>
      </c>
      <c r="R89" s="1" t="e">
        <f>IF(Table1[[#This Row],[Diferencia de dias]]&gt;182,"Si","No")</f>
        <v>#N/A</v>
      </c>
      <c r="S89" t="s">
        <v>2912</v>
      </c>
      <c r="T89" s="1" t="str">
        <f>IF(Table1[[#This Row],[Owner de la cuenta]]=Table1[[#This Row],[Owner Name]],"Si","No")</f>
        <v>Si</v>
      </c>
      <c r="U89" t="s">
        <v>1223</v>
      </c>
      <c r="V89" t="s">
        <v>5219</v>
      </c>
      <c r="X89" t="s">
        <v>4985</v>
      </c>
    </row>
    <row r="90" spans="3:24" hidden="1" x14ac:dyDescent="0.35">
      <c r="C90" t="str">
        <f>VLOOKUP(D90,Diccionario!A:B,2,0)</f>
        <v>LMM 1</v>
      </c>
      <c r="D90" t="s">
        <v>3092</v>
      </c>
      <c r="E90" t="s">
        <v>6</v>
      </c>
      <c r="F90" t="s">
        <v>3326</v>
      </c>
      <c r="H90" s="1">
        <v>46077</v>
      </c>
      <c r="I90" t="s">
        <v>5166</v>
      </c>
      <c r="J90" t="str">
        <f t="shared" si="2"/>
        <v>Cortes Especializados de Papel</v>
      </c>
      <c r="K90" t="str">
        <f>IFERROR(VLOOKUP(Table1[[#This Row],[Top Parent]],'1.- Citas sin this week'!G:G,1,0),"New New")</f>
        <v>Cortes Especializados de Papel</v>
      </c>
      <c r="L90" s="25">
        <f>_xlfn.XLOOKUP(Table1[[#This Row],[Top Parent]],Table3[Top Parent],Table3[Date])</f>
        <v>46020</v>
      </c>
      <c r="M90" s="26">
        <f>Table1[[#This Row],[Date]]-Table1[[#This Row],[Last Date]]</f>
        <v>57</v>
      </c>
      <c r="N90" s="25" t="str">
        <f>_xlfn.XLOOKUP(Table1[[#This Row],[Top Parent]],Table3[Top Parent],Table3[Owner Name])</f>
        <v>Roberto Anaya</v>
      </c>
      <c r="O90" s="26"/>
      <c r="P90" t="s">
        <v>403</v>
      </c>
      <c r="Q90" s="1" t="str">
        <f>IF(Table1[[#This Row],[Last Owner]]=Table1[[#This Row],[Owner Name]],"No","Si")</f>
        <v>No</v>
      </c>
      <c r="R90" s="1" t="str">
        <f>IF(Table1[[#This Row],[Diferencia de dias]]&gt;182,"Si","No")</f>
        <v>No</v>
      </c>
      <c r="S90" t="s">
        <v>3092</v>
      </c>
      <c r="T90" s="1" t="str">
        <f>IF(Table1[[#This Row],[Owner de la cuenta]]=Table1[[#This Row],[Owner Name]],"Si","No")</f>
        <v>Si</v>
      </c>
      <c r="U90" t="s">
        <v>5033</v>
      </c>
      <c r="V90" t="s">
        <v>5250</v>
      </c>
      <c r="X90" t="s">
        <v>5045</v>
      </c>
    </row>
    <row r="91" spans="3:24" hidden="1" x14ac:dyDescent="0.35">
      <c r="C91" t="str">
        <f>VLOOKUP(D91,Diccionario!A:B,2,0)</f>
        <v>México 1</v>
      </c>
      <c r="D91" t="s">
        <v>2884</v>
      </c>
      <c r="E91" t="s">
        <v>5042</v>
      </c>
      <c r="F91" t="s">
        <v>4417</v>
      </c>
      <c r="H91" s="1">
        <v>46079</v>
      </c>
      <c r="I91" t="s">
        <v>5113</v>
      </c>
      <c r="J91" t="str">
        <f t="shared" si="2"/>
        <v>Distribuidora De Ropa Viva</v>
      </c>
      <c r="K91" t="str">
        <f>IFERROR(VLOOKUP(Table1[[#This Row],[Top Parent]],'1.- Citas sin this week'!G:G,1,0),"New New")</f>
        <v>New New</v>
      </c>
      <c r="L91" s="25" t="e">
        <f>_xlfn.XLOOKUP(Table1[[#This Row],[Top Parent]],Table3[Top Parent],Table3[Date])</f>
        <v>#N/A</v>
      </c>
      <c r="M91" s="26" t="e">
        <f>Table1[[#This Row],[Date]]-Table1[[#This Row],[Last Date]]</f>
        <v>#N/A</v>
      </c>
      <c r="N91" s="25" t="e">
        <f>_xlfn.XLOOKUP(Table1[[#This Row],[Top Parent]],Table3[Top Parent],Table3[Owner Name])</f>
        <v>#N/A</v>
      </c>
      <c r="O91" s="26"/>
      <c r="P91" t="s">
        <v>403</v>
      </c>
      <c r="Q91" s="1" t="e">
        <f>IF(Table1[[#This Row],[Last Owner]]=Table1[[#This Row],[Owner Name]],"No","Si")</f>
        <v>#N/A</v>
      </c>
      <c r="R91" s="1" t="e">
        <f>IF(Table1[[#This Row],[Diferencia de dias]]&gt;182,"Si","No")</f>
        <v>#N/A</v>
      </c>
      <c r="S91" t="s">
        <v>2884</v>
      </c>
      <c r="T91" s="1" t="str">
        <f>IF(Table1[[#This Row],[Owner de la cuenta]]=Table1[[#This Row],[Owner Name]],"Si","No")</f>
        <v>Si</v>
      </c>
      <c r="U91" t="s">
        <v>1223</v>
      </c>
      <c r="V91" t="s">
        <v>5218</v>
      </c>
      <c r="X91" t="s">
        <v>4982</v>
      </c>
    </row>
    <row r="92" spans="3:24" hidden="1" x14ac:dyDescent="0.35">
      <c r="C92" t="str">
        <f>VLOOKUP(D92,Diccionario!A:B,2,0)</f>
        <v>México 1</v>
      </c>
      <c r="D92" t="s">
        <v>739</v>
      </c>
      <c r="E92" t="s">
        <v>6</v>
      </c>
      <c r="F92" t="s">
        <v>370</v>
      </c>
      <c r="H92" s="1">
        <v>46077</v>
      </c>
      <c r="I92" t="s">
        <v>5504</v>
      </c>
      <c r="J92" t="str">
        <f t="shared" si="2"/>
        <v>Grupo Kuo</v>
      </c>
      <c r="K92" t="str">
        <f>IFERROR(VLOOKUP(Table1[[#This Row],[Top Parent]],'1.- Citas sin this week'!G:G,1,0),"New New")</f>
        <v>Grupo Kuo</v>
      </c>
      <c r="L92" s="25">
        <f>_xlfn.XLOOKUP(Table1[[#This Row],[Top Parent]],Table3[Top Parent],Table3[Date])</f>
        <v>46059</v>
      </c>
      <c r="M92" s="26">
        <f>Table1[[#This Row],[Date]]-Table1[[#This Row],[Last Date]]</f>
        <v>18</v>
      </c>
      <c r="N92" s="25" t="str">
        <f>_xlfn.XLOOKUP(Table1[[#This Row],[Top Parent]],Table3[Top Parent],Table3[Owner Name])</f>
        <v>Kenia Martinez</v>
      </c>
      <c r="O92" s="26"/>
      <c r="P92" t="s">
        <v>4712</v>
      </c>
      <c r="Q92" s="1" t="str">
        <f>IF(Table1[[#This Row],[Last Owner]]=Table1[[#This Row],[Owner Name]],"No","Si")</f>
        <v>No</v>
      </c>
      <c r="R92" s="1" t="str">
        <f>IF(Table1[[#This Row],[Diferencia de dias]]&gt;182,"Si","No")</f>
        <v>No</v>
      </c>
      <c r="S92" t="s">
        <v>739</v>
      </c>
      <c r="T92" s="1" t="str">
        <f>IF(Table1[[#This Row],[Owner de la cuenta]]=Table1[[#This Row],[Owner Name]],"Si","No")</f>
        <v>Si</v>
      </c>
      <c r="U92" t="s">
        <v>1223</v>
      </c>
      <c r="V92" t="s">
        <v>5567</v>
      </c>
      <c r="W92">
        <v>443963.8</v>
      </c>
      <c r="X92" t="s">
        <v>4981</v>
      </c>
    </row>
    <row r="93" spans="3:24" hidden="1" x14ac:dyDescent="0.35">
      <c r="C93" t="str">
        <f>VLOOKUP(D93,Diccionario!A:B,2,0)</f>
        <v>México 1</v>
      </c>
      <c r="D93" t="s">
        <v>739</v>
      </c>
      <c r="E93" t="s">
        <v>33</v>
      </c>
      <c r="F93" t="s">
        <v>5483</v>
      </c>
      <c r="H93" s="1">
        <v>46078</v>
      </c>
      <c r="I93" t="s">
        <v>5484</v>
      </c>
      <c r="J93" t="str">
        <f t="shared" si="2"/>
        <v>Cía Cerillera La Central</v>
      </c>
      <c r="K93" t="str">
        <f>IFERROR(VLOOKUP(Table1[[#This Row],[Top Parent]],'1.- Citas sin this week'!G:G,1,0),"New New")</f>
        <v>New New</v>
      </c>
      <c r="L93" s="25" t="e">
        <f>_xlfn.XLOOKUP(Table1[[#This Row],[Top Parent]],Table3[Top Parent],Table3[Date])</f>
        <v>#N/A</v>
      </c>
      <c r="M93" s="26" t="e">
        <f>Table1[[#This Row],[Date]]-Table1[[#This Row],[Last Date]]</f>
        <v>#N/A</v>
      </c>
      <c r="N93" s="25" t="e">
        <f>_xlfn.XLOOKUP(Table1[[#This Row],[Top Parent]],Table3[Top Parent],Table3[Owner Name])</f>
        <v>#N/A</v>
      </c>
      <c r="O93" s="26"/>
      <c r="P93" t="s">
        <v>403</v>
      </c>
      <c r="Q93" s="1" t="e">
        <f>IF(Table1[[#This Row],[Last Owner]]=Table1[[#This Row],[Owner Name]],"No","Si")</f>
        <v>#N/A</v>
      </c>
      <c r="R93" s="1" t="e">
        <f>IF(Table1[[#This Row],[Diferencia de dias]]&gt;182,"Si","No")</f>
        <v>#N/A</v>
      </c>
      <c r="S93" t="s">
        <v>739</v>
      </c>
      <c r="T93" s="1" t="str">
        <f>IF(Table1[[#This Row],[Owner de la cuenta]]=Table1[[#This Row],[Owner Name]],"Si","No")</f>
        <v>Si</v>
      </c>
      <c r="U93" t="s">
        <v>1129</v>
      </c>
      <c r="V93" t="s">
        <v>5555</v>
      </c>
      <c r="X93" t="s">
        <v>4989</v>
      </c>
    </row>
    <row r="94" spans="3:24" hidden="1" x14ac:dyDescent="0.35">
      <c r="C94" t="str">
        <f>VLOOKUP(D94,Diccionario!A:B,2,0)</f>
        <v>México 2</v>
      </c>
      <c r="D94" t="s">
        <v>26</v>
      </c>
      <c r="E94" t="s">
        <v>6</v>
      </c>
      <c r="F94" t="s">
        <v>418</v>
      </c>
      <c r="H94" s="1">
        <v>46077</v>
      </c>
      <c r="I94" t="s">
        <v>5170</v>
      </c>
      <c r="J94" t="str">
        <f t="shared" si="2"/>
        <v>Grupo Altex</v>
      </c>
      <c r="K94" t="str">
        <f>IFERROR(VLOOKUP(Table1[[#This Row],[Top Parent]],'1.- Citas sin this week'!G:G,1,0),"New New")</f>
        <v>Grupo Altex</v>
      </c>
      <c r="L94" s="25">
        <f>_xlfn.XLOOKUP(Table1[[#This Row],[Top Parent]],Table3[Top Parent],Table3[Date])</f>
        <v>45938</v>
      </c>
      <c r="M94" s="26">
        <f>Table1[[#This Row],[Date]]-Table1[[#This Row],[Last Date]]</f>
        <v>139</v>
      </c>
      <c r="N94" s="25" t="str">
        <f>_xlfn.XLOOKUP(Table1[[#This Row],[Top Parent]],Table3[Top Parent],Table3[Owner Name])</f>
        <v>Octavio Chimal</v>
      </c>
      <c r="O94" s="26"/>
      <c r="P94" t="s">
        <v>4711</v>
      </c>
      <c r="Q94" s="1" t="str">
        <f>IF(Table1[[#This Row],[Last Owner]]=Table1[[#This Row],[Owner Name]],"No","Si")</f>
        <v>No</v>
      </c>
      <c r="R94" s="1" t="str">
        <f>IF(Table1[[#This Row],[Diferencia de dias]]&gt;182,"Si","No")</f>
        <v>No</v>
      </c>
      <c r="S94" t="s">
        <v>26</v>
      </c>
      <c r="T94" s="1" t="str">
        <f>IF(Table1[[#This Row],[Owner de la cuenta]]=Table1[[#This Row],[Owner Name]],"Si","No")</f>
        <v>Si</v>
      </c>
      <c r="U94" t="s">
        <v>1223</v>
      </c>
      <c r="V94" t="s">
        <v>5253</v>
      </c>
      <c r="W94">
        <v>19099988.5</v>
      </c>
      <c r="X94" t="s">
        <v>4981</v>
      </c>
    </row>
    <row r="95" spans="3:24" hidden="1" x14ac:dyDescent="0.35">
      <c r="C95" t="str">
        <f>VLOOKUP(D95,Diccionario!A:B,2,0)</f>
        <v>Monterrey</v>
      </c>
      <c r="D95" t="s">
        <v>39</v>
      </c>
      <c r="E95" t="s">
        <v>5176</v>
      </c>
      <c r="F95" t="s">
        <v>5000</v>
      </c>
      <c r="H95" s="1">
        <v>46077</v>
      </c>
      <c r="I95" t="s">
        <v>5177</v>
      </c>
      <c r="J95" t="str">
        <f t="shared" si="2"/>
        <v>CY Alimentos</v>
      </c>
      <c r="K95" t="str">
        <f>IFERROR(VLOOKUP(Table1[[#This Row],[Top Parent]],'1.- Citas sin this week'!G:G,1,0),"New New")</f>
        <v>CY Alimentos</v>
      </c>
      <c r="L95" s="25">
        <f>_xlfn.XLOOKUP(Table1[[#This Row],[Top Parent]],Table3[Top Parent],Table3[Date])</f>
        <v>46072</v>
      </c>
      <c r="M95" s="26">
        <f>Table1[[#This Row],[Date]]-Table1[[#This Row],[Last Date]]</f>
        <v>5</v>
      </c>
      <c r="N95" s="25" t="str">
        <f>_xlfn.XLOOKUP(Table1[[#This Row],[Top Parent]],Table3[Top Parent],Table3[Owner Name])</f>
        <v>Miguel Antunez</v>
      </c>
      <c r="O95" s="26"/>
      <c r="P95" t="s">
        <v>403</v>
      </c>
      <c r="Q95" s="1" t="str">
        <f>IF(Table1[[#This Row],[Last Owner]]=Table1[[#This Row],[Owner Name]],"No","Si")</f>
        <v>No</v>
      </c>
      <c r="R95" s="1" t="str">
        <f>IF(Table1[[#This Row],[Diferencia de dias]]&gt;182,"Si","No")</f>
        <v>No</v>
      </c>
      <c r="S95" t="s">
        <v>39</v>
      </c>
      <c r="T95" s="1" t="str">
        <f>IF(Table1[[#This Row],[Owner de la cuenta]]=Table1[[#This Row],[Owner Name]],"Si","No")</f>
        <v>Si</v>
      </c>
      <c r="U95" t="s">
        <v>4714</v>
      </c>
      <c r="V95" t="s">
        <v>5034</v>
      </c>
      <c r="X95" t="s">
        <v>4981</v>
      </c>
    </row>
    <row r="96" spans="3:24" hidden="1" x14ac:dyDescent="0.35">
      <c r="C96" t="str">
        <f>VLOOKUP(D96,Diccionario!A:B,2,0)</f>
        <v>LMM 5</v>
      </c>
      <c r="D96" t="s">
        <v>207</v>
      </c>
      <c r="E96" t="s">
        <v>6</v>
      </c>
      <c r="F96" t="s">
        <v>1427</v>
      </c>
      <c r="H96" s="1">
        <v>46077</v>
      </c>
      <c r="I96" t="s">
        <v>5171</v>
      </c>
      <c r="J96" t="str">
        <f t="shared" si="2"/>
        <v>Ahumados Noruegos</v>
      </c>
      <c r="K96" t="str">
        <f>IFERROR(VLOOKUP(Table1[[#This Row],[Top Parent]],'1.- Citas sin this week'!G:G,1,0),"New New")</f>
        <v>Ahumados Noruegos</v>
      </c>
      <c r="L96" s="25">
        <f>_xlfn.XLOOKUP(Table1[[#This Row],[Top Parent]],Table3[Top Parent],Table3[Date])</f>
        <v>45728</v>
      </c>
      <c r="M96" s="26">
        <f>Table1[[#This Row],[Date]]-Table1[[#This Row],[Last Date]]</f>
        <v>349</v>
      </c>
      <c r="N96" s="25" t="str">
        <f>_xlfn.XLOOKUP(Table1[[#This Row],[Top Parent]],Table3[Top Parent],Table3[Owner Name])</f>
        <v>Monserrat Villanueva</v>
      </c>
      <c r="O96" s="26"/>
      <c r="P96" t="s">
        <v>403</v>
      </c>
      <c r="Q96" s="1" t="str">
        <f>IF(Table1[[#This Row],[Last Owner]]=Table1[[#This Row],[Owner Name]],"No","Si")</f>
        <v>No</v>
      </c>
      <c r="R96" s="1" t="str">
        <f>IF(Table1[[#This Row],[Diferencia de dias]]&gt;182,"Si","No")</f>
        <v>Si</v>
      </c>
      <c r="S96" t="s">
        <v>207</v>
      </c>
      <c r="T96" s="1" t="str">
        <f>IF(Table1[[#This Row],[Owner de la cuenta]]=Table1[[#This Row],[Owner Name]],"Si","No")</f>
        <v>Si</v>
      </c>
      <c r="U96" t="s">
        <v>1129</v>
      </c>
      <c r="V96" t="s">
        <v>5254</v>
      </c>
      <c r="X96" t="s">
        <v>4981</v>
      </c>
    </row>
    <row r="97" spans="3:24" hidden="1" x14ac:dyDescent="0.35">
      <c r="C97" t="str">
        <f>VLOOKUP(D97,Diccionario!A:B,2,0)</f>
        <v>México 2</v>
      </c>
      <c r="D97" t="s">
        <v>3182</v>
      </c>
      <c r="E97" t="s">
        <v>6</v>
      </c>
      <c r="F97" t="s">
        <v>5124</v>
      </c>
      <c r="H97" s="1">
        <v>46079</v>
      </c>
      <c r="I97" t="s">
        <v>5125</v>
      </c>
      <c r="J97" t="str">
        <f t="shared" si="2"/>
        <v>Somos Carton</v>
      </c>
      <c r="K97" t="str">
        <f>IFERROR(VLOOKUP(Table1[[#This Row],[Top Parent]],'1.- Citas sin this week'!G:G,1,0),"New New")</f>
        <v>New New</v>
      </c>
      <c r="L97" s="25" t="e">
        <f>_xlfn.XLOOKUP(Table1[[#This Row],[Top Parent]],Table3[Top Parent],Table3[Date])</f>
        <v>#N/A</v>
      </c>
      <c r="M97" s="26" t="e">
        <f>Table1[[#This Row],[Date]]-Table1[[#This Row],[Last Date]]</f>
        <v>#N/A</v>
      </c>
      <c r="N97" s="25" t="e">
        <f>_xlfn.XLOOKUP(Table1[[#This Row],[Top Parent]],Table3[Top Parent],Table3[Owner Name])</f>
        <v>#N/A</v>
      </c>
      <c r="O97" s="26"/>
      <c r="P97" t="s">
        <v>403</v>
      </c>
      <c r="Q97" s="1" t="e">
        <f>IF(Table1[[#This Row],[Last Owner]]=Table1[[#This Row],[Owner Name]],"No","Si")</f>
        <v>#N/A</v>
      </c>
      <c r="R97" s="1" t="e">
        <f>IF(Table1[[#This Row],[Diferencia de dias]]&gt;182,"Si","No")</f>
        <v>#N/A</v>
      </c>
      <c r="S97" t="s">
        <v>3182</v>
      </c>
      <c r="T97" s="1" t="str">
        <f>IF(Table1[[#This Row],[Owner de la cuenta]]=Table1[[#This Row],[Owner Name]],"Si","No")</f>
        <v>Si</v>
      </c>
      <c r="U97" t="s">
        <v>1129</v>
      </c>
      <c r="V97" t="s">
        <v>5224</v>
      </c>
      <c r="X97" t="s">
        <v>5045</v>
      </c>
    </row>
    <row r="98" spans="3:24" hidden="1" x14ac:dyDescent="0.35">
      <c r="C98" t="str">
        <f>VLOOKUP(D98,Diccionario!A:B,2,0)</f>
        <v>México 2</v>
      </c>
      <c r="D98" t="s">
        <v>3182</v>
      </c>
      <c r="E98" t="s">
        <v>6</v>
      </c>
      <c r="F98" t="s">
        <v>5491</v>
      </c>
      <c r="H98" s="1">
        <v>46078</v>
      </c>
      <c r="I98" t="s">
        <v>5492</v>
      </c>
      <c r="J98" t="str">
        <f t="shared" ref="J98:J128" si="3">IF(G98="",F98,G98)</f>
        <v>Loglab Group</v>
      </c>
      <c r="K98" t="str">
        <f>IFERROR(VLOOKUP(Table1[[#This Row],[Top Parent]],'1.- Citas sin this week'!G:G,1,0),"New New")</f>
        <v>New New</v>
      </c>
      <c r="L98" s="25" t="e">
        <f>_xlfn.XLOOKUP(Table1[[#This Row],[Top Parent]],Table3[Top Parent],Table3[Date])</f>
        <v>#N/A</v>
      </c>
      <c r="M98" s="26" t="e">
        <f>Table1[[#This Row],[Date]]-Table1[[#This Row],[Last Date]]</f>
        <v>#N/A</v>
      </c>
      <c r="N98" s="25" t="e">
        <f>_xlfn.XLOOKUP(Table1[[#This Row],[Top Parent]],Table3[Top Parent],Table3[Owner Name])</f>
        <v>#N/A</v>
      </c>
      <c r="O98" s="26"/>
      <c r="P98" t="s">
        <v>403</v>
      </c>
      <c r="Q98" s="1" t="e">
        <f>IF(Table1[[#This Row],[Last Owner]]=Table1[[#This Row],[Owner Name]],"No","Si")</f>
        <v>#N/A</v>
      </c>
      <c r="R98" s="1" t="e">
        <f>IF(Table1[[#This Row],[Diferencia de dias]]&gt;182,"Si","No")</f>
        <v>#N/A</v>
      </c>
      <c r="S98" t="s">
        <v>3182</v>
      </c>
      <c r="T98" s="1" t="str">
        <f>IF(Table1[[#This Row],[Owner de la cuenta]]=Table1[[#This Row],[Owner Name]],"Si","No")</f>
        <v>Si</v>
      </c>
      <c r="U98" t="s">
        <v>1129</v>
      </c>
      <c r="V98" t="s">
        <v>5559</v>
      </c>
      <c r="X98" t="s">
        <v>4616</v>
      </c>
    </row>
    <row r="99" spans="3:24" hidden="1" x14ac:dyDescent="0.35">
      <c r="C99" t="str">
        <f>VLOOKUP(D99,Diccionario!A:B,2,0)</f>
        <v>México 2</v>
      </c>
      <c r="D99" t="s">
        <v>70</v>
      </c>
      <c r="E99" t="s">
        <v>6</v>
      </c>
      <c r="F99" t="s">
        <v>5460</v>
      </c>
      <c r="H99" s="1">
        <v>46079</v>
      </c>
      <c r="I99" t="s">
        <v>5461</v>
      </c>
      <c r="J99" t="str">
        <f t="shared" si="3"/>
        <v>DISTRIBUIDORA DE INSUMOS DIECA</v>
      </c>
      <c r="K99" t="str">
        <f>IFERROR(VLOOKUP(Table1[[#This Row],[Top Parent]],'1.- Citas sin this week'!G:G,1,0),"New New")</f>
        <v>New New</v>
      </c>
      <c r="L99" s="25" t="e">
        <f>_xlfn.XLOOKUP(Table1[[#This Row],[Top Parent]],Table3[Top Parent],Table3[Date])</f>
        <v>#N/A</v>
      </c>
      <c r="M99" s="26" t="e">
        <f>Table1[[#This Row],[Date]]-Table1[[#This Row],[Last Date]]</f>
        <v>#N/A</v>
      </c>
      <c r="N99" s="25" t="e">
        <f>_xlfn.XLOOKUP(Table1[[#This Row],[Top Parent]],Table3[Top Parent],Table3[Owner Name])</f>
        <v>#N/A</v>
      </c>
      <c r="O99" s="26"/>
      <c r="Q99" s="1" t="e">
        <f>IF(Table1[[#This Row],[Last Owner]]=Table1[[#This Row],[Owner Name]],"No","Si")</f>
        <v>#N/A</v>
      </c>
      <c r="R99" s="1" t="e">
        <f>IF(Table1[[#This Row],[Diferencia de dias]]&gt;182,"Si","No")</f>
        <v>#N/A</v>
      </c>
      <c r="S99" t="s">
        <v>70</v>
      </c>
      <c r="T99" s="1" t="str">
        <f>IF(Table1[[#This Row],[Owner de la cuenta]]=Table1[[#This Row],[Owner Name]],"Si","No")</f>
        <v>Si</v>
      </c>
      <c r="U99" t="s">
        <v>4983</v>
      </c>
      <c r="V99" t="s">
        <v>5541</v>
      </c>
      <c r="X99" t="s">
        <v>4663</v>
      </c>
    </row>
    <row r="100" spans="3:24" hidden="1" x14ac:dyDescent="0.35">
      <c r="C100" t="str">
        <f>VLOOKUP(D100,Diccionario!A:B,2,0)</f>
        <v>México 2</v>
      </c>
      <c r="D100" t="s">
        <v>26</v>
      </c>
      <c r="E100" t="s">
        <v>6</v>
      </c>
      <c r="F100" t="s">
        <v>5178</v>
      </c>
      <c r="G100" t="s">
        <v>5179</v>
      </c>
      <c r="H100" s="1">
        <v>46077</v>
      </c>
      <c r="I100" t="s">
        <v>5180</v>
      </c>
      <c r="J100" t="str">
        <f t="shared" si="3"/>
        <v>Zf Sachs Automotive México</v>
      </c>
      <c r="K100" t="str">
        <f>IFERROR(VLOOKUP(Table1[[#This Row],[Top Parent]],'1.- Citas sin this week'!G:G,1,0),"New New")</f>
        <v>New New</v>
      </c>
      <c r="L100" s="25" t="e">
        <f>_xlfn.XLOOKUP(Table1[[#This Row],[Top Parent]],Table3[Top Parent],Table3[Date])</f>
        <v>#N/A</v>
      </c>
      <c r="M100" s="26" t="e">
        <f>Table1[[#This Row],[Date]]-Table1[[#This Row],[Last Date]]</f>
        <v>#N/A</v>
      </c>
      <c r="N100" s="25" t="e">
        <f>_xlfn.XLOOKUP(Table1[[#This Row],[Top Parent]],Table3[Top Parent],Table3[Owner Name])</f>
        <v>#N/A</v>
      </c>
      <c r="O100" s="26"/>
      <c r="P100" t="s">
        <v>403</v>
      </c>
      <c r="Q100" s="1" t="e">
        <f>IF(Table1[[#This Row],[Last Owner]]=Table1[[#This Row],[Owner Name]],"No","Si")</f>
        <v>#N/A</v>
      </c>
      <c r="R100" s="1" t="e">
        <f>IF(Table1[[#This Row],[Diferencia de dias]]&gt;182,"Si","No")</f>
        <v>#N/A</v>
      </c>
      <c r="S100" t="s">
        <v>26</v>
      </c>
      <c r="T100" s="1" t="str">
        <f>IF(Table1[[#This Row],[Owner de la cuenta]]=Table1[[#This Row],[Owner Name]],"Si","No")</f>
        <v>Si</v>
      </c>
      <c r="U100" t="s">
        <v>1129</v>
      </c>
      <c r="V100" t="s">
        <v>5257</v>
      </c>
      <c r="X100" t="s">
        <v>5108</v>
      </c>
    </row>
    <row r="101" spans="3:24" hidden="1" x14ac:dyDescent="0.35">
      <c r="C101" t="str">
        <f>VLOOKUP(D101,Diccionario!A:B,2,0)</f>
        <v>México 2</v>
      </c>
      <c r="D101" t="s">
        <v>32</v>
      </c>
      <c r="E101" t="s">
        <v>6</v>
      </c>
      <c r="F101" t="s">
        <v>5454</v>
      </c>
      <c r="H101" s="1">
        <v>46079</v>
      </c>
      <c r="I101" t="s">
        <v>5455</v>
      </c>
      <c r="J101" t="str">
        <f t="shared" si="3"/>
        <v>Prolacni</v>
      </c>
      <c r="K101" t="str">
        <f>IFERROR(VLOOKUP(Table1[[#This Row],[Top Parent]],'1.- Citas sin this week'!G:G,1,0),"New New")</f>
        <v>New New</v>
      </c>
      <c r="L101" s="25" t="e">
        <f>_xlfn.XLOOKUP(Table1[[#This Row],[Top Parent]],Table3[Top Parent],Table3[Date])</f>
        <v>#N/A</v>
      </c>
      <c r="M101" s="26" t="e">
        <f>Table1[[#This Row],[Date]]-Table1[[#This Row],[Last Date]]</f>
        <v>#N/A</v>
      </c>
      <c r="N101" s="25" t="e">
        <f>_xlfn.XLOOKUP(Table1[[#This Row],[Top Parent]],Table3[Top Parent],Table3[Owner Name])</f>
        <v>#N/A</v>
      </c>
      <c r="O101" s="26"/>
      <c r="P101" t="s">
        <v>403</v>
      </c>
      <c r="Q101" s="1" t="e">
        <f>IF(Table1[[#This Row],[Last Owner]]=Table1[[#This Row],[Owner Name]],"No","Si")</f>
        <v>#N/A</v>
      </c>
      <c r="R101" s="1" t="e">
        <f>IF(Table1[[#This Row],[Diferencia de dias]]&gt;182,"Si","No")</f>
        <v>#N/A</v>
      </c>
      <c r="S101" t="s">
        <v>32</v>
      </c>
      <c r="T101" s="1" t="str">
        <f>IF(Table1[[#This Row],[Owner de la cuenta]]=Table1[[#This Row],[Owner Name]],"Si","No")</f>
        <v>Si</v>
      </c>
      <c r="U101" t="s">
        <v>1129</v>
      </c>
      <c r="V101" t="s">
        <v>5537</v>
      </c>
      <c r="X101" t="s">
        <v>4981</v>
      </c>
    </row>
    <row r="102" spans="3:24" hidden="1" x14ac:dyDescent="0.35">
      <c r="C102" t="str">
        <f>VLOOKUP(D102,Diccionario!A:B,2,0)</f>
        <v>Monterrey</v>
      </c>
      <c r="D102" t="s">
        <v>3114</v>
      </c>
      <c r="E102" t="s">
        <v>52</v>
      </c>
      <c r="F102" t="s">
        <v>5126</v>
      </c>
      <c r="H102" s="1">
        <v>46079</v>
      </c>
      <c r="I102" t="s">
        <v>5472</v>
      </c>
      <c r="J102" t="str">
        <f t="shared" si="3"/>
        <v>HSS SEGURIDAD PRIVADA</v>
      </c>
      <c r="K102" t="str">
        <f>IFERROR(VLOOKUP(Table1[[#This Row],[Top Parent]],'1.- Citas sin this week'!G:G,1,0),"New New")</f>
        <v>New New</v>
      </c>
      <c r="L102" s="25" t="e">
        <f>_xlfn.XLOOKUP(Table1[[#This Row],[Top Parent]],Table3[Top Parent],Table3[Date])</f>
        <v>#N/A</v>
      </c>
      <c r="M102" s="26" t="e">
        <f>Table1[[#This Row],[Date]]-Table1[[#This Row],[Last Date]]</f>
        <v>#N/A</v>
      </c>
      <c r="N102" s="25" t="e">
        <f>_xlfn.XLOOKUP(Table1[[#This Row],[Top Parent]],Table3[Top Parent],Table3[Owner Name])</f>
        <v>#N/A</v>
      </c>
      <c r="O102" s="26"/>
      <c r="P102" t="s">
        <v>403</v>
      </c>
      <c r="Q102" s="1" t="e">
        <f>IF(Table1[[#This Row],[Last Owner]]=Table1[[#This Row],[Owner Name]],"No","Si")</f>
        <v>#N/A</v>
      </c>
      <c r="R102" s="1" t="e">
        <f>IF(Table1[[#This Row],[Diferencia de dias]]&gt;182,"Si","No")</f>
        <v>#N/A</v>
      </c>
      <c r="S102" t="s">
        <v>3114</v>
      </c>
      <c r="T102" s="1" t="str">
        <f>IF(Table1[[#This Row],[Owner de la cuenta]]=Table1[[#This Row],[Owner Name]],"Si","No")</f>
        <v>Si</v>
      </c>
      <c r="U102" t="s">
        <v>1224</v>
      </c>
      <c r="V102" t="s">
        <v>5225</v>
      </c>
      <c r="X102" t="s">
        <v>4985</v>
      </c>
    </row>
    <row r="103" spans="3:24" hidden="1" x14ac:dyDescent="0.35">
      <c r="C103" t="str">
        <f>VLOOKUP(D103,Diccionario!A:B,2,0)</f>
        <v>Monterrey</v>
      </c>
      <c r="D103" t="s">
        <v>3114</v>
      </c>
      <c r="E103" t="s">
        <v>52</v>
      </c>
      <c r="F103" t="s">
        <v>5129</v>
      </c>
      <c r="H103" s="1">
        <v>46079</v>
      </c>
      <c r="I103" t="s">
        <v>5478</v>
      </c>
      <c r="J103" t="str">
        <f t="shared" si="3"/>
        <v>BONO EDIFICACIONES</v>
      </c>
      <c r="K103" t="str">
        <f>IFERROR(VLOOKUP(Table1[[#This Row],[Top Parent]],'1.- Citas sin this week'!G:G,1,0),"New New")</f>
        <v>New New</v>
      </c>
      <c r="L103" s="25" t="e">
        <f>_xlfn.XLOOKUP(Table1[[#This Row],[Top Parent]],Table3[Top Parent],Table3[Date])</f>
        <v>#N/A</v>
      </c>
      <c r="M103" s="26" t="e">
        <f>Table1[[#This Row],[Date]]-Table1[[#This Row],[Last Date]]</f>
        <v>#N/A</v>
      </c>
      <c r="N103" s="25" t="e">
        <f>_xlfn.XLOOKUP(Table1[[#This Row],[Top Parent]],Table3[Top Parent],Table3[Owner Name])</f>
        <v>#N/A</v>
      </c>
      <c r="O103" s="26"/>
      <c r="Q103" s="1" t="e">
        <f>IF(Table1[[#This Row],[Last Owner]]=Table1[[#This Row],[Owner Name]],"No","Si")</f>
        <v>#N/A</v>
      </c>
      <c r="R103" s="1" t="e">
        <f>IF(Table1[[#This Row],[Diferencia de dias]]&gt;182,"Si","No")</f>
        <v>#N/A</v>
      </c>
      <c r="S103" t="s">
        <v>3114</v>
      </c>
      <c r="T103" s="1" t="str">
        <f>IF(Table1[[#This Row],[Owner de la cuenta]]=Table1[[#This Row],[Owner Name]],"Si","No")</f>
        <v>Si</v>
      </c>
      <c r="U103" t="s">
        <v>1224</v>
      </c>
      <c r="V103" t="s">
        <v>5227</v>
      </c>
      <c r="X103" t="s">
        <v>4984</v>
      </c>
    </row>
    <row r="104" spans="3:24" hidden="1" x14ac:dyDescent="0.35">
      <c r="C104" t="str">
        <f>VLOOKUP(D104,Diccionario!A:B,2,0)</f>
        <v>Monterrey</v>
      </c>
      <c r="D104" t="s">
        <v>3114</v>
      </c>
      <c r="E104" t="s">
        <v>52</v>
      </c>
      <c r="F104" t="s">
        <v>5480</v>
      </c>
      <c r="H104" s="1">
        <v>46078</v>
      </c>
      <c r="I104" t="s">
        <v>5481</v>
      </c>
      <c r="J104" t="str">
        <f t="shared" si="3"/>
        <v>HQ CONTROL DE CALIDAD</v>
      </c>
      <c r="K104" t="str">
        <f>IFERROR(VLOOKUP(Table1[[#This Row],[Top Parent]],'1.- Citas sin this week'!G:G,1,0),"New New")</f>
        <v>New New</v>
      </c>
      <c r="L104" s="25" t="e">
        <f>_xlfn.XLOOKUP(Table1[[#This Row],[Top Parent]],Table3[Top Parent],Table3[Date])</f>
        <v>#N/A</v>
      </c>
      <c r="M104" s="26" t="e">
        <f>Table1[[#This Row],[Date]]-Table1[[#This Row],[Last Date]]</f>
        <v>#N/A</v>
      </c>
      <c r="N104" s="25" t="e">
        <f>_xlfn.XLOOKUP(Table1[[#This Row],[Top Parent]],Table3[Top Parent],Table3[Owner Name])</f>
        <v>#N/A</v>
      </c>
      <c r="O104" s="26"/>
      <c r="Q104" s="1" t="e">
        <f>IF(Table1[[#This Row],[Last Owner]]=Table1[[#This Row],[Owner Name]],"No","Si")</f>
        <v>#N/A</v>
      </c>
      <c r="R104" s="1" t="e">
        <f>IF(Table1[[#This Row],[Diferencia de dias]]&gt;182,"Si","No")</f>
        <v>#N/A</v>
      </c>
      <c r="S104" t="s">
        <v>3114</v>
      </c>
      <c r="T104" s="1" t="str">
        <f>IF(Table1[[#This Row],[Owner de la cuenta]]=Table1[[#This Row],[Owner Name]],"Si","No")</f>
        <v>Si</v>
      </c>
      <c r="U104" t="s">
        <v>1224</v>
      </c>
      <c r="V104" t="s">
        <v>5553</v>
      </c>
      <c r="X104" t="s">
        <v>4982</v>
      </c>
    </row>
    <row r="105" spans="3:24" hidden="1" x14ac:dyDescent="0.35">
      <c r="C105" t="str">
        <f>VLOOKUP(D105,Diccionario!A:B,2,0)</f>
        <v>México 2</v>
      </c>
      <c r="D105" t="s">
        <v>3182</v>
      </c>
      <c r="E105" t="s">
        <v>22</v>
      </c>
      <c r="F105" t="s">
        <v>3659</v>
      </c>
      <c r="H105" s="1">
        <v>46077</v>
      </c>
      <c r="I105" t="s">
        <v>5187</v>
      </c>
      <c r="J105" t="str">
        <f t="shared" si="3"/>
        <v>KRISHKA</v>
      </c>
      <c r="K105" t="str">
        <f>IFERROR(VLOOKUP(Table1[[#This Row],[Top Parent]],'1.- Citas sin this week'!G:G,1,0),"New New")</f>
        <v>KRISHKA</v>
      </c>
      <c r="L105" s="25">
        <f>_xlfn.XLOOKUP(Table1[[#This Row],[Top Parent]],Table3[Top Parent],Table3[Date])</f>
        <v>45937</v>
      </c>
      <c r="M105" s="26">
        <f>Table1[[#This Row],[Date]]-Table1[[#This Row],[Last Date]]</f>
        <v>140</v>
      </c>
      <c r="N105" s="25" t="str">
        <f>_xlfn.XLOOKUP(Table1[[#This Row],[Top Parent]],Table3[Top Parent],Table3[Owner Name])</f>
        <v>Francisco Porragas</v>
      </c>
      <c r="O105" s="26"/>
      <c r="P105" t="s">
        <v>403</v>
      </c>
      <c r="Q105" s="1" t="str">
        <f>IF(Table1[[#This Row],[Last Owner]]=Table1[[#This Row],[Owner Name]],"No","Si")</f>
        <v>No</v>
      </c>
      <c r="R105" s="1" t="str">
        <f>IF(Table1[[#This Row],[Diferencia de dias]]&gt;182,"Si","No")</f>
        <v>No</v>
      </c>
      <c r="S105" t="s">
        <v>3182</v>
      </c>
      <c r="T105" s="1" t="str">
        <f>IF(Table1[[#This Row],[Owner de la cuenta]]=Table1[[#This Row],[Owner Name]],"Si","No")</f>
        <v>Si</v>
      </c>
      <c r="U105" t="s">
        <v>1223</v>
      </c>
      <c r="V105" t="s">
        <v>5261</v>
      </c>
      <c r="X105" t="s">
        <v>5045</v>
      </c>
    </row>
    <row r="106" spans="3:24" hidden="1" x14ac:dyDescent="0.35">
      <c r="C106" t="str">
        <f>VLOOKUP(D106,Diccionario!A:B,2,0)</f>
        <v>Estructurados Core</v>
      </c>
      <c r="D106" t="s">
        <v>1899</v>
      </c>
      <c r="E106" t="s">
        <v>6</v>
      </c>
      <c r="F106" t="s">
        <v>5093</v>
      </c>
      <c r="H106" s="1">
        <v>46077</v>
      </c>
      <c r="I106" t="s">
        <v>5510</v>
      </c>
      <c r="J106" t="str">
        <f t="shared" si="3"/>
        <v>Tamales Salinas</v>
      </c>
      <c r="K106" t="str">
        <f>IFERROR(VLOOKUP(Table1[[#This Row],[Top Parent]],'1.- Citas sin this week'!G:G,1,0),"New New")</f>
        <v>Tamales Salinas</v>
      </c>
      <c r="L106" s="25">
        <f>_xlfn.XLOOKUP(Table1[[#This Row],[Top Parent]],Table3[Top Parent],Table3[Date])</f>
        <v>46071</v>
      </c>
      <c r="M106" s="26">
        <f>Table1[[#This Row],[Date]]-Table1[[#This Row],[Last Date]]</f>
        <v>6</v>
      </c>
      <c r="N106" s="25" t="str">
        <f>_xlfn.XLOOKUP(Table1[[#This Row],[Top Parent]],Table3[Top Parent],Table3[Owner Name])</f>
        <v>Fernanda Rangel</v>
      </c>
      <c r="O106" s="26"/>
      <c r="P106" t="s">
        <v>403</v>
      </c>
      <c r="Q106" s="1" t="str">
        <f>IF(Table1[[#This Row],[Last Owner]]=Table1[[#This Row],[Owner Name]],"No","Si")</f>
        <v>No</v>
      </c>
      <c r="R106" s="1" t="str">
        <f>IF(Table1[[#This Row],[Diferencia de dias]]&gt;182,"Si","No")</f>
        <v>No</v>
      </c>
      <c r="S106" t="s">
        <v>1899</v>
      </c>
      <c r="T106" s="1" t="str">
        <f>IF(Table1[[#This Row],[Owner de la cuenta]]=Table1[[#This Row],[Owner Name]],"Si","No")</f>
        <v>Si</v>
      </c>
      <c r="U106" t="s">
        <v>1224</v>
      </c>
      <c r="V106" t="s">
        <v>5571</v>
      </c>
      <c r="X106" t="s">
        <v>4990</v>
      </c>
    </row>
    <row r="107" spans="3:24" hidden="1" x14ac:dyDescent="0.35">
      <c r="C107" t="str">
        <f>VLOOKUP(D107,Diccionario!A:B,2,0)</f>
        <v>Monterrey</v>
      </c>
      <c r="D107" t="s">
        <v>39</v>
      </c>
      <c r="E107" t="s">
        <v>5189</v>
      </c>
      <c r="F107" t="s">
        <v>2537</v>
      </c>
      <c r="H107" s="1">
        <v>46077</v>
      </c>
      <c r="I107" t="s">
        <v>5190</v>
      </c>
      <c r="J107" t="str">
        <f t="shared" si="3"/>
        <v>Salsas Castillo</v>
      </c>
      <c r="K107" t="str">
        <f>IFERROR(VLOOKUP(Table1[[#This Row],[Top Parent]],'1.- Citas sin this week'!G:G,1,0),"New New")</f>
        <v>Salsas Castillo</v>
      </c>
      <c r="L107" s="25">
        <f>_xlfn.XLOOKUP(Table1[[#This Row],[Top Parent]],Table3[Top Parent],Table3[Date])</f>
        <v>46037</v>
      </c>
      <c r="M107" s="26">
        <f>Table1[[#This Row],[Date]]-Table1[[#This Row],[Last Date]]</f>
        <v>40</v>
      </c>
      <c r="N107" s="25" t="str">
        <f>_xlfn.XLOOKUP(Table1[[#This Row],[Top Parent]],Table3[Top Parent],Table3[Owner Name])</f>
        <v>Miguel Antunez</v>
      </c>
      <c r="O107" s="26"/>
      <c r="P107" t="s">
        <v>4711</v>
      </c>
      <c r="Q107" s="1" t="str">
        <f>IF(Table1[[#This Row],[Last Owner]]=Table1[[#This Row],[Owner Name]],"No","Si")</f>
        <v>No</v>
      </c>
      <c r="R107" s="1" t="str">
        <f>IF(Table1[[#This Row],[Diferencia de dias]]&gt;182,"Si","No")</f>
        <v>No</v>
      </c>
      <c r="S107" t="s">
        <v>39</v>
      </c>
      <c r="T107" s="1" t="str">
        <f>IF(Table1[[#This Row],[Owner de la cuenta]]=Table1[[#This Row],[Owner Name]],"Si","No")</f>
        <v>Si</v>
      </c>
      <c r="U107" t="s">
        <v>4714</v>
      </c>
      <c r="V107" t="s">
        <v>5262</v>
      </c>
      <c r="W107">
        <v>36978440</v>
      </c>
      <c r="X107" t="s">
        <v>4981</v>
      </c>
    </row>
    <row r="108" spans="3:24" hidden="1" x14ac:dyDescent="0.35">
      <c r="C108" t="str">
        <f>VLOOKUP(D108,Diccionario!A:B,2,0)</f>
        <v>Monterrey</v>
      </c>
      <c r="D108" t="s">
        <v>2658</v>
      </c>
      <c r="E108" t="s">
        <v>6</v>
      </c>
      <c r="F108" t="s">
        <v>5086</v>
      </c>
      <c r="H108" s="1">
        <v>46077</v>
      </c>
      <c r="I108" t="s">
        <v>5188</v>
      </c>
      <c r="J108" t="str">
        <f t="shared" si="3"/>
        <v>METALES Y DERIVADOS DEL NORTE</v>
      </c>
      <c r="K108" t="str">
        <f>IFERROR(VLOOKUP(Table1[[#This Row],[Top Parent]],'1.- Citas sin this week'!G:G,1,0),"New New")</f>
        <v>METALES Y DERIVADOS DEL NORTE</v>
      </c>
      <c r="L108" s="25">
        <f>_xlfn.XLOOKUP(Table1[[#This Row],[Top Parent]],Table3[Top Parent],Table3[Date])</f>
        <v>46072</v>
      </c>
      <c r="M108" s="26">
        <f>Table1[[#This Row],[Date]]-Table1[[#This Row],[Last Date]]</f>
        <v>5</v>
      </c>
      <c r="N108" s="25" t="str">
        <f>_xlfn.XLOOKUP(Table1[[#This Row],[Top Parent]],Table3[Top Parent],Table3[Owner Name])</f>
        <v>Gabriela Lopez</v>
      </c>
      <c r="O108" s="26"/>
      <c r="P108" t="s">
        <v>403</v>
      </c>
      <c r="Q108" s="1" t="str">
        <f>IF(Table1[[#This Row],[Last Owner]]=Table1[[#This Row],[Owner Name]],"No","Si")</f>
        <v>No</v>
      </c>
      <c r="R108" s="1" t="str">
        <f>IF(Table1[[#This Row],[Diferencia de dias]]&gt;182,"Si","No")</f>
        <v>No</v>
      </c>
      <c r="S108" t="s">
        <v>2658</v>
      </c>
      <c r="T108" s="1" t="str">
        <f>IF(Table1[[#This Row],[Owner de la cuenta]]=Table1[[#This Row],[Owner Name]],"Si","No")</f>
        <v>Si</v>
      </c>
      <c r="U108" t="s">
        <v>1224</v>
      </c>
      <c r="V108" t="s">
        <v>5104</v>
      </c>
      <c r="X108" t="s">
        <v>4991</v>
      </c>
    </row>
    <row r="109" spans="3:24" hidden="1" x14ac:dyDescent="0.35">
      <c r="C109" t="str">
        <f>VLOOKUP(D109,Diccionario!A:B,2,0)</f>
        <v>México 1</v>
      </c>
      <c r="D109" t="s">
        <v>2884</v>
      </c>
      <c r="E109" t="s">
        <v>5042</v>
      </c>
      <c r="F109" t="s">
        <v>1968</v>
      </c>
      <c r="H109" s="1">
        <v>46077</v>
      </c>
      <c r="I109" t="s">
        <v>5191</v>
      </c>
      <c r="J109" t="str">
        <f t="shared" si="3"/>
        <v>Grupo Retenum</v>
      </c>
      <c r="K109" t="str">
        <f>IFERROR(VLOOKUP(Table1[[#This Row],[Top Parent]],'1.- Citas sin this week'!G:G,1,0),"New New")</f>
        <v>Grupo Retenum</v>
      </c>
      <c r="L109" s="25">
        <f>_xlfn.XLOOKUP(Table1[[#This Row],[Top Parent]],Table3[Top Parent],Table3[Date])</f>
        <v>46064</v>
      </c>
      <c r="M109" s="26">
        <f>Table1[[#This Row],[Date]]-Table1[[#This Row],[Last Date]]</f>
        <v>13</v>
      </c>
      <c r="N109" s="25" t="str">
        <f>_xlfn.XLOOKUP(Table1[[#This Row],[Top Parent]],Table3[Top Parent],Table3[Owner Name])</f>
        <v>Fernando Martin</v>
      </c>
      <c r="O109" s="26"/>
      <c r="P109" t="s">
        <v>403</v>
      </c>
      <c r="Q109" s="1" t="str">
        <f>IF(Table1[[#This Row],[Last Owner]]=Table1[[#This Row],[Owner Name]],"No","Si")</f>
        <v>No</v>
      </c>
      <c r="R109" s="1" t="str">
        <f>IF(Table1[[#This Row],[Diferencia de dias]]&gt;182,"Si","No")</f>
        <v>No</v>
      </c>
      <c r="S109" t="s">
        <v>2884</v>
      </c>
      <c r="T109" s="1" t="str">
        <f>IF(Table1[[#This Row],[Owner de la cuenta]]=Table1[[#This Row],[Owner Name]],"Si","No")</f>
        <v>Si</v>
      </c>
      <c r="U109" t="s">
        <v>1129</v>
      </c>
      <c r="V109" t="s">
        <v>5263</v>
      </c>
      <c r="X109" t="s">
        <v>4989</v>
      </c>
    </row>
    <row r="110" spans="3:24" hidden="1" x14ac:dyDescent="0.35">
      <c r="C110" t="str">
        <f>VLOOKUP(D110,Diccionario!A:B,2,0)</f>
        <v>Guadalajara</v>
      </c>
      <c r="D110" t="s">
        <v>10</v>
      </c>
      <c r="E110" t="s">
        <v>6</v>
      </c>
      <c r="F110" t="s">
        <v>79</v>
      </c>
      <c r="H110" s="1">
        <v>46077</v>
      </c>
      <c r="I110" t="s">
        <v>5192</v>
      </c>
      <c r="J110" t="str">
        <f t="shared" si="3"/>
        <v>Cereales y Pastas</v>
      </c>
      <c r="K110" t="str">
        <f>IFERROR(VLOOKUP(Table1[[#This Row],[Top Parent]],'1.- Citas sin this week'!G:G,1,0),"New New")</f>
        <v>Cereales y Pastas</v>
      </c>
      <c r="L110" s="25">
        <f>_xlfn.XLOOKUP(Table1[[#This Row],[Top Parent]],Table3[Top Parent],Table3[Date])</f>
        <v>45986</v>
      </c>
      <c r="M110" s="26">
        <f>Table1[[#This Row],[Date]]-Table1[[#This Row],[Last Date]]</f>
        <v>91</v>
      </c>
      <c r="N110" s="25" t="str">
        <f>_xlfn.XLOOKUP(Table1[[#This Row],[Top Parent]],Table3[Top Parent],Table3[Owner Name])</f>
        <v>Dulce Villegas</v>
      </c>
      <c r="O110" s="26"/>
      <c r="P110" t="s">
        <v>4614</v>
      </c>
      <c r="Q110" s="1" t="str">
        <f>IF(Table1[[#This Row],[Last Owner]]=Table1[[#This Row],[Owner Name]],"No","Si")</f>
        <v>No</v>
      </c>
      <c r="R110" s="1" t="str">
        <f>IF(Table1[[#This Row],[Diferencia de dias]]&gt;182,"Si","No")</f>
        <v>No</v>
      </c>
      <c r="S110" t="s">
        <v>10</v>
      </c>
      <c r="T110" s="1" t="str">
        <f>IF(Table1[[#This Row],[Owner de la cuenta]]=Table1[[#This Row],[Owner Name]],"Si","No")</f>
        <v>Si</v>
      </c>
      <c r="U110" t="s">
        <v>5033</v>
      </c>
      <c r="V110" t="s">
        <v>5264</v>
      </c>
      <c r="W110">
        <v>0</v>
      </c>
      <c r="X110" t="s">
        <v>4981</v>
      </c>
    </row>
    <row r="111" spans="3:24" hidden="1" x14ac:dyDescent="0.35">
      <c r="C111" t="str">
        <f>VLOOKUP(D111,Diccionario!A:B,2,0)</f>
        <v>LMM 5</v>
      </c>
      <c r="D111" t="s">
        <v>925</v>
      </c>
      <c r="E111" t="s">
        <v>6</v>
      </c>
      <c r="F111" t="s">
        <v>3843</v>
      </c>
      <c r="H111" s="1">
        <v>46077</v>
      </c>
      <c r="I111" t="s">
        <v>5193</v>
      </c>
      <c r="J111" t="str">
        <f t="shared" si="3"/>
        <v>Metalurgica De Xalostoc</v>
      </c>
      <c r="K111" t="str">
        <f>IFERROR(VLOOKUP(Table1[[#This Row],[Top Parent]],'1.- Citas sin this week'!G:G,1,0),"New New")</f>
        <v>Metalurgica De Xalostoc</v>
      </c>
      <c r="L111" s="25">
        <f>_xlfn.XLOOKUP(Table1[[#This Row],[Top Parent]],Table3[Top Parent],Table3[Date])</f>
        <v>45944</v>
      </c>
      <c r="M111" s="26">
        <f>Table1[[#This Row],[Date]]-Table1[[#This Row],[Last Date]]</f>
        <v>133</v>
      </c>
      <c r="N111" s="25" t="str">
        <f>_xlfn.XLOOKUP(Table1[[#This Row],[Top Parent]],Table3[Top Parent],Table3[Owner Name])</f>
        <v>Mauricio Ortiz</v>
      </c>
      <c r="O111" s="26"/>
      <c r="P111" t="s">
        <v>403</v>
      </c>
      <c r="Q111" s="1" t="str">
        <f>IF(Table1[[#This Row],[Last Owner]]=Table1[[#This Row],[Owner Name]],"No","Si")</f>
        <v>No</v>
      </c>
      <c r="R111" s="1" t="str">
        <f>IF(Table1[[#This Row],[Diferencia de dias]]&gt;182,"Si","No")</f>
        <v>No</v>
      </c>
      <c r="S111" t="s">
        <v>925</v>
      </c>
      <c r="T111" s="1" t="str">
        <f>IF(Table1[[#This Row],[Owner de la cuenta]]=Table1[[#This Row],[Owner Name]],"Si","No")</f>
        <v>Si</v>
      </c>
      <c r="U111" t="s">
        <v>1129</v>
      </c>
      <c r="V111" t="s">
        <v>5265</v>
      </c>
      <c r="X111" t="s">
        <v>4991</v>
      </c>
    </row>
    <row r="112" spans="3:24" hidden="1" x14ac:dyDescent="0.35">
      <c r="C112" t="str">
        <f>VLOOKUP(D112,Diccionario!A:B,2,0)</f>
        <v>Monterrey</v>
      </c>
      <c r="D112" t="s">
        <v>3628</v>
      </c>
      <c r="E112" t="s">
        <v>6</v>
      </c>
      <c r="F112" t="s">
        <v>5444</v>
      </c>
      <c r="H112" s="1">
        <v>46080</v>
      </c>
      <c r="I112" t="s">
        <v>5445</v>
      </c>
      <c r="J112" t="str">
        <f t="shared" si="3"/>
        <v>COCINAS ACCESORIOS Y DISEÑO</v>
      </c>
      <c r="K112" t="str">
        <f>IFERROR(VLOOKUP(Table1[[#This Row],[Top Parent]],'1.- Citas sin this week'!G:G,1,0),"New New")</f>
        <v>New New</v>
      </c>
      <c r="L112" s="25" t="e">
        <f>_xlfn.XLOOKUP(Table1[[#This Row],[Top Parent]],Table3[Top Parent],Table3[Date])</f>
        <v>#N/A</v>
      </c>
      <c r="M112" s="26" t="e">
        <f>Table1[[#This Row],[Date]]-Table1[[#This Row],[Last Date]]</f>
        <v>#N/A</v>
      </c>
      <c r="N112" s="25" t="e">
        <f>_xlfn.XLOOKUP(Table1[[#This Row],[Top Parent]],Table3[Top Parent],Table3[Owner Name])</f>
        <v>#N/A</v>
      </c>
      <c r="O112" s="26"/>
      <c r="Q112" s="1" t="e">
        <f>IF(Table1[[#This Row],[Last Owner]]=Table1[[#This Row],[Owner Name]],"No","Si")</f>
        <v>#N/A</v>
      </c>
      <c r="R112" s="1" t="e">
        <f>IF(Table1[[#This Row],[Diferencia de dias]]&gt;182,"Si","No")</f>
        <v>#N/A</v>
      </c>
      <c r="S112" t="s">
        <v>3628</v>
      </c>
      <c r="T112" s="1" t="str">
        <f>IF(Table1[[#This Row],[Owner de la cuenta]]=Table1[[#This Row],[Owner Name]],"Si","No")</f>
        <v>Si</v>
      </c>
      <c r="U112" t="s">
        <v>1224</v>
      </c>
      <c r="V112" t="s">
        <v>5530</v>
      </c>
      <c r="X112" t="s">
        <v>5045</v>
      </c>
    </row>
    <row r="113" spans="3:24" hidden="1" x14ac:dyDescent="0.35">
      <c r="C113" t="str">
        <f>VLOOKUP(D113,Diccionario!A:B,2,0)</f>
        <v>México 1</v>
      </c>
      <c r="D113" t="s">
        <v>2884</v>
      </c>
      <c r="E113" t="s">
        <v>5042</v>
      </c>
      <c r="F113" t="s">
        <v>1198</v>
      </c>
      <c r="H113" s="1">
        <v>46076</v>
      </c>
      <c r="I113" t="s">
        <v>5196</v>
      </c>
      <c r="J113" t="str">
        <f t="shared" si="3"/>
        <v>Polimeros Nacionales</v>
      </c>
      <c r="K113" t="str">
        <f>IFERROR(VLOOKUP(Table1[[#This Row],[Top Parent]],'1.- Citas sin this week'!G:G,1,0),"New New")</f>
        <v>Polimeros Nacionales</v>
      </c>
      <c r="L113" s="25">
        <f>_xlfn.XLOOKUP(Table1[[#This Row],[Top Parent]],Table3[Top Parent],Table3[Date])</f>
        <v>45932</v>
      </c>
      <c r="M113" s="26">
        <f>Table1[[#This Row],[Date]]-Table1[[#This Row],[Last Date]]</f>
        <v>144</v>
      </c>
      <c r="N113" s="25" t="str">
        <f>_xlfn.XLOOKUP(Table1[[#This Row],[Top Parent]],Table3[Top Parent],Table3[Owner Name])</f>
        <v>Dorly Rabago</v>
      </c>
      <c r="O113" s="26"/>
      <c r="P113" t="s">
        <v>403</v>
      </c>
      <c r="Q113" s="1" t="str">
        <f>IF(Table1[[#This Row],[Last Owner]]=Table1[[#This Row],[Owner Name]],"No","Si")</f>
        <v>Si</v>
      </c>
      <c r="R113" s="1" t="str">
        <f>IF(Table1[[#This Row],[Diferencia de dias]]&gt;182,"Si","No")</f>
        <v>No</v>
      </c>
      <c r="S113" t="s">
        <v>2884</v>
      </c>
      <c r="T113" s="1" t="str">
        <f>IF(Table1[[#This Row],[Owner de la cuenta]]=Table1[[#This Row],[Owner Name]],"Si","No")</f>
        <v>Si</v>
      </c>
      <c r="U113" t="s">
        <v>1223</v>
      </c>
      <c r="V113" t="s">
        <v>5267</v>
      </c>
      <c r="X113" t="s">
        <v>4989</v>
      </c>
    </row>
    <row r="114" spans="3:24" hidden="1" x14ac:dyDescent="0.35">
      <c r="C114" t="str">
        <f>VLOOKUP(D114,Diccionario!A:B,2,0)</f>
        <v>Guadalajara</v>
      </c>
      <c r="D114" t="s">
        <v>10</v>
      </c>
      <c r="E114" t="s">
        <v>6</v>
      </c>
      <c r="F114" t="s">
        <v>1317</v>
      </c>
      <c r="H114" s="1">
        <v>46076</v>
      </c>
      <c r="I114" t="s">
        <v>5197</v>
      </c>
      <c r="J114" t="str">
        <f t="shared" si="3"/>
        <v>Laboratorios Pisa</v>
      </c>
      <c r="K114" t="str">
        <f>IFERROR(VLOOKUP(Table1[[#This Row],[Top Parent]],'1.- Citas sin this week'!G:G,1,0),"New New")</f>
        <v>Laboratorios Pisa</v>
      </c>
      <c r="L114" s="25">
        <f>_xlfn.XLOOKUP(Table1[[#This Row],[Top Parent]],Table3[Top Parent],Table3[Date])</f>
        <v>46070</v>
      </c>
      <c r="M114" s="26">
        <f>Table1[[#This Row],[Date]]-Table1[[#This Row],[Last Date]]</f>
        <v>6</v>
      </c>
      <c r="N114" s="25" t="str">
        <f>_xlfn.XLOOKUP(Table1[[#This Row],[Top Parent]],Table3[Top Parent],Table3[Owner Name])</f>
        <v>Dulce Villegas</v>
      </c>
      <c r="O114" s="26"/>
      <c r="P114" t="s">
        <v>4614</v>
      </c>
      <c r="Q114" s="1" t="str">
        <f>IF(Table1[[#This Row],[Last Owner]]=Table1[[#This Row],[Owner Name]],"No","Si")</f>
        <v>No</v>
      </c>
      <c r="R114" s="1" t="str">
        <f>IF(Table1[[#This Row],[Diferencia de dias]]&gt;182,"Si","No")</f>
        <v>No</v>
      </c>
      <c r="S114" t="s">
        <v>10</v>
      </c>
      <c r="T114" s="1" t="str">
        <f>IF(Table1[[#This Row],[Owner de la cuenta]]=Table1[[#This Row],[Owner Name]],"Si","No")</f>
        <v>Si</v>
      </c>
      <c r="U114" t="s">
        <v>4716</v>
      </c>
      <c r="V114" t="s">
        <v>5105</v>
      </c>
      <c r="W114">
        <v>0</v>
      </c>
      <c r="X114" t="s">
        <v>4663</v>
      </c>
    </row>
    <row r="115" spans="3:24" hidden="1" x14ac:dyDescent="0.35">
      <c r="C115" t="str">
        <f>VLOOKUP(D115,Diccionario!A:B,2,0)</f>
        <v>Guadalajara</v>
      </c>
      <c r="D115" t="s">
        <v>10</v>
      </c>
      <c r="E115" t="s">
        <v>6</v>
      </c>
      <c r="F115" t="s">
        <v>1317</v>
      </c>
      <c r="H115" s="1">
        <v>46076</v>
      </c>
      <c r="I115" t="s">
        <v>5197</v>
      </c>
      <c r="J115" t="str">
        <f t="shared" si="3"/>
        <v>Laboratorios Pisa</v>
      </c>
      <c r="K115" t="str">
        <f>IFERROR(VLOOKUP(Table1[[#This Row],[Top Parent]],'1.- Citas sin this week'!G:G,1,0),"New New")</f>
        <v>Laboratorios Pisa</v>
      </c>
      <c r="L115" s="25">
        <f>_xlfn.XLOOKUP(Table1[[#This Row],[Top Parent]],Table3[Top Parent],Table3[Date])</f>
        <v>46070</v>
      </c>
      <c r="M115" s="26">
        <f>Table1[[#This Row],[Date]]-Table1[[#This Row],[Last Date]]</f>
        <v>6</v>
      </c>
      <c r="N115" s="25" t="str">
        <f>_xlfn.XLOOKUP(Table1[[#This Row],[Top Parent]],Table3[Top Parent],Table3[Owner Name])</f>
        <v>Dulce Villegas</v>
      </c>
      <c r="O115" s="26"/>
      <c r="P115" t="s">
        <v>4614</v>
      </c>
      <c r="Q115" s="1" t="str">
        <f>IF(Table1[[#This Row],[Last Owner]]=Table1[[#This Row],[Owner Name]],"No","Si")</f>
        <v>No</v>
      </c>
      <c r="R115" s="1" t="str">
        <f>IF(Table1[[#This Row],[Diferencia de dias]]&gt;182,"Si","No")</f>
        <v>No</v>
      </c>
      <c r="S115" t="s">
        <v>10</v>
      </c>
      <c r="T115" s="1" t="str">
        <f>IF(Table1[[#This Row],[Owner de la cuenta]]=Table1[[#This Row],[Owner Name]],"Si","No")</f>
        <v>Si</v>
      </c>
      <c r="U115" t="s">
        <v>4716</v>
      </c>
      <c r="V115" t="s">
        <v>5105</v>
      </c>
      <c r="W115">
        <v>0</v>
      </c>
      <c r="X115" t="s">
        <v>4663</v>
      </c>
    </row>
    <row r="116" spans="3:24" hidden="1" x14ac:dyDescent="0.35">
      <c r="C116" t="str">
        <f>VLOOKUP(D116,Diccionario!A:B,2,0)</f>
        <v>Monterrey</v>
      </c>
      <c r="D116" t="s">
        <v>3628</v>
      </c>
      <c r="E116" t="s">
        <v>6</v>
      </c>
      <c r="F116" t="s">
        <v>5210</v>
      </c>
      <c r="G116" t="s">
        <v>5211</v>
      </c>
      <c r="H116" s="1">
        <v>46076</v>
      </c>
      <c r="I116" t="s">
        <v>5212</v>
      </c>
      <c r="J116" t="str">
        <f t="shared" si="3"/>
        <v>Zf Trw</v>
      </c>
      <c r="K116" t="str">
        <f>IFERROR(VLOOKUP(Table1[[#This Row],[Top Parent]],'1.- Citas sin this week'!G:G,1,0),"New New")</f>
        <v>New New</v>
      </c>
      <c r="L116" s="25" t="e">
        <f>_xlfn.XLOOKUP(Table1[[#This Row],[Top Parent]],Table3[Top Parent],Table3[Date])</f>
        <v>#N/A</v>
      </c>
      <c r="M116" s="26" t="e">
        <f>Table1[[#This Row],[Date]]-Table1[[#This Row],[Last Date]]</f>
        <v>#N/A</v>
      </c>
      <c r="N116" s="25" t="e">
        <f>_xlfn.XLOOKUP(Table1[[#This Row],[Top Parent]],Table3[Top Parent],Table3[Owner Name])</f>
        <v>#N/A</v>
      </c>
      <c r="O116" s="26"/>
      <c r="P116" t="s">
        <v>403</v>
      </c>
      <c r="Q116" s="1" t="e">
        <f>IF(Table1[[#This Row],[Last Owner]]=Table1[[#This Row],[Owner Name]],"No","Si")</f>
        <v>#N/A</v>
      </c>
      <c r="R116" s="1" t="e">
        <f>IF(Table1[[#This Row],[Diferencia de dias]]&gt;182,"Si","No")</f>
        <v>#N/A</v>
      </c>
      <c r="S116" t="s">
        <v>3628</v>
      </c>
      <c r="T116" s="1" t="str">
        <f>IF(Table1[[#This Row],[Owner de la cuenta]]=Table1[[#This Row],[Owner Name]],"Si","No")</f>
        <v>Si</v>
      </c>
      <c r="U116" t="s">
        <v>4810</v>
      </c>
      <c r="V116" t="s">
        <v>5276</v>
      </c>
      <c r="X116" t="s">
        <v>5108</v>
      </c>
    </row>
    <row r="117" spans="3:24" hidden="1" x14ac:dyDescent="0.35">
      <c r="C117" t="str">
        <f>VLOOKUP(D117,Diccionario!A:B,2,0)</f>
        <v>Guadalajara</v>
      </c>
      <c r="D117" t="s">
        <v>24</v>
      </c>
      <c r="E117" t="s">
        <v>6</v>
      </c>
      <c r="F117" t="s">
        <v>3232</v>
      </c>
      <c r="H117" s="1">
        <v>46076</v>
      </c>
      <c r="I117" t="s">
        <v>5200</v>
      </c>
      <c r="J117" t="str">
        <f t="shared" si="3"/>
        <v>MT Pesca Industrial</v>
      </c>
      <c r="K117" t="str">
        <f>IFERROR(VLOOKUP(Table1[[#This Row],[Top Parent]],'1.- Citas sin this week'!G:G,1,0),"New New")</f>
        <v>MT Pesca Industrial</v>
      </c>
      <c r="L117" s="25">
        <f>_xlfn.XLOOKUP(Table1[[#This Row],[Top Parent]],Table3[Top Parent],Table3[Date])</f>
        <v>46010</v>
      </c>
      <c r="M117" s="26">
        <f>Table1[[#This Row],[Date]]-Table1[[#This Row],[Last Date]]</f>
        <v>66</v>
      </c>
      <c r="N117" s="25" t="str">
        <f>_xlfn.XLOOKUP(Table1[[#This Row],[Top Parent]],Table3[Top Parent],Table3[Owner Name])</f>
        <v>Samuel Cepeda</v>
      </c>
      <c r="O117" s="26"/>
      <c r="P117" t="s">
        <v>403</v>
      </c>
      <c r="Q117" s="1" t="str">
        <f>IF(Table1[[#This Row],[Last Owner]]=Table1[[#This Row],[Owner Name]],"No","Si")</f>
        <v>No</v>
      </c>
      <c r="R117" s="1" t="str">
        <f>IF(Table1[[#This Row],[Diferencia de dias]]&gt;182,"Si","No")</f>
        <v>No</v>
      </c>
      <c r="S117" t="s">
        <v>24</v>
      </c>
      <c r="T117" s="1" t="str">
        <f>IF(Table1[[#This Row],[Owner de la cuenta]]=Table1[[#This Row],[Owner Name]],"Si","No")</f>
        <v>Si</v>
      </c>
      <c r="U117" t="s">
        <v>4976</v>
      </c>
      <c r="V117" t="s">
        <v>5269</v>
      </c>
      <c r="X117" t="s">
        <v>4981</v>
      </c>
    </row>
    <row r="118" spans="3:24" hidden="1" x14ac:dyDescent="0.35">
      <c r="C118" t="str">
        <f>VLOOKUP(D118,Diccionario!A:B,2,0)</f>
        <v>México 1</v>
      </c>
      <c r="D118" t="s">
        <v>739</v>
      </c>
      <c r="E118" t="s">
        <v>6</v>
      </c>
      <c r="F118" t="s">
        <v>2982</v>
      </c>
      <c r="H118" s="1">
        <v>46076</v>
      </c>
      <c r="I118" t="s">
        <v>5511</v>
      </c>
      <c r="J118" t="str">
        <f t="shared" si="3"/>
        <v>Mexichem</v>
      </c>
      <c r="K118" t="str">
        <f>IFERROR(VLOOKUP(Table1[[#This Row],[Top Parent]],'1.- Citas sin this week'!G:G,1,0),"New New")</f>
        <v>Mexichem</v>
      </c>
      <c r="L118" s="25">
        <f>_xlfn.XLOOKUP(Table1[[#This Row],[Top Parent]],Table3[Top Parent],Table3[Date])</f>
        <v>46070</v>
      </c>
      <c r="M118" s="26">
        <f>Table1[[#This Row],[Date]]-Table1[[#This Row],[Last Date]]</f>
        <v>6</v>
      </c>
      <c r="N118" s="25" t="str">
        <f>_xlfn.XLOOKUP(Table1[[#This Row],[Top Parent]],Table3[Top Parent],Table3[Owner Name])</f>
        <v>Kenia Martinez</v>
      </c>
      <c r="O118" s="26"/>
      <c r="P118" t="s">
        <v>4614</v>
      </c>
      <c r="Q118" s="1" t="str">
        <f>IF(Table1[[#This Row],[Last Owner]]=Table1[[#This Row],[Owner Name]],"No","Si")</f>
        <v>No</v>
      </c>
      <c r="R118" s="1" t="str">
        <f>IF(Table1[[#This Row],[Diferencia de dias]]&gt;182,"Si","No")</f>
        <v>No</v>
      </c>
      <c r="S118" t="s">
        <v>739</v>
      </c>
      <c r="T118" s="1" t="str">
        <f>IF(Table1[[#This Row],[Owner de la cuenta]]=Table1[[#This Row],[Owner Name]],"Si","No")</f>
        <v>Si</v>
      </c>
      <c r="U118" t="s">
        <v>1223</v>
      </c>
      <c r="V118" t="s">
        <v>5533</v>
      </c>
      <c r="W118">
        <v>0</v>
      </c>
      <c r="X118" t="s">
        <v>4989</v>
      </c>
    </row>
    <row r="119" spans="3:24" hidden="1" x14ac:dyDescent="0.35">
      <c r="C119" t="str">
        <f>VLOOKUP(D119,Diccionario!A:B,2,0)</f>
        <v>Monterrey</v>
      </c>
      <c r="D119" t="s">
        <v>4472</v>
      </c>
      <c r="E119" t="s">
        <v>6</v>
      </c>
      <c r="F119" t="s">
        <v>5450</v>
      </c>
      <c r="H119" s="1">
        <v>46079</v>
      </c>
      <c r="I119" t="s">
        <v>5451</v>
      </c>
      <c r="J119" t="str">
        <f t="shared" si="3"/>
        <v>DISTRIBUIDORA DE INSUMOS AGROPECUARIOS DE CHIHUAHUA</v>
      </c>
      <c r="K119" t="str">
        <f>IFERROR(VLOOKUP(Table1[[#This Row],[Top Parent]],'1.- Citas sin this week'!G:G,1,0),"New New")</f>
        <v>New New</v>
      </c>
      <c r="L119" s="25" t="e">
        <f>_xlfn.XLOOKUP(Table1[[#This Row],[Top Parent]],Table3[Top Parent],Table3[Date])</f>
        <v>#N/A</v>
      </c>
      <c r="M119" s="26" t="e">
        <f>Table1[[#This Row],[Date]]-Table1[[#This Row],[Last Date]]</f>
        <v>#N/A</v>
      </c>
      <c r="N119" s="25" t="e">
        <f>_xlfn.XLOOKUP(Table1[[#This Row],[Top Parent]],Table3[Top Parent],Table3[Owner Name])</f>
        <v>#N/A</v>
      </c>
      <c r="O119" s="26"/>
      <c r="Q119" s="1" t="e">
        <f>IF(Table1[[#This Row],[Last Owner]]=Table1[[#This Row],[Owner Name]],"No","Si")</f>
        <v>#N/A</v>
      </c>
      <c r="R119" s="1" t="e">
        <f>IF(Table1[[#This Row],[Diferencia de dias]]&gt;182,"Si","No")</f>
        <v>#N/A</v>
      </c>
      <c r="S119" t="s">
        <v>4472</v>
      </c>
      <c r="T119" s="1" t="str">
        <f>IF(Table1[[#This Row],[Owner de la cuenta]]=Table1[[#This Row],[Owner Name]],"Si","No")</f>
        <v>Si</v>
      </c>
      <c r="U119" t="s">
        <v>4713</v>
      </c>
      <c r="V119" t="s">
        <v>5534</v>
      </c>
      <c r="X119" t="s">
        <v>4981</v>
      </c>
    </row>
    <row r="120" spans="3:24" hidden="1" x14ac:dyDescent="0.35">
      <c r="C120" t="str">
        <f>VLOOKUP(D120,Diccionario!A:B,2,0)</f>
        <v>LMM 3</v>
      </c>
      <c r="D120" t="s">
        <v>208</v>
      </c>
      <c r="E120" t="s">
        <v>6</v>
      </c>
      <c r="F120" t="s">
        <v>4786</v>
      </c>
      <c r="H120" s="1">
        <v>46076</v>
      </c>
      <c r="I120" t="s">
        <v>5203</v>
      </c>
      <c r="J120" t="str">
        <f t="shared" si="3"/>
        <v>Medios Masivos Mexicanos</v>
      </c>
      <c r="K120" t="str">
        <f>IFERROR(VLOOKUP(Table1[[#This Row],[Top Parent]],'1.- Citas sin this week'!G:G,1,0),"New New")</f>
        <v>Medios Masivos Mexicanos</v>
      </c>
      <c r="L120" s="25">
        <f>_xlfn.XLOOKUP(Table1[[#This Row],[Top Parent]],Table3[Top Parent],Table3[Date])</f>
        <v>46057</v>
      </c>
      <c r="M120" s="26">
        <f>Table1[[#This Row],[Date]]-Table1[[#This Row],[Last Date]]</f>
        <v>19</v>
      </c>
      <c r="N120" s="25" t="str">
        <f>_xlfn.XLOOKUP(Table1[[#This Row],[Top Parent]],Table3[Top Parent],Table3[Owner Name])</f>
        <v>Moises Villalon</v>
      </c>
      <c r="O120" s="26"/>
      <c r="P120" t="s">
        <v>403</v>
      </c>
      <c r="Q120" s="1" t="str">
        <f>IF(Table1[[#This Row],[Last Owner]]=Table1[[#This Row],[Owner Name]],"No","Si")</f>
        <v>No</v>
      </c>
      <c r="R120" s="1" t="str">
        <f>IF(Table1[[#This Row],[Diferencia de dias]]&gt;182,"Si","No")</f>
        <v>No</v>
      </c>
      <c r="S120" t="s">
        <v>208</v>
      </c>
      <c r="T120" s="1" t="str">
        <f>IF(Table1[[#This Row],[Owner de la cuenta]]=Table1[[#This Row],[Owner Name]],"Si","No")</f>
        <v>Si</v>
      </c>
      <c r="U120" t="s">
        <v>1223</v>
      </c>
      <c r="V120" t="s">
        <v>5271</v>
      </c>
      <c r="X120" t="s">
        <v>4986</v>
      </c>
    </row>
    <row r="121" spans="3:24" hidden="1" x14ac:dyDescent="0.35">
      <c r="C121" t="str">
        <f>VLOOKUP(D121,Diccionario!A:B,2,0)</f>
        <v>LMM 4</v>
      </c>
      <c r="D121" t="s">
        <v>77</v>
      </c>
      <c r="E121" t="s">
        <v>6</v>
      </c>
      <c r="F121" t="s">
        <v>873</v>
      </c>
      <c r="H121" s="1">
        <v>46076</v>
      </c>
      <c r="I121" t="s">
        <v>5204</v>
      </c>
      <c r="J121" t="str">
        <f t="shared" si="3"/>
        <v>Transformaciones y servicios metalúrgicos</v>
      </c>
      <c r="K121" t="str">
        <f>IFERROR(VLOOKUP(Table1[[#This Row],[Top Parent]],'1.- Citas sin this week'!G:G,1,0),"New New")</f>
        <v>Transformaciones y servicios metalúrgicos</v>
      </c>
      <c r="L121" s="25">
        <f>_xlfn.XLOOKUP(Table1[[#This Row],[Top Parent]],Table3[Top Parent],Table3[Date])</f>
        <v>46007</v>
      </c>
      <c r="M121" s="26">
        <f>Table1[[#This Row],[Date]]-Table1[[#This Row],[Last Date]]</f>
        <v>69</v>
      </c>
      <c r="N121" s="25" t="str">
        <f>_xlfn.XLOOKUP(Table1[[#This Row],[Top Parent]],Table3[Top Parent],Table3[Owner Name])</f>
        <v>Mayreth García</v>
      </c>
      <c r="O121" s="26"/>
      <c r="P121" t="s">
        <v>4711</v>
      </c>
      <c r="Q121" s="1" t="str">
        <f>IF(Table1[[#This Row],[Last Owner]]=Table1[[#This Row],[Owner Name]],"No","Si")</f>
        <v>No</v>
      </c>
      <c r="R121" s="1" t="str">
        <f>IF(Table1[[#This Row],[Diferencia de dias]]&gt;182,"Si","No")</f>
        <v>No</v>
      </c>
      <c r="S121" t="s">
        <v>77</v>
      </c>
      <c r="T121" s="1" t="str">
        <f>IF(Table1[[#This Row],[Owner de la cuenta]]=Table1[[#This Row],[Owner Name]],"Si","No")</f>
        <v>Si</v>
      </c>
      <c r="U121" t="s">
        <v>4713</v>
      </c>
      <c r="V121" t="s">
        <v>5272</v>
      </c>
      <c r="W121">
        <v>3978478.1</v>
      </c>
      <c r="X121" t="s">
        <v>4991</v>
      </c>
    </row>
    <row r="122" spans="3:24" hidden="1" x14ac:dyDescent="0.35">
      <c r="C122" t="str">
        <f>VLOOKUP(D122,Diccionario!A:B,2,0)</f>
        <v>LMM 5</v>
      </c>
      <c r="D122" t="s">
        <v>932</v>
      </c>
      <c r="E122" t="s">
        <v>6</v>
      </c>
      <c r="F122" t="s">
        <v>3643</v>
      </c>
      <c r="H122" s="1">
        <v>46076</v>
      </c>
      <c r="I122" t="s">
        <v>5205</v>
      </c>
      <c r="J122" t="str">
        <f t="shared" si="3"/>
        <v>GM ROBOTIC</v>
      </c>
      <c r="K122" t="str">
        <f>IFERROR(VLOOKUP(Table1[[#This Row],[Top Parent]],'1.- Citas sin this week'!G:G,1,0),"New New")</f>
        <v>GM ROBOTIC</v>
      </c>
      <c r="L122" s="25">
        <f>_xlfn.XLOOKUP(Table1[[#This Row],[Top Parent]],Table3[Top Parent],Table3[Date])</f>
        <v>46065</v>
      </c>
      <c r="M122" s="26">
        <f>Table1[[#This Row],[Date]]-Table1[[#This Row],[Last Date]]</f>
        <v>11</v>
      </c>
      <c r="N122" s="25" t="str">
        <f>_xlfn.XLOOKUP(Table1[[#This Row],[Top Parent]],Table3[Top Parent],Table3[Owner Name])</f>
        <v>Christian Gamboa</v>
      </c>
      <c r="O122" s="26"/>
      <c r="P122" t="s">
        <v>403</v>
      </c>
      <c r="Q122" s="1" t="str">
        <f>IF(Table1[[#This Row],[Last Owner]]=Table1[[#This Row],[Owner Name]],"No","Si")</f>
        <v>No</v>
      </c>
      <c r="R122" s="1" t="str">
        <f>IF(Table1[[#This Row],[Diferencia de dias]]&gt;182,"Si","No")</f>
        <v>No</v>
      </c>
      <c r="S122" t="s">
        <v>932</v>
      </c>
      <c r="T122" s="1" t="str">
        <f>IF(Table1[[#This Row],[Owner de la cuenta]]=Table1[[#This Row],[Owner Name]],"Si","No")</f>
        <v>Si</v>
      </c>
      <c r="U122" t="s">
        <v>1223</v>
      </c>
      <c r="V122" t="s">
        <v>5273</v>
      </c>
      <c r="X122" t="s">
        <v>4980</v>
      </c>
    </row>
    <row r="123" spans="3:24" hidden="1" x14ac:dyDescent="0.35">
      <c r="C123" t="str">
        <f>VLOOKUP(D123,Diccionario!A:B,2,0)</f>
        <v>Monterrey</v>
      </c>
      <c r="D123" t="s">
        <v>4472</v>
      </c>
      <c r="E123" t="s">
        <v>6</v>
      </c>
      <c r="F123" t="s">
        <v>5415</v>
      </c>
      <c r="H123" s="1">
        <v>46078</v>
      </c>
      <c r="I123" t="s">
        <v>5494</v>
      </c>
      <c r="J123" t="str">
        <f t="shared" si="3"/>
        <v>AQUA SALUS</v>
      </c>
      <c r="K123" t="str">
        <f>IFERROR(VLOOKUP(Table1[[#This Row],[Top Parent]],'1.- Citas sin this week'!G:G,1,0),"New New")</f>
        <v>New New</v>
      </c>
      <c r="L123" s="25" t="e">
        <f>_xlfn.XLOOKUP(Table1[[#This Row],[Top Parent]],Table3[Top Parent],Table3[Date])</f>
        <v>#N/A</v>
      </c>
      <c r="M123" s="26" t="e">
        <f>Table1[[#This Row],[Date]]-Table1[[#This Row],[Last Date]]</f>
        <v>#N/A</v>
      </c>
      <c r="N123" s="25" t="e">
        <f>_xlfn.XLOOKUP(Table1[[#This Row],[Top Parent]],Table3[Top Parent],Table3[Owner Name])</f>
        <v>#N/A</v>
      </c>
      <c r="O123" s="26"/>
      <c r="P123" t="s">
        <v>5574</v>
      </c>
      <c r="Q123" s="1" t="e">
        <f>IF(Table1[[#This Row],[Last Owner]]=Table1[[#This Row],[Owner Name]],"No","Si")</f>
        <v>#N/A</v>
      </c>
      <c r="R123" s="1" t="e">
        <f>IF(Table1[[#This Row],[Diferencia de dias]]&gt;182,"Si","No")</f>
        <v>#N/A</v>
      </c>
      <c r="S123" t="s">
        <v>4472</v>
      </c>
      <c r="T123" s="1" t="str">
        <f>IF(Table1[[#This Row],[Owner de la cuenta]]=Table1[[#This Row],[Owner Name]],"Si","No")</f>
        <v>Si</v>
      </c>
      <c r="U123" t="s">
        <v>4713</v>
      </c>
      <c r="V123" t="s">
        <v>5561</v>
      </c>
      <c r="W123">
        <v>1</v>
      </c>
      <c r="X123" t="s">
        <v>4982</v>
      </c>
    </row>
    <row r="124" spans="3:24" hidden="1" x14ac:dyDescent="0.35">
      <c r="C124" t="str">
        <f>VLOOKUP(D124,Diccionario!A:B,2,0)</f>
        <v>México 2</v>
      </c>
      <c r="D124" t="s">
        <v>32</v>
      </c>
      <c r="E124" t="s">
        <v>6</v>
      </c>
      <c r="F124" t="s">
        <v>495</v>
      </c>
      <c r="H124" s="1">
        <v>46076</v>
      </c>
      <c r="I124" t="s">
        <v>5512</v>
      </c>
      <c r="J124" t="str">
        <f t="shared" si="3"/>
        <v>Mota-Engil México</v>
      </c>
      <c r="K124" t="str">
        <f>IFERROR(VLOOKUP(Table1[[#This Row],[Top Parent]],'1.- Citas sin this week'!G:G,1,0),"New New")</f>
        <v>Mota-Engil México</v>
      </c>
      <c r="L124" s="25">
        <f>_xlfn.XLOOKUP(Table1[[#This Row],[Top Parent]],Table3[Top Parent],Table3[Date])</f>
        <v>46069</v>
      </c>
      <c r="M124" s="26">
        <f>Table1[[#This Row],[Date]]-Table1[[#This Row],[Last Date]]</f>
        <v>7</v>
      </c>
      <c r="N124" s="25" t="str">
        <f>_xlfn.XLOOKUP(Table1[[#This Row],[Top Parent]],Table3[Top Parent],Table3[Owner Name])</f>
        <v>Rafael Garcia</v>
      </c>
      <c r="O124" s="26"/>
      <c r="P124" t="s">
        <v>4711</v>
      </c>
      <c r="Q124" s="1" t="str">
        <f>IF(Table1[[#This Row],[Last Owner]]=Table1[[#This Row],[Owner Name]],"No","Si")</f>
        <v>No</v>
      </c>
      <c r="R124" s="1" t="str">
        <f>IF(Table1[[#This Row],[Diferencia de dias]]&gt;182,"Si","No")</f>
        <v>No</v>
      </c>
      <c r="S124" t="s">
        <v>32</v>
      </c>
      <c r="T124" s="1" t="str">
        <f>IF(Table1[[#This Row],[Owner de la cuenta]]=Table1[[#This Row],[Owner Name]],"Si","No")</f>
        <v>Si</v>
      </c>
      <c r="U124" t="s">
        <v>1223</v>
      </c>
      <c r="V124" t="s">
        <v>5572</v>
      </c>
      <c r="W124">
        <v>79600322.900000006</v>
      </c>
      <c r="X124" t="s">
        <v>4984</v>
      </c>
    </row>
    <row r="125" spans="3:24" hidden="1" x14ac:dyDescent="0.35">
      <c r="C125" t="str">
        <f>VLOOKUP(D125,Diccionario!A:B,2,0)</f>
        <v>Monterrey</v>
      </c>
      <c r="D125" t="s">
        <v>1511</v>
      </c>
      <c r="E125" t="s">
        <v>6</v>
      </c>
      <c r="F125" t="s">
        <v>5467</v>
      </c>
      <c r="H125" s="1">
        <v>46079</v>
      </c>
      <c r="I125" t="s">
        <v>5468</v>
      </c>
      <c r="J125" t="str">
        <f t="shared" si="3"/>
        <v>Videxport</v>
      </c>
      <c r="K125" t="str">
        <f>IFERROR(VLOOKUP(Table1[[#This Row],[Top Parent]],'1.- Citas sin this week'!G:G,1,0),"New New")</f>
        <v>New New</v>
      </c>
      <c r="L125" s="25" t="e">
        <f>_xlfn.XLOOKUP(Table1[[#This Row],[Top Parent]],Table3[Top Parent],Table3[Date])</f>
        <v>#N/A</v>
      </c>
      <c r="M125" s="26" t="e">
        <f>Table1[[#This Row],[Date]]-Table1[[#This Row],[Last Date]]</f>
        <v>#N/A</v>
      </c>
      <c r="N125" s="25" t="e">
        <f>_xlfn.XLOOKUP(Table1[[#This Row],[Top Parent]],Table3[Top Parent],Table3[Owner Name])</f>
        <v>#N/A</v>
      </c>
      <c r="O125" s="26"/>
      <c r="P125" t="s">
        <v>403</v>
      </c>
      <c r="Q125" s="1" t="e">
        <f>IF(Table1[[#This Row],[Last Owner]]=Table1[[#This Row],[Owner Name]],"No","Si")</f>
        <v>#N/A</v>
      </c>
      <c r="R125" s="1" t="e">
        <f>IF(Table1[[#This Row],[Diferencia de dias]]&gt;182,"Si","No")</f>
        <v>#N/A</v>
      </c>
      <c r="S125" t="s">
        <v>1511</v>
      </c>
      <c r="T125" s="1" t="str">
        <f>IF(Table1[[#This Row],[Owner de la cuenta]]=Table1[[#This Row],[Owner Name]],"Si","No")</f>
        <v>Si</v>
      </c>
      <c r="U125" t="s">
        <v>4714</v>
      </c>
      <c r="V125" t="s">
        <v>5545</v>
      </c>
      <c r="X125" t="s">
        <v>4981</v>
      </c>
    </row>
    <row r="126" spans="3:24" hidden="1" x14ac:dyDescent="0.35">
      <c r="C126" t="str">
        <f>VLOOKUP(D126,Diccionario!A:B,2,0)</f>
        <v>Monterrey</v>
      </c>
      <c r="D126" t="s">
        <v>1511</v>
      </c>
      <c r="E126" t="s">
        <v>6</v>
      </c>
      <c r="F126" t="s">
        <v>5499</v>
      </c>
      <c r="H126" s="1">
        <v>46078</v>
      </c>
      <c r="I126" t="s">
        <v>5500</v>
      </c>
      <c r="J126" t="str">
        <f t="shared" si="3"/>
        <v>ALGODÓN MEXICANO</v>
      </c>
      <c r="K126" t="str">
        <f>IFERROR(VLOOKUP(Table1[[#This Row],[Top Parent]],'1.- Citas sin this week'!G:G,1,0),"New New")</f>
        <v>New New</v>
      </c>
      <c r="L126" s="25" t="e">
        <f>_xlfn.XLOOKUP(Table1[[#This Row],[Top Parent]],Table3[Top Parent],Table3[Date])</f>
        <v>#N/A</v>
      </c>
      <c r="M126" s="26" t="e">
        <f>Table1[[#This Row],[Date]]-Table1[[#This Row],[Last Date]]</f>
        <v>#N/A</v>
      </c>
      <c r="N126" s="25" t="e">
        <f>_xlfn.XLOOKUP(Table1[[#This Row],[Top Parent]],Table3[Top Parent],Table3[Owner Name])</f>
        <v>#N/A</v>
      </c>
      <c r="O126" s="26"/>
      <c r="P126" t="s">
        <v>403</v>
      </c>
      <c r="Q126" s="1" t="e">
        <f>IF(Table1[[#This Row],[Last Owner]]=Table1[[#This Row],[Owner Name]],"No","Si")</f>
        <v>#N/A</v>
      </c>
      <c r="R126" s="1" t="e">
        <f>IF(Table1[[#This Row],[Diferencia de dias]]&gt;182,"Si","No")</f>
        <v>#N/A</v>
      </c>
      <c r="S126" t="s">
        <v>1511</v>
      </c>
      <c r="T126" s="1" t="str">
        <f>IF(Table1[[#This Row],[Owner de la cuenta]]=Table1[[#This Row],[Owner Name]],"Si","No")</f>
        <v>Si</v>
      </c>
      <c r="U126" t="s">
        <v>4714</v>
      </c>
      <c r="V126" t="s">
        <v>5564</v>
      </c>
      <c r="X126" t="s">
        <v>4981</v>
      </c>
    </row>
    <row r="127" spans="3:24" hidden="1" x14ac:dyDescent="0.35">
      <c r="C127" t="str">
        <f>VLOOKUP(D127,Diccionario!A:B,2,0)</f>
        <v>Monterrey</v>
      </c>
      <c r="D127" t="s">
        <v>1511</v>
      </c>
      <c r="E127" t="s">
        <v>6</v>
      </c>
      <c r="F127" t="s">
        <v>5382</v>
      </c>
      <c r="H127" s="1">
        <v>46077</v>
      </c>
      <c r="I127" t="s">
        <v>5505</v>
      </c>
      <c r="J127" t="str">
        <f t="shared" si="3"/>
        <v>Agropecuaria Bretona</v>
      </c>
      <c r="K127" t="str">
        <f>IFERROR(VLOOKUP(Table1[[#This Row],[Top Parent]],'1.- Citas sin this week'!G:G,1,0),"New New")</f>
        <v>New New</v>
      </c>
      <c r="L127" s="25" t="e">
        <f>_xlfn.XLOOKUP(Table1[[#This Row],[Top Parent]],Table3[Top Parent],Table3[Date])</f>
        <v>#N/A</v>
      </c>
      <c r="M127" s="26" t="e">
        <f>Table1[[#This Row],[Date]]-Table1[[#This Row],[Last Date]]</f>
        <v>#N/A</v>
      </c>
      <c r="N127" s="25" t="e">
        <f>_xlfn.XLOOKUP(Table1[[#This Row],[Top Parent]],Table3[Top Parent],Table3[Owner Name])</f>
        <v>#N/A</v>
      </c>
      <c r="O127" s="26"/>
      <c r="P127" t="s">
        <v>403</v>
      </c>
      <c r="Q127" s="1" t="e">
        <f>IF(Table1[[#This Row],[Last Owner]]=Table1[[#This Row],[Owner Name]],"No","Si")</f>
        <v>#N/A</v>
      </c>
      <c r="R127" s="1" t="e">
        <f>IF(Table1[[#This Row],[Diferencia de dias]]&gt;182,"Si","No")</f>
        <v>#N/A</v>
      </c>
      <c r="S127" t="s">
        <v>1511</v>
      </c>
      <c r="T127" s="1" t="str">
        <f>IF(Table1[[#This Row],[Owner de la cuenta]]=Table1[[#This Row],[Owner Name]],"Si","No")</f>
        <v>Si</v>
      </c>
      <c r="U127" t="s">
        <v>4714</v>
      </c>
      <c r="V127" t="s">
        <v>5568</v>
      </c>
      <c r="X127" t="s">
        <v>4981</v>
      </c>
    </row>
    <row r="128" spans="3:24" hidden="1" x14ac:dyDescent="0.35">
      <c r="C128" t="str">
        <f>VLOOKUP(D128,Diccionario!A:B,2,0)</f>
        <v>Monterrey</v>
      </c>
      <c r="D128" t="s">
        <v>172</v>
      </c>
      <c r="E128" t="s">
        <v>6</v>
      </c>
      <c r="F128" t="s">
        <v>5420</v>
      </c>
      <c r="H128" s="1">
        <v>46077</v>
      </c>
      <c r="I128" t="s">
        <v>5501</v>
      </c>
      <c r="J128" t="str">
        <f t="shared" si="3"/>
        <v>Grupo Minero Golden Rock de Mexico</v>
      </c>
      <c r="K128" t="str">
        <f>IFERROR(VLOOKUP(Table1[[#This Row],[Top Parent]],'1.- Citas sin this week'!G:G,1,0),"New New")</f>
        <v>New New</v>
      </c>
      <c r="L128" s="25" t="e">
        <f>_xlfn.XLOOKUP(Table1[[#This Row],[Top Parent]],Table3[Top Parent],Table3[Date])</f>
        <v>#N/A</v>
      </c>
      <c r="M128" s="26" t="e">
        <f>Table1[[#This Row],[Date]]-Table1[[#This Row],[Last Date]]</f>
        <v>#N/A</v>
      </c>
      <c r="N128" s="25" t="e">
        <f>_xlfn.XLOOKUP(Table1[[#This Row],[Top Parent]],Table3[Top Parent],Table3[Owner Name])</f>
        <v>#N/A</v>
      </c>
      <c r="O128" s="26"/>
      <c r="P128" t="s">
        <v>403</v>
      </c>
      <c r="Q128" s="1" t="e">
        <f>IF(Table1[[#This Row],[Last Owner]]=Table1[[#This Row],[Owner Name]],"No","Si")</f>
        <v>#N/A</v>
      </c>
      <c r="R128" s="1" t="e">
        <f>IF(Table1[[#This Row],[Diferencia de dias]]&gt;182,"Si","No")</f>
        <v>#N/A</v>
      </c>
      <c r="S128" t="s">
        <v>172</v>
      </c>
      <c r="T128" s="1" t="str">
        <f>IF(Table1[[#This Row],[Owner de la cuenta]]=Table1[[#This Row],[Owner Name]],"Si","No")</f>
        <v>Si</v>
      </c>
      <c r="U128" t="s">
        <v>4809</v>
      </c>
      <c r="V128" t="s">
        <v>5565</v>
      </c>
      <c r="X128" t="s">
        <v>4984</v>
      </c>
    </row>
  </sheetData>
  <phoneticPr fontId="18" type="noConversion"/>
  <conditionalFormatting sqref="D129:D1048576 F1:F128">
    <cfRule type="duplicateValues" dxfId="7" priority="7374"/>
    <cfRule type="duplicateValues" dxfId="6" priority="7375"/>
    <cfRule type="duplicateValues" dxfId="5" priority="7376"/>
  </conditionalFormatting>
  <conditionalFormatting sqref="F2:F128">
    <cfRule type="duplicateValues" dxfId="4" priority="7460"/>
  </conditionalFormatting>
  <conditionalFormatting sqref="H129:H1048576 J1:J128">
    <cfRule type="duplicateValues" dxfId="3" priority="7380"/>
  </conditionalFormatting>
  <conditionalFormatting sqref="K2:K128">
    <cfRule type="duplicateValues" dxfId="2" priority="7462"/>
  </conditionalFormatting>
  <conditionalFormatting sqref="K1:O1">
    <cfRule type="duplicateValues" dxfId="1" priority="1"/>
  </conditionalFormatting>
  <pageMargins left="0.7" right="0.7" top="0.75" bottom="0.75" header="0.3" footer="0.3"/>
  <pageSetup orientation="portrait" horizontalDpi="360" verticalDpi="36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785"/>
  <sheetViews>
    <sheetView topLeftCell="A6763" zoomScale="76" zoomScaleNormal="115" workbookViewId="0">
      <selection activeCell="B6786" sqref="B6786"/>
    </sheetView>
  </sheetViews>
  <sheetFormatPr baseColWidth="10" defaultColWidth="9.1796875" defaultRowHeight="14.5" x14ac:dyDescent="0.35"/>
  <cols>
    <col min="2" max="2" width="14.1796875" customWidth="1"/>
    <col min="3" max="3" width="9.1796875" customWidth="1"/>
    <col min="4" max="4" width="19.81640625" customWidth="1"/>
    <col min="5" max="5" width="19.26953125" customWidth="1"/>
    <col min="6" max="6" width="11.81640625" bestFit="1" customWidth="1"/>
    <col min="7" max="7" width="12" customWidth="1"/>
    <col min="8" max="8" width="16.26953125" hidden="1" customWidth="1"/>
  </cols>
  <sheetData>
    <row r="1" spans="1:8" x14ac:dyDescent="0.35">
      <c r="A1" t="s">
        <v>0</v>
      </c>
      <c r="B1" t="s">
        <v>1</v>
      </c>
      <c r="C1" t="s">
        <v>2</v>
      </c>
      <c r="D1" t="s">
        <v>3</v>
      </c>
      <c r="E1" t="s">
        <v>4</v>
      </c>
      <c r="F1" t="s">
        <v>5</v>
      </c>
      <c r="G1" s="10" t="s">
        <v>126</v>
      </c>
      <c r="H1" t="s">
        <v>566</v>
      </c>
    </row>
    <row r="2" spans="1:8" x14ac:dyDescent="0.35">
      <c r="A2" s="21"/>
      <c r="B2" t="s">
        <v>88</v>
      </c>
      <c r="C2" t="s">
        <v>6</v>
      </c>
      <c r="D2" t="s">
        <v>5068</v>
      </c>
      <c r="F2" s="1">
        <v>46073</v>
      </c>
      <c r="G2" t="str">
        <f>IF(Table3[[#This Row],[Top Parent Account]]="",Table3[[#This Row],[Account Legal Name]],Table3[[#This Row],[Top Parent Account]])</f>
        <v>CONSORCIO INDUSTRIAL ELIGON</v>
      </c>
      <c r="H2" s="1"/>
    </row>
    <row r="3" spans="1:8" x14ac:dyDescent="0.35">
      <c r="A3" s="21"/>
      <c r="B3" t="s">
        <v>24</v>
      </c>
      <c r="C3" t="s">
        <v>6</v>
      </c>
      <c r="D3" t="s">
        <v>1482</v>
      </c>
      <c r="F3" s="1">
        <v>46073</v>
      </c>
      <c r="G3" t="str">
        <f>IF(Table3[[#This Row],[Top Parent Account]]="",Table3[[#This Row],[Account Legal Name]],Table3[[#This Row],[Top Parent Account]])</f>
        <v>Naturesweet Invernaderos</v>
      </c>
      <c r="H3" s="1"/>
    </row>
    <row r="4" spans="1:8" x14ac:dyDescent="0.35">
      <c r="A4" s="21"/>
      <c r="B4" t="s">
        <v>28</v>
      </c>
      <c r="C4" t="s">
        <v>6</v>
      </c>
      <c r="D4" t="s">
        <v>3859</v>
      </c>
      <c r="F4" s="1">
        <v>46073</v>
      </c>
      <c r="G4" t="str">
        <f>IF(Table3[[#This Row],[Top Parent Account]]="",Table3[[#This Row],[Account Legal Name]],Table3[[#This Row],[Top Parent Account]])</f>
        <v>LM Minería y Proyectos</v>
      </c>
      <c r="H4" s="1"/>
    </row>
    <row r="5" spans="1:8" x14ac:dyDescent="0.35">
      <c r="A5" s="21"/>
      <c r="B5" t="s">
        <v>32</v>
      </c>
      <c r="C5" t="s">
        <v>6</v>
      </c>
      <c r="D5" t="s">
        <v>461</v>
      </c>
      <c r="F5" s="1">
        <v>46073</v>
      </c>
      <c r="G5" t="str">
        <f>IF(Table3[[#This Row],[Top Parent Account]]="",Table3[[#This Row],[Account Legal Name]],Table3[[#This Row],[Top Parent Account]])</f>
        <v>Prefamovil Infraestructura</v>
      </c>
      <c r="H5" s="1"/>
    </row>
    <row r="6" spans="1:8" x14ac:dyDescent="0.35">
      <c r="A6" s="21"/>
      <c r="B6" t="s">
        <v>1131</v>
      </c>
      <c r="C6" t="s">
        <v>6</v>
      </c>
      <c r="D6" t="s">
        <v>5069</v>
      </c>
      <c r="F6" s="1">
        <v>46073</v>
      </c>
      <c r="G6" t="str">
        <f>IF(Table3[[#This Row],[Top Parent Account]]="",Table3[[#This Row],[Account Legal Name]],Table3[[#This Row],[Top Parent Account]])</f>
        <v>PQ Servicios e Infraestructura</v>
      </c>
      <c r="H6" s="1"/>
    </row>
    <row r="7" spans="1:8" x14ac:dyDescent="0.35">
      <c r="A7" s="21"/>
      <c r="B7" t="s">
        <v>1511</v>
      </c>
      <c r="C7" t="s">
        <v>22</v>
      </c>
      <c r="D7" t="s">
        <v>3123</v>
      </c>
      <c r="F7" s="1">
        <v>46073</v>
      </c>
      <c r="G7" t="str">
        <f>IF(Table3[[#This Row],[Top Parent Account]]="",Table3[[#This Row],[Account Legal Name]],Table3[[#This Row],[Top Parent Account]])</f>
        <v>Ladrillera Mecanizada</v>
      </c>
      <c r="H7" s="1"/>
    </row>
    <row r="8" spans="1:8" x14ac:dyDescent="0.35">
      <c r="A8" s="21"/>
      <c r="B8" t="s">
        <v>1131</v>
      </c>
      <c r="C8" t="s">
        <v>6</v>
      </c>
      <c r="D8" t="s">
        <v>5070</v>
      </c>
      <c r="F8" s="1">
        <v>46073</v>
      </c>
      <c r="G8" t="str">
        <f>IF(Table3[[#This Row],[Top Parent Account]]="",Table3[[#This Row],[Account Legal Name]],Table3[[#This Row],[Top Parent Account]])</f>
        <v>Manufacturas Industriales Dp</v>
      </c>
      <c r="H8" s="1"/>
    </row>
    <row r="9" spans="1:8" x14ac:dyDescent="0.35">
      <c r="A9" s="21"/>
      <c r="B9" t="s">
        <v>1131</v>
      </c>
      <c r="C9" t="s">
        <v>6</v>
      </c>
      <c r="D9" t="s">
        <v>1201</v>
      </c>
      <c r="F9" s="1">
        <v>46073</v>
      </c>
      <c r="G9" t="str">
        <f>IF(Table3[[#This Row],[Top Parent Account]]="",Table3[[#This Row],[Account Legal Name]],Table3[[#This Row],[Top Parent Account]])</f>
        <v>DICOM Fresnillo</v>
      </c>
      <c r="H9" s="1"/>
    </row>
    <row r="10" spans="1:8" x14ac:dyDescent="0.35">
      <c r="A10" s="21"/>
      <c r="B10" t="s">
        <v>25</v>
      </c>
      <c r="C10" t="s">
        <v>6</v>
      </c>
      <c r="D10" t="s">
        <v>592</v>
      </c>
      <c r="F10" s="1">
        <v>46073</v>
      </c>
      <c r="G10" t="str">
        <f>IF(Table3[[#This Row],[Top Parent Account]]="",Table3[[#This Row],[Account Legal Name]],Table3[[#This Row],[Top Parent Account]])</f>
        <v>ANOVA AMERICAS INTERNATIONAL COMPANY</v>
      </c>
      <c r="H10" s="1"/>
    </row>
    <row r="11" spans="1:8" x14ac:dyDescent="0.35">
      <c r="A11" s="21"/>
      <c r="B11" t="s">
        <v>2884</v>
      </c>
      <c r="C11" t="s">
        <v>6</v>
      </c>
      <c r="D11" t="s">
        <v>5071</v>
      </c>
      <c r="F11" s="1">
        <v>46073</v>
      </c>
      <c r="G11" t="str">
        <f>IF(Table3[[#This Row],[Top Parent Account]]="",Table3[[#This Row],[Account Legal Name]],Table3[[#This Row],[Top Parent Account]])</f>
        <v>Evsa</v>
      </c>
      <c r="H11" s="1"/>
    </row>
    <row r="12" spans="1:8" x14ac:dyDescent="0.35">
      <c r="A12" s="21"/>
      <c r="B12" t="s">
        <v>208</v>
      </c>
      <c r="C12" t="s">
        <v>6</v>
      </c>
      <c r="D12" t="s">
        <v>5072</v>
      </c>
      <c r="F12" s="1">
        <v>46073</v>
      </c>
      <c r="G12" t="str">
        <f>IF(Table3[[#This Row],[Top Parent Account]]="",Table3[[#This Row],[Account Legal Name]],Table3[[#This Row],[Top Parent Account]])</f>
        <v>Cosmética</v>
      </c>
      <c r="H12" s="1"/>
    </row>
    <row r="13" spans="1:8" x14ac:dyDescent="0.35">
      <c r="A13" s="21"/>
      <c r="B13" t="s">
        <v>1131</v>
      </c>
      <c r="C13" t="s">
        <v>6</v>
      </c>
      <c r="D13" t="s">
        <v>4189</v>
      </c>
      <c r="F13" s="1">
        <v>46073</v>
      </c>
      <c r="G13" t="str">
        <f>IF(Table3[[#This Row],[Top Parent Account]]="",Table3[[#This Row],[Account Legal Name]],Table3[[#This Row],[Top Parent Account]])</f>
        <v>Super Farmacias Santa Maria</v>
      </c>
      <c r="H13" s="1"/>
    </row>
    <row r="14" spans="1:8" x14ac:dyDescent="0.35">
      <c r="A14" s="21"/>
      <c r="B14" t="s">
        <v>2658</v>
      </c>
      <c r="C14" t="s">
        <v>6</v>
      </c>
      <c r="D14" t="s">
        <v>5073</v>
      </c>
      <c r="E14" t="s">
        <v>2828</v>
      </c>
      <c r="F14" s="1">
        <v>46073</v>
      </c>
      <c r="G14" t="str">
        <f>IF(Table3[[#This Row],[Top Parent Account]]="",Table3[[#This Row],[Account Legal Name]],Table3[[#This Row],[Top Parent Account]])</f>
        <v>IACNA MEXICO</v>
      </c>
      <c r="H14" s="1"/>
    </row>
    <row r="15" spans="1:8" x14ac:dyDescent="0.35">
      <c r="A15" s="21"/>
      <c r="B15" t="s">
        <v>23</v>
      </c>
      <c r="C15" t="s">
        <v>6</v>
      </c>
      <c r="D15" t="s">
        <v>5074</v>
      </c>
      <c r="E15" t="s">
        <v>5075</v>
      </c>
      <c r="F15" s="1">
        <v>46073</v>
      </c>
      <c r="G15" t="str">
        <f>IF(Table3[[#This Row],[Top Parent Account]]="",Table3[[#This Row],[Account Legal Name]],Table3[[#This Row],[Top Parent Account]])</f>
        <v>Especialistas En Turbopartes</v>
      </c>
      <c r="H15" s="1"/>
    </row>
    <row r="16" spans="1:8" x14ac:dyDescent="0.35">
      <c r="A16" s="21"/>
      <c r="B16" t="s">
        <v>3092</v>
      </c>
      <c r="C16" t="s">
        <v>6</v>
      </c>
      <c r="D16" t="s">
        <v>5018</v>
      </c>
      <c r="F16" s="1">
        <v>46073</v>
      </c>
      <c r="G16" t="str">
        <f>IF(Table3[[#This Row],[Top Parent Account]]="",Table3[[#This Row],[Account Legal Name]],Table3[[#This Row],[Top Parent Account]])</f>
        <v>Suajes y Empaques</v>
      </c>
      <c r="H16" s="1"/>
    </row>
    <row r="17" spans="1:8" x14ac:dyDescent="0.35">
      <c r="A17" s="21"/>
      <c r="B17" t="s">
        <v>51</v>
      </c>
      <c r="C17" t="s">
        <v>6</v>
      </c>
      <c r="D17" t="s">
        <v>5054</v>
      </c>
      <c r="F17" s="1">
        <v>46073</v>
      </c>
      <c r="G17" t="str">
        <f>IF(Table3[[#This Row],[Top Parent Account]]="",Table3[[#This Row],[Account Legal Name]],Table3[[#This Row],[Top Parent Account]])</f>
        <v>Edificaciones Carver</v>
      </c>
      <c r="H17" s="1"/>
    </row>
    <row r="18" spans="1:8" x14ac:dyDescent="0.35">
      <c r="A18" s="21"/>
      <c r="B18" t="s">
        <v>2912</v>
      </c>
      <c r="C18" t="s">
        <v>6</v>
      </c>
      <c r="D18" t="s">
        <v>3134</v>
      </c>
      <c r="F18" s="1">
        <v>46073</v>
      </c>
      <c r="G18" t="str">
        <f>IF(Table3[[#This Row],[Top Parent Account]]="",Table3[[#This Row],[Account Legal Name]],Table3[[#This Row],[Top Parent Account]])</f>
        <v>Alianza Eléctrica</v>
      </c>
      <c r="H18" s="1"/>
    </row>
    <row r="19" spans="1:8" x14ac:dyDescent="0.35">
      <c r="A19" s="21"/>
      <c r="B19" t="s">
        <v>88</v>
      </c>
      <c r="C19" t="s">
        <v>6</v>
      </c>
      <c r="D19" t="s">
        <v>5076</v>
      </c>
      <c r="F19" s="1">
        <v>46073</v>
      </c>
      <c r="G19" t="str">
        <f>IF(Table3[[#This Row],[Top Parent Account]]="",Table3[[#This Row],[Account Legal Name]],Table3[[#This Row],[Top Parent Account]])</f>
        <v>Oscar Alonso Reynosa Armendariz</v>
      </c>
      <c r="H19" s="1"/>
    </row>
    <row r="20" spans="1:8" x14ac:dyDescent="0.35">
      <c r="A20" s="21"/>
      <c r="B20" t="s">
        <v>29</v>
      </c>
      <c r="C20" t="s">
        <v>6</v>
      </c>
      <c r="D20" t="s">
        <v>2032</v>
      </c>
      <c r="F20" s="1">
        <v>46073</v>
      </c>
      <c r="G20" t="str">
        <f>IF(Table3[[#This Row],[Top Parent Account]]="",Table3[[#This Row],[Account Legal Name]],Table3[[#This Row],[Top Parent Account]])</f>
        <v>Grupo Canels</v>
      </c>
      <c r="H20" s="1"/>
    </row>
    <row r="21" spans="1:8" x14ac:dyDescent="0.35">
      <c r="A21" s="21"/>
      <c r="B21" t="s">
        <v>208</v>
      </c>
      <c r="C21" t="s">
        <v>6</v>
      </c>
      <c r="D21" t="s">
        <v>1924</v>
      </c>
      <c r="F21" s="1">
        <v>46073</v>
      </c>
      <c r="G21" t="str">
        <f>IF(Table3[[#This Row],[Top Parent Account]]="",Table3[[#This Row],[Account Legal Name]],Table3[[#This Row],[Top Parent Account]])</f>
        <v>Gluten y Almidones Industriales</v>
      </c>
      <c r="H21" s="1"/>
    </row>
    <row r="22" spans="1:8" x14ac:dyDescent="0.35">
      <c r="A22" s="21"/>
      <c r="B22" t="s">
        <v>70</v>
      </c>
      <c r="C22" t="s">
        <v>6</v>
      </c>
      <c r="D22" t="s">
        <v>5077</v>
      </c>
      <c r="F22" s="1">
        <v>46073</v>
      </c>
      <c r="G22" t="str">
        <f>IF(Table3[[#This Row],[Top Parent Account]]="",Table3[[#This Row],[Account Legal Name]],Table3[[#This Row],[Top Parent Account]])</f>
        <v>Siemens</v>
      </c>
      <c r="H22" s="1"/>
    </row>
    <row r="23" spans="1:8" x14ac:dyDescent="0.35">
      <c r="A23" s="21"/>
      <c r="B23" t="s">
        <v>25</v>
      </c>
      <c r="C23" t="s">
        <v>6</v>
      </c>
      <c r="D23" t="s">
        <v>4436</v>
      </c>
      <c r="F23" s="1">
        <v>46073</v>
      </c>
      <c r="G23" t="str">
        <f>IF(Table3[[#This Row],[Top Parent Account]]="",Table3[[#This Row],[Account Legal Name]],Table3[[#This Row],[Top Parent Account]])</f>
        <v>Planeación de Logística y movilidad</v>
      </c>
      <c r="H23" s="1"/>
    </row>
    <row r="24" spans="1:8" x14ac:dyDescent="0.35">
      <c r="A24" s="21"/>
      <c r="B24" t="s">
        <v>25</v>
      </c>
      <c r="C24" t="s">
        <v>6</v>
      </c>
      <c r="D24" t="s">
        <v>1213</v>
      </c>
      <c r="F24" s="1">
        <v>46073</v>
      </c>
      <c r="G24" t="str">
        <f>IF(Table3[[#This Row],[Top Parent Account]]="",Table3[[#This Row],[Account Legal Name]],Table3[[#This Row],[Top Parent Account]])</f>
        <v>Refrigerados Maverick</v>
      </c>
      <c r="H24" s="1"/>
    </row>
    <row r="25" spans="1:8" x14ac:dyDescent="0.35">
      <c r="A25" s="21"/>
      <c r="B25" t="s">
        <v>25</v>
      </c>
      <c r="C25" t="s">
        <v>6</v>
      </c>
      <c r="D25" t="s">
        <v>2724</v>
      </c>
      <c r="F25" s="1">
        <v>46073</v>
      </c>
      <c r="G25" t="str">
        <f>IF(Table3[[#This Row],[Top Parent Account]]="",Table3[[#This Row],[Account Legal Name]],Table3[[#This Row],[Top Parent Account]])</f>
        <v>Alambique de Oro</v>
      </c>
      <c r="H25" s="1"/>
    </row>
    <row r="26" spans="1:8" x14ac:dyDescent="0.35">
      <c r="A26" s="21"/>
      <c r="B26" t="s">
        <v>25</v>
      </c>
      <c r="C26" t="s">
        <v>6</v>
      </c>
      <c r="D26" t="s">
        <v>4332</v>
      </c>
      <c r="F26" s="1">
        <v>46073</v>
      </c>
      <c r="G26" t="str">
        <f>IF(Table3[[#This Row],[Top Parent Account]]="",Table3[[#This Row],[Account Legal Name]],Table3[[#This Row],[Top Parent Account]])</f>
        <v>CAJAS Y CORRUGADOS PARA EMPAQUE</v>
      </c>
      <c r="H26" s="1"/>
    </row>
    <row r="27" spans="1:8" x14ac:dyDescent="0.35">
      <c r="A27" s="21"/>
      <c r="B27" t="s">
        <v>925</v>
      </c>
      <c r="C27" t="s">
        <v>6</v>
      </c>
      <c r="D27" t="s">
        <v>4351</v>
      </c>
      <c r="F27" s="1">
        <v>46073</v>
      </c>
      <c r="G27" t="str">
        <f>IF(Table3[[#This Row],[Top Parent Account]]="",Table3[[#This Row],[Account Legal Name]],Table3[[#This Row],[Top Parent Account]])</f>
        <v>Enfoque Quimico</v>
      </c>
      <c r="H27" s="1"/>
    </row>
    <row r="28" spans="1:8" x14ac:dyDescent="0.35">
      <c r="A28" s="21"/>
      <c r="B28" t="s">
        <v>169</v>
      </c>
      <c r="C28" t="s">
        <v>6</v>
      </c>
      <c r="D28" t="s">
        <v>733</v>
      </c>
      <c r="F28" s="1">
        <v>46073</v>
      </c>
      <c r="G28" t="str">
        <f>IF(Table3[[#This Row],[Top Parent Account]]="",Table3[[#This Row],[Account Legal Name]],Table3[[#This Row],[Top Parent Account]])</f>
        <v>Starplast México</v>
      </c>
      <c r="H28" s="1"/>
    </row>
    <row r="29" spans="1:8" x14ac:dyDescent="0.35">
      <c r="A29" s="21"/>
      <c r="B29" t="s">
        <v>29</v>
      </c>
      <c r="C29" t="s">
        <v>6</v>
      </c>
      <c r="D29" t="s">
        <v>5059</v>
      </c>
      <c r="F29" s="1">
        <v>46073</v>
      </c>
      <c r="G29" t="str">
        <f>IF(Table3[[#This Row],[Top Parent Account]]="",Table3[[#This Row],[Account Legal Name]],Table3[[#This Row],[Top Parent Account]])</f>
        <v>Suacero</v>
      </c>
      <c r="H29" s="1"/>
    </row>
    <row r="30" spans="1:8" x14ac:dyDescent="0.35">
      <c r="A30" s="21"/>
      <c r="B30" t="s">
        <v>25</v>
      </c>
      <c r="C30" t="s">
        <v>6</v>
      </c>
      <c r="D30" t="s">
        <v>2889</v>
      </c>
      <c r="F30" s="1">
        <v>46073</v>
      </c>
      <c r="G30" t="str">
        <f>IF(Table3[[#This Row],[Top Parent Account]]="",Table3[[#This Row],[Account Legal Name]],Table3[[#This Row],[Top Parent Account]])</f>
        <v>GRUPO GONORMA DE MEXICO</v>
      </c>
      <c r="H30" s="1"/>
    </row>
    <row r="31" spans="1:8" x14ac:dyDescent="0.35">
      <c r="A31" s="21"/>
      <c r="B31" t="s">
        <v>25</v>
      </c>
      <c r="C31" t="s">
        <v>6</v>
      </c>
      <c r="D31" t="s">
        <v>4915</v>
      </c>
      <c r="F31" s="1">
        <v>46073</v>
      </c>
      <c r="G31" t="str">
        <f>IF(Table3[[#This Row],[Top Parent Account]]="",Table3[[#This Row],[Account Legal Name]],Table3[[#This Row],[Top Parent Account]])</f>
        <v>Innovacion Logika En Transporte</v>
      </c>
      <c r="H31" s="1"/>
    </row>
    <row r="32" spans="1:8" x14ac:dyDescent="0.35">
      <c r="A32" s="21"/>
      <c r="B32" t="s">
        <v>2912</v>
      </c>
      <c r="C32" t="s">
        <v>6</v>
      </c>
      <c r="D32" t="s">
        <v>227</v>
      </c>
      <c r="E32" t="s">
        <v>228</v>
      </c>
      <c r="F32" s="1">
        <v>46073</v>
      </c>
      <c r="G32" t="str">
        <f>IF(Table3[[#This Row],[Top Parent Account]]="",Table3[[#This Row],[Account Legal Name]],Table3[[#This Row],[Top Parent Account]])</f>
        <v>Central De Corretajes</v>
      </c>
      <c r="H32" s="1"/>
    </row>
    <row r="33" spans="1:8" x14ac:dyDescent="0.35">
      <c r="A33" s="21"/>
      <c r="B33" t="s">
        <v>10</v>
      </c>
      <c r="C33" t="s">
        <v>6</v>
      </c>
      <c r="D33" t="s">
        <v>5079</v>
      </c>
      <c r="F33" s="1">
        <v>46073</v>
      </c>
      <c r="G33" t="str">
        <f>IF(Table3[[#This Row],[Top Parent Account]]="",Table3[[#This Row],[Account Legal Name]],Table3[[#This Row],[Top Parent Account]])</f>
        <v>Fraenkische Industrial Pipes México</v>
      </c>
      <c r="H33" s="1"/>
    </row>
    <row r="34" spans="1:8" x14ac:dyDescent="0.35">
      <c r="A34" s="21"/>
      <c r="B34" t="s">
        <v>12</v>
      </c>
      <c r="C34" t="s">
        <v>6</v>
      </c>
      <c r="D34" t="s">
        <v>2188</v>
      </c>
      <c r="F34" s="1">
        <v>46072</v>
      </c>
      <c r="G34" t="str">
        <f>IF(Table3[[#This Row],[Top Parent Account]]="",Table3[[#This Row],[Account Legal Name]],Table3[[#This Row],[Top Parent Account]])</f>
        <v>Metal Tec Industrial</v>
      </c>
      <c r="H34" s="1"/>
    </row>
    <row r="35" spans="1:8" x14ac:dyDescent="0.35">
      <c r="A35" s="21"/>
      <c r="B35" t="s">
        <v>18</v>
      </c>
      <c r="C35" t="s">
        <v>6</v>
      </c>
      <c r="D35" t="s">
        <v>5080</v>
      </c>
      <c r="F35" s="1">
        <v>46072</v>
      </c>
      <c r="G35" t="str">
        <f>IF(Table3[[#This Row],[Top Parent Account]]="",Table3[[#This Row],[Account Legal Name]],Table3[[#This Row],[Top Parent Account]])</f>
        <v>Graneros Espinoza</v>
      </c>
      <c r="H35" s="1"/>
    </row>
    <row r="36" spans="1:8" x14ac:dyDescent="0.35">
      <c r="A36" s="21"/>
      <c r="B36" t="s">
        <v>23</v>
      </c>
      <c r="C36" t="s">
        <v>6</v>
      </c>
      <c r="D36" t="s">
        <v>4992</v>
      </c>
      <c r="F36" s="1">
        <v>46072</v>
      </c>
      <c r="G36" t="str">
        <f>IF(Table3[[#This Row],[Top Parent Account]]="",Table3[[#This Row],[Account Legal Name]],Table3[[#This Row],[Top Parent Account]])</f>
        <v>Proffinox</v>
      </c>
      <c r="H36" s="1"/>
    </row>
    <row r="37" spans="1:8" x14ac:dyDescent="0.35">
      <c r="A37" s="21"/>
      <c r="B37" t="s">
        <v>70</v>
      </c>
      <c r="C37" t="s">
        <v>6</v>
      </c>
      <c r="D37" t="s">
        <v>493</v>
      </c>
      <c r="E37" t="s">
        <v>356</v>
      </c>
      <c r="F37" s="1">
        <v>46072</v>
      </c>
      <c r="G37" t="str">
        <f>IF(Table3[[#This Row],[Top Parent Account]]="",Table3[[#This Row],[Account Legal Name]],Table3[[#This Row],[Top Parent Account]])</f>
        <v>Grupo Vitalmex</v>
      </c>
      <c r="H37" s="1"/>
    </row>
    <row r="38" spans="1:8" x14ac:dyDescent="0.35">
      <c r="A38" s="21"/>
      <c r="B38" t="s">
        <v>70</v>
      </c>
      <c r="C38" t="s">
        <v>6</v>
      </c>
      <c r="D38" t="s">
        <v>5081</v>
      </c>
      <c r="E38" t="s">
        <v>236</v>
      </c>
      <c r="F38" s="1">
        <v>46072</v>
      </c>
      <c r="G38" t="str">
        <f>IF(Table3[[#This Row],[Top Parent Account]]="",Table3[[#This Row],[Account Legal Name]],Table3[[#This Row],[Top Parent Account]])</f>
        <v>Grupo Smurfit</v>
      </c>
      <c r="H38" s="1"/>
    </row>
    <row r="39" spans="1:8" x14ac:dyDescent="0.35">
      <c r="A39" s="21"/>
      <c r="B39" t="s">
        <v>739</v>
      </c>
      <c r="C39" t="s">
        <v>4993</v>
      </c>
      <c r="D39" t="s">
        <v>368</v>
      </c>
      <c r="F39" s="1">
        <v>46072</v>
      </c>
      <c r="G39" t="str">
        <f>IF(Table3[[#This Row],[Top Parent Account]]="",Table3[[#This Row],[Account Legal Name]],Table3[[#This Row],[Top Parent Account]])</f>
        <v>Centro Médico De Toluca</v>
      </c>
      <c r="H39" s="1"/>
    </row>
    <row r="40" spans="1:8" x14ac:dyDescent="0.35">
      <c r="A40" s="21"/>
      <c r="B40" t="s">
        <v>207</v>
      </c>
      <c r="C40" t="s">
        <v>6</v>
      </c>
      <c r="D40" t="s">
        <v>102</v>
      </c>
      <c r="F40" s="1">
        <v>46072</v>
      </c>
      <c r="G40" t="str">
        <f>IF(Table3[[#This Row],[Top Parent Account]]="",Table3[[#This Row],[Account Legal Name]],Table3[[#This Row],[Top Parent Account]])</f>
        <v>Novaplástica</v>
      </c>
      <c r="H40" s="1"/>
    </row>
    <row r="41" spans="1:8" x14ac:dyDescent="0.35">
      <c r="A41" s="21"/>
      <c r="B41" t="s">
        <v>10</v>
      </c>
      <c r="C41" t="s">
        <v>6</v>
      </c>
      <c r="D41" t="s">
        <v>112</v>
      </c>
      <c r="F41" s="1">
        <v>46072</v>
      </c>
      <c r="G41" t="str">
        <f>IF(Table3[[#This Row],[Top Parent Account]]="",Table3[[#This Row],[Account Legal Name]],Table3[[#This Row],[Top Parent Account]])</f>
        <v>Amco Educación</v>
      </c>
      <c r="H41" s="1"/>
    </row>
    <row r="42" spans="1:8" x14ac:dyDescent="0.35">
      <c r="A42" s="21"/>
      <c r="B42" t="s">
        <v>169</v>
      </c>
      <c r="C42" t="s">
        <v>6</v>
      </c>
      <c r="D42" t="s">
        <v>2315</v>
      </c>
      <c r="F42" s="1">
        <v>46072</v>
      </c>
      <c r="G42" t="str">
        <f>IF(Table3[[#This Row],[Top Parent Account]]="",Table3[[#This Row],[Account Legal Name]],Table3[[#This Row],[Top Parent Account]])</f>
        <v>HANGCHA MEXICO</v>
      </c>
      <c r="H42" s="1"/>
    </row>
    <row r="43" spans="1:8" x14ac:dyDescent="0.35">
      <c r="A43" s="21"/>
      <c r="B43" t="s">
        <v>3114</v>
      </c>
      <c r="C43" t="s">
        <v>52</v>
      </c>
      <c r="D43" t="s">
        <v>5083</v>
      </c>
      <c r="F43" s="1">
        <v>46072</v>
      </c>
      <c r="G43" t="str">
        <f>IF(Table3[[#This Row],[Top Parent Account]]="",Table3[[#This Row],[Account Legal Name]],Table3[[#This Row],[Top Parent Account]])</f>
        <v>PULSO GRAFICO</v>
      </c>
      <c r="H43" s="1"/>
    </row>
    <row r="44" spans="1:8" x14ac:dyDescent="0.35">
      <c r="A44" s="21"/>
      <c r="B44" t="s">
        <v>121</v>
      </c>
      <c r="C44" t="s">
        <v>6</v>
      </c>
      <c r="D44" t="s">
        <v>5084</v>
      </c>
      <c r="F44" s="1">
        <v>46072</v>
      </c>
      <c r="G44" t="str">
        <f>IF(Table3[[#This Row],[Top Parent Account]]="",Table3[[#This Row],[Account Legal Name]],Table3[[#This Row],[Top Parent Account]])</f>
        <v>Soluciones Integrales</v>
      </c>
      <c r="H44" s="1"/>
    </row>
    <row r="45" spans="1:8" x14ac:dyDescent="0.35">
      <c r="A45" s="21"/>
      <c r="B45" t="s">
        <v>28</v>
      </c>
      <c r="C45" t="s">
        <v>6</v>
      </c>
      <c r="D45" t="s">
        <v>5082</v>
      </c>
      <c r="F45" s="1">
        <v>46072</v>
      </c>
      <c r="G45" t="str">
        <f>IF(Table3[[#This Row],[Top Parent Account]]="",Table3[[#This Row],[Account Legal Name]],Table3[[#This Row],[Top Parent Account]])</f>
        <v>Compañia Transportista de America</v>
      </c>
      <c r="H45" s="1"/>
    </row>
    <row r="46" spans="1:8" x14ac:dyDescent="0.35">
      <c r="A46" s="21"/>
      <c r="B46" t="s">
        <v>28</v>
      </c>
      <c r="C46" t="s">
        <v>6</v>
      </c>
      <c r="D46" t="s">
        <v>394</v>
      </c>
      <c r="F46" s="1">
        <v>46072</v>
      </c>
      <c r="G46" t="str">
        <f>IF(Table3[[#This Row],[Top Parent Account]]="",Table3[[#This Row],[Account Legal Name]],Table3[[#This Row],[Top Parent Account]])</f>
        <v>Coda Logistica Y Transportes</v>
      </c>
      <c r="H46" s="1"/>
    </row>
    <row r="47" spans="1:8" x14ac:dyDescent="0.35">
      <c r="A47" s="21"/>
      <c r="B47" t="s">
        <v>88</v>
      </c>
      <c r="C47" t="s">
        <v>6</v>
      </c>
      <c r="D47" t="s">
        <v>4994</v>
      </c>
      <c r="F47" s="1">
        <v>46072</v>
      </c>
      <c r="G47" t="str">
        <f>IF(Table3[[#This Row],[Top Parent Account]]="",Table3[[#This Row],[Account Legal Name]],Table3[[#This Row],[Top Parent Account]])</f>
        <v>AIR3 de Mexico</v>
      </c>
      <c r="H47" s="1"/>
    </row>
    <row r="48" spans="1:8" x14ac:dyDescent="0.35">
      <c r="A48" s="21"/>
      <c r="B48" t="s">
        <v>116</v>
      </c>
      <c r="C48" t="s">
        <v>6</v>
      </c>
      <c r="D48" t="s">
        <v>5055</v>
      </c>
      <c r="F48" s="1">
        <v>46072</v>
      </c>
      <c r="G48" t="str">
        <f>IF(Table3[[#This Row],[Top Parent Account]]="",Table3[[#This Row],[Account Legal Name]],Table3[[#This Row],[Top Parent Account]])</f>
        <v>BOLSAS PLÁSTICAS DE QUERÉTARO S DE RL DE CV</v>
      </c>
      <c r="H48" s="1"/>
    </row>
    <row r="49" spans="1:8" x14ac:dyDescent="0.35">
      <c r="A49" s="21"/>
      <c r="B49" t="s">
        <v>14</v>
      </c>
      <c r="C49" t="s">
        <v>6</v>
      </c>
      <c r="D49" t="s">
        <v>3099</v>
      </c>
      <c r="F49" s="1">
        <v>46072</v>
      </c>
      <c r="G49" t="str">
        <f>IF(Table3[[#This Row],[Top Parent Account]]="",Table3[[#This Row],[Account Legal Name]],Table3[[#This Row],[Top Parent Account]])</f>
        <v>Hidroponica Sustentable</v>
      </c>
      <c r="H49" s="1"/>
    </row>
    <row r="50" spans="1:8" x14ac:dyDescent="0.35">
      <c r="A50" s="21"/>
      <c r="B50" t="s">
        <v>2884</v>
      </c>
      <c r="C50" t="s">
        <v>6</v>
      </c>
      <c r="D50" t="s">
        <v>3227</v>
      </c>
      <c r="F50" s="1">
        <v>46072</v>
      </c>
      <c r="G50" t="str">
        <f>IF(Table3[[#This Row],[Top Parent Account]]="",Table3[[#This Row],[Account Legal Name]],Table3[[#This Row],[Top Parent Account]])</f>
        <v>Phoenix Packaging México</v>
      </c>
      <c r="H50" s="1"/>
    </row>
    <row r="51" spans="1:8" x14ac:dyDescent="0.35">
      <c r="A51" s="21"/>
      <c r="B51" t="s">
        <v>88</v>
      </c>
      <c r="C51" t="s">
        <v>6</v>
      </c>
      <c r="D51" t="s">
        <v>4995</v>
      </c>
      <c r="F51" s="1">
        <v>46072</v>
      </c>
      <c r="G51" t="str">
        <f>IF(Table3[[#This Row],[Top Parent Account]]="",Table3[[#This Row],[Account Legal Name]],Table3[[#This Row],[Top Parent Account]])</f>
        <v>Synergy Biotechnologies</v>
      </c>
      <c r="H51" s="1"/>
    </row>
    <row r="52" spans="1:8" x14ac:dyDescent="0.35">
      <c r="A52" s="21"/>
      <c r="B52" t="s">
        <v>169</v>
      </c>
      <c r="C52" t="s">
        <v>6</v>
      </c>
      <c r="D52" t="s">
        <v>4996</v>
      </c>
      <c r="F52" s="1">
        <v>46072</v>
      </c>
      <c r="G52" t="str">
        <f>IF(Table3[[#This Row],[Top Parent Account]]="",Table3[[#This Row],[Account Legal Name]],Table3[[#This Row],[Top Parent Account]])</f>
        <v>Duramax</v>
      </c>
      <c r="H52" s="1"/>
    </row>
    <row r="53" spans="1:8" x14ac:dyDescent="0.35">
      <c r="A53" s="21"/>
      <c r="B53" t="s">
        <v>38</v>
      </c>
      <c r="C53" t="s">
        <v>6</v>
      </c>
      <c r="D53" t="s">
        <v>5350</v>
      </c>
      <c r="F53" s="1">
        <v>46072</v>
      </c>
      <c r="G53" t="str">
        <f>IF(Table3[[#This Row],[Top Parent Account]]="",Table3[[#This Row],[Account Legal Name]],Table3[[#This Row],[Top Parent Account]])</f>
        <v>Grupo Goga</v>
      </c>
      <c r="H53" s="1"/>
    </row>
    <row r="54" spans="1:8" x14ac:dyDescent="0.35">
      <c r="A54" s="21"/>
      <c r="B54" t="s">
        <v>29</v>
      </c>
      <c r="C54" t="s">
        <v>6</v>
      </c>
      <c r="D54" t="s">
        <v>5052</v>
      </c>
      <c r="F54" s="1">
        <v>46072</v>
      </c>
      <c r="G54" t="str">
        <f>IF(Table3[[#This Row],[Top Parent Account]]="",Table3[[#This Row],[Account Legal Name]],Table3[[#This Row],[Top Parent Account]])</f>
        <v>Ofimla</v>
      </c>
      <c r="H54" s="1"/>
    </row>
    <row r="55" spans="1:8" x14ac:dyDescent="0.35">
      <c r="A55" s="21"/>
      <c r="B55" t="s">
        <v>3628</v>
      </c>
      <c r="C55" t="s">
        <v>6</v>
      </c>
      <c r="D55" t="s">
        <v>3937</v>
      </c>
      <c r="F55" s="1">
        <v>46072</v>
      </c>
      <c r="G55" t="str">
        <f>IF(Table3[[#This Row],[Top Parent Account]]="",Table3[[#This Row],[Account Legal Name]],Table3[[#This Row],[Top Parent Account]])</f>
        <v>Industria Sigrama</v>
      </c>
      <c r="H55" s="1"/>
    </row>
    <row r="56" spans="1:8" x14ac:dyDescent="0.35">
      <c r="A56" s="21"/>
      <c r="B56" t="s">
        <v>3628</v>
      </c>
      <c r="C56" t="s">
        <v>6</v>
      </c>
      <c r="D56" t="s">
        <v>5085</v>
      </c>
      <c r="F56" s="1">
        <v>46072</v>
      </c>
      <c r="G56" t="str">
        <f>IF(Table3[[#This Row],[Top Parent Account]]="",Table3[[#This Row],[Account Legal Name]],Table3[[#This Row],[Top Parent Account]])</f>
        <v>Equipos Inoxidables Del Norte</v>
      </c>
      <c r="H56" s="1"/>
    </row>
    <row r="57" spans="1:8" x14ac:dyDescent="0.35">
      <c r="A57" s="21"/>
      <c r="B57" t="s">
        <v>3093</v>
      </c>
      <c r="C57" t="s">
        <v>5351</v>
      </c>
      <c r="D57" t="s">
        <v>4997</v>
      </c>
      <c r="F57" s="1">
        <v>46072</v>
      </c>
      <c r="G57" t="str">
        <f>IF(Table3[[#This Row],[Top Parent Account]]="",Table3[[#This Row],[Account Legal Name]],Table3[[#This Row],[Top Parent Account]])</f>
        <v>Grupo Cetto</v>
      </c>
      <c r="H57" s="1"/>
    </row>
    <row r="58" spans="1:8" x14ac:dyDescent="0.35">
      <c r="A58" s="21"/>
      <c r="B58" t="s">
        <v>3114</v>
      </c>
      <c r="C58" t="s">
        <v>22</v>
      </c>
      <c r="D58" t="s">
        <v>196</v>
      </c>
      <c r="F58" s="1">
        <v>46072</v>
      </c>
      <c r="G58" t="str">
        <f>IF(Table3[[#This Row],[Top Parent Account]]="",Table3[[#This Row],[Account Legal Name]],Table3[[#This Row],[Top Parent Account]])</f>
        <v>Inyector</v>
      </c>
      <c r="H58" s="1"/>
    </row>
    <row r="59" spans="1:8" x14ac:dyDescent="0.35">
      <c r="A59" s="21"/>
      <c r="B59" t="s">
        <v>3114</v>
      </c>
      <c r="C59" t="s">
        <v>22</v>
      </c>
      <c r="D59" t="s">
        <v>3989</v>
      </c>
      <c r="F59" s="1">
        <v>46072</v>
      </c>
      <c r="G59" t="str">
        <f>IF(Table3[[#This Row],[Top Parent Account]]="",Table3[[#This Row],[Account Legal Name]],Table3[[#This Row],[Top Parent Account]])</f>
        <v>Artigraf</v>
      </c>
      <c r="H59" s="1"/>
    </row>
    <row r="60" spans="1:8" x14ac:dyDescent="0.35">
      <c r="A60" s="21"/>
      <c r="B60" t="s">
        <v>169</v>
      </c>
      <c r="C60" t="s">
        <v>6</v>
      </c>
      <c r="D60" t="s">
        <v>987</v>
      </c>
      <c r="F60" s="1">
        <v>46072</v>
      </c>
      <c r="G60" t="str">
        <f>IF(Table3[[#This Row],[Top Parent Account]]="",Table3[[#This Row],[Account Legal Name]],Table3[[#This Row],[Top Parent Account]])</f>
        <v>Elaboradora De Alimentos Pachuca</v>
      </c>
      <c r="H60" s="1"/>
    </row>
    <row r="61" spans="1:8" x14ac:dyDescent="0.35">
      <c r="A61" s="21"/>
      <c r="B61" t="s">
        <v>14</v>
      </c>
      <c r="C61" t="s">
        <v>6</v>
      </c>
      <c r="D61" t="s">
        <v>5007</v>
      </c>
      <c r="F61" s="1">
        <v>46072</v>
      </c>
      <c r="G61" t="str">
        <f>IF(Table3[[#This Row],[Top Parent Account]]="",Table3[[#This Row],[Account Legal Name]],Table3[[#This Row],[Top Parent Account]])</f>
        <v>SH Lunch</v>
      </c>
      <c r="H61" s="1"/>
    </row>
    <row r="62" spans="1:8" x14ac:dyDescent="0.35">
      <c r="A62" s="21"/>
      <c r="B62" t="s">
        <v>26</v>
      </c>
      <c r="C62" t="s">
        <v>6</v>
      </c>
      <c r="D62" t="s">
        <v>5058</v>
      </c>
      <c r="F62" s="1">
        <v>46072</v>
      </c>
      <c r="G62" t="str">
        <f>IF(Table3[[#This Row],[Top Parent Account]]="",Table3[[#This Row],[Account Legal Name]],Table3[[#This Row],[Top Parent Account]])</f>
        <v>Impulsora De Desarrollo Integral</v>
      </c>
      <c r="H62" s="1"/>
    </row>
    <row r="63" spans="1:8" x14ac:dyDescent="0.35">
      <c r="A63" s="21"/>
      <c r="B63" t="s">
        <v>172</v>
      </c>
      <c r="C63" t="s">
        <v>6</v>
      </c>
      <c r="D63" t="s">
        <v>113</v>
      </c>
      <c r="F63" s="1">
        <v>46072</v>
      </c>
      <c r="G63" t="str">
        <f>IF(Table3[[#This Row],[Top Parent Account]]="",Table3[[#This Row],[Account Legal Name]],Table3[[#This Row],[Top Parent Account]])</f>
        <v>Setramex</v>
      </c>
      <c r="H63" s="1"/>
    </row>
    <row r="64" spans="1:8" x14ac:dyDescent="0.35">
      <c r="A64" s="21"/>
      <c r="B64" t="s">
        <v>38</v>
      </c>
      <c r="C64" t="s">
        <v>6</v>
      </c>
      <c r="D64" t="s">
        <v>5352</v>
      </c>
      <c r="F64" s="1">
        <v>46072</v>
      </c>
      <c r="G64" t="str">
        <f>IF(Table3[[#This Row],[Top Parent Account]]="",Table3[[#This Row],[Account Legal Name]],Table3[[#This Row],[Top Parent Account]])</f>
        <v>Grupo Gráfico San Juan</v>
      </c>
      <c r="H64" s="1"/>
    </row>
    <row r="65" spans="1:8" x14ac:dyDescent="0.35">
      <c r="A65" s="21"/>
      <c r="B65" t="s">
        <v>29</v>
      </c>
      <c r="C65" t="s">
        <v>6</v>
      </c>
      <c r="D65" t="s">
        <v>1337</v>
      </c>
      <c r="F65" s="1">
        <v>46072</v>
      </c>
      <c r="G65" t="str">
        <f>IF(Table3[[#This Row],[Top Parent Account]]="",Table3[[#This Row],[Account Legal Name]],Table3[[#This Row],[Top Parent Account]])</f>
        <v>Empaques y Envolturas</v>
      </c>
      <c r="H65" s="1"/>
    </row>
    <row r="66" spans="1:8" x14ac:dyDescent="0.35">
      <c r="A66" s="21"/>
      <c r="B66" t="s">
        <v>70</v>
      </c>
      <c r="C66" t="s">
        <v>6</v>
      </c>
      <c r="D66" t="s">
        <v>1992</v>
      </c>
      <c r="F66" s="1">
        <v>46072</v>
      </c>
      <c r="G66" t="str">
        <f>IF(Table3[[#This Row],[Top Parent Account]]="",Table3[[#This Row],[Account Legal Name]],Table3[[#This Row],[Top Parent Account]])</f>
        <v>Operadora Juventud</v>
      </c>
      <c r="H66" s="1"/>
    </row>
    <row r="67" spans="1:8" x14ac:dyDescent="0.35">
      <c r="A67" s="21"/>
      <c r="B67" t="s">
        <v>37</v>
      </c>
      <c r="C67" t="s">
        <v>6</v>
      </c>
      <c r="D67" t="s">
        <v>4998</v>
      </c>
      <c r="F67" s="1">
        <v>46072</v>
      </c>
      <c r="G67" t="str">
        <f>IF(Table3[[#This Row],[Top Parent Account]]="",Table3[[#This Row],[Account Legal Name]],Table3[[#This Row],[Top Parent Account]])</f>
        <v>Bajacim Transportacion</v>
      </c>
      <c r="H67" s="1"/>
    </row>
    <row r="68" spans="1:8" x14ac:dyDescent="0.35">
      <c r="A68" s="21"/>
      <c r="B68" t="s">
        <v>172</v>
      </c>
      <c r="C68" t="s">
        <v>6</v>
      </c>
      <c r="D68" t="s">
        <v>2376</v>
      </c>
      <c r="F68" s="1">
        <v>46072</v>
      </c>
      <c r="G68" t="str">
        <f>IF(Table3[[#This Row],[Top Parent Account]]="",Table3[[#This Row],[Account Legal Name]],Table3[[#This Row],[Top Parent Account]])</f>
        <v>Agroquimicos Versa</v>
      </c>
      <c r="H68" s="1"/>
    </row>
    <row r="69" spans="1:8" x14ac:dyDescent="0.35">
      <c r="A69" s="21"/>
      <c r="B69" t="s">
        <v>2658</v>
      </c>
      <c r="C69" t="s">
        <v>6</v>
      </c>
      <c r="D69" t="s">
        <v>5086</v>
      </c>
      <c r="F69" s="1">
        <v>46072</v>
      </c>
      <c r="G69" t="str">
        <f>IF(Table3[[#This Row],[Top Parent Account]]="",Table3[[#This Row],[Account Legal Name]],Table3[[#This Row],[Top Parent Account]])</f>
        <v>METALES Y DERIVADOS DEL NORTE</v>
      </c>
      <c r="H69" s="1"/>
    </row>
    <row r="70" spans="1:8" x14ac:dyDescent="0.35">
      <c r="A70" s="21"/>
      <c r="B70" t="s">
        <v>39</v>
      </c>
      <c r="C70" t="s">
        <v>4999</v>
      </c>
      <c r="D70" t="s">
        <v>5000</v>
      </c>
      <c r="F70" s="1">
        <v>46072</v>
      </c>
      <c r="G70" t="str">
        <f>IF(Table3[[#This Row],[Top Parent Account]]="",Table3[[#This Row],[Account Legal Name]],Table3[[#This Row],[Top Parent Account]])</f>
        <v>CY Alimentos</v>
      </c>
      <c r="H70" s="1"/>
    </row>
    <row r="71" spans="1:8" x14ac:dyDescent="0.35">
      <c r="A71" s="21"/>
      <c r="B71" t="s">
        <v>3093</v>
      </c>
      <c r="C71" t="s">
        <v>6</v>
      </c>
      <c r="D71" t="s">
        <v>399</v>
      </c>
      <c r="F71" s="1">
        <v>46072</v>
      </c>
      <c r="G71" t="str">
        <f>IF(Table3[[#This Row],[Top Parent Account]]="",Table3[[#This Row],[Account Legal Name]],Table3[[#This Row],[Top Parent Account]])</f>
        <v>Grupo Corporativo Papelera</v>
      </c>
      <c r="H71" s="1"/>
    </row>
    <row r="72" spans="1:8" x14ac:dyDescent="0.35">
      <c r="A72" s="21"/>
      <c r="B72" t="s">
        <v>10</v>
      </c>
      <c r="C72" t="s">
        <v>6</v>
      </c>
      <c r="D72" t="s">
        <v>912</v>
      </c>
      <c r="E72" t="s">
        <v>3554</v>
      </c>
      <c r="F72" s="1">
        <v>46072</v>
      </c>
      <c r="G72" t="str">
        <f>IF(Table3[[#This Row],[Top Parent Account]]="",Table3[[#This Row],[Account Legal Name]],Table3[[#This Row],[Top Parent Account]])</f>
        <v>Sesajal</v>
      </c>
      <c r="H72" s="1"/>
    </row>
    <row r="73" spans="1:8" x14ac:dyDescent="0.35">
      <c r="A73" s="21"/>
      <c r="B73" t="s">
        <v>12</v>
      </c>
      <c r="C73" t="s">
        <v>6</v>
      </c>
      <c r="D73" t="s">
        <v>301</v>
      </c>
      <c r="F73" s="1">
        <v>46072</v>
      </c>
      <c r="G73" t="str">
        <f>IF(Table3[[#This Row],[Top Parent Account]]="",Table3[[#This Row],[Account Legal Name]],Table3[[#This Row],[Top Parent Account]])</f>
        <v>Forrajes y Granos Agropecuarios De yucatán</v>
      </c>
      <c r="H73" s="1"/>
    </row>
    <row r="74" spans="1:8" x14ac:dyDescent="0.35">
      <c r="A74" s="21"/>
      <c r="B74" t="s">
        <v>3182</v>
      </c>
      <c r="C74" t="s">
        <v>6</v>
      </c>
      <c r="D74" t="s">
        <v>480</v>
      </c>
      <c r="F74" s="1">
        <v>46072</v>
      </c>
      <c r="G74" t="str">
        <f>IF(Table3[[#This Row],[Top Parent Account]]="",Table3[[#This Row],[Account Legal Name]],Table3[[#This Row],[Top Parent Account]])</f>
        <v>Minera Media Luna</v>
      </c>
      <c r="H74" s="1"/>
    </row>
    <row r="75" spans="1:8" x14ac:dyDescent="0.35">
      <c r="A75" s="21"/>
      <c r="B75" t="s">
        <v>739</v>
      </c>
      <c r="C75" t="s">
        <v>4687</v>
      </c>
      <c r="D75" t="s">
        <v>5087</v>
      </c>
      <c r="F75" s="1">
        <v>46072</v>
      </c>
      <c r="G75" t="str">
        <f>IF(Table3[[#This Row],[Top Parent Account]]="",Table3[[#This Row],[Account Legal Name]],Table3[[#This Row],[Top Parent Account]])</f>
        <v>Essencefleur de México</v>
      </c>
      <c r="H75" s="1"/>
    </row>
    <row r="76" spans="1:8" x14ac:dyDescent="0.35">
      <c r="A76" s="21"/>
      <c r="B76" t="s">
        <v>12</v>
      </c>
      <c r="C76" t="s">
        <v>6</v>
      </c>
      <c r="D76" t="s">
        <v>197</v>
      </c>
      <c r="F76" s="1">
        <v>46071</v>
      </c>
      <c r="G76" t="str">
        <f>IF(Table3[[#This Row],[Top Parent Account]]="",Table3[[#This Row],[Account Legal Name]],Table3[[#This Row],[Top Parent Account]])</f>
        <v>Operadora Exe</v>
      </c>
      <c r="H76" s="1"/>
    </row>
    <row r="77" spans="1:8" x14ac:dyDescent="0.35">
      <c r="A77" s="21"/>
      <c r="B77" t="s">
        <v>12</v>
      </c>
      <c r="C77" t="s">
        <v>6</v>
      </c>
      <c r="D77" t="s">
        <v>5063</v>
      </c>
      <c r="F77" s="1">
        <v>46071</v>
      </c>
      <c r="G77" t="str">
        <f>IF(Table3[[#This Row],[Top Parent Account]]="",Table3[[#This Row],[Account Legal Name]],Table3[[#This Row],[Top Parent Account]])</f>
        <v>Inco Peninsular</v>
      </c>
      <c r="H77" s="1"/>
    </row>
    <row r="78" spans="1:8" x14ac:dyDescent="0.35">
      <c r="A78" s="21"/>
      <c r="B78" t="s">
        <v>12</v>
      </c>
      <c r="C78" t="s">
        <v>6</v>
      </c>
      <c r="D78" t="s">
        <v>557</v>
      </c>
      <c r="F78" s="1">
        <v>46071</v>
      </c>
      <c r="G78" t="str">
        <f>IF(Table3[[#This Row],[Top Parent Account]]="",Table3[[#This Row],[Account Legal Name]],Table3[[#This Row],[Top Parent Account]])</f>
        <v>Celulares y Accesorios del Sureste S.A.</v>
      </c>
      <c r="H78" s="1"/>
    </row>
    <row r="79" spans="1:8" x14ac:dyDescent="0.35">
      <c r="A79" s="21"/>
      <c r="B79" t="s">
        <v>3114</v>
      </c>
      <c r="C79" t="s">
        <v>6</v>
      </c>
      <c r="D79" t="s">
        <v>991</v>
      </c>
      <c r="F79" s="1">
        <v>46071</v>
      </c>
      <c r="G79" t="str">
        <f>IF(Table3[[#This Row],[Top Parent Account]]="",Table3[[#This Row],[Account Legal Name]],Table3[[#This Row],[Top Parent Account]])</f>
        <v>Reciclados Plásticos Alvarado</v>
      </c>
      <c r="H79" s="1"/>
    </row>
    <row r="80" spans="1:8" x14ac:dyDescent="0.35">
      <c r="A80" s="21"/>
      <c r="B80" t="s">
        <v>24</v>
      </c>
      <c r="C80" t="s">
        <v>6</v>
      </c>
      <c r="D80" t="s">
        <v>5088</v>
      </c>
      <c r="F80" s="1">
        <v>46071</v>
      </c>
      <c r="G80" t="str">
        <f>IF(Table3[[#This Row],[Top Parent Account]]="",Table3[[#This Row],[Account Legal Name]],Table3[[#This Row],[Top Parent Account]])</f>
        <v>Empacadora Dilusa De Aguascalientes</v>
      </c>
      <c r="H80" s="1"/>
    </row>
    <row r="81" spans="1:8" x14ac:dyDescent="0.35">
      <c r="A81" s="21"/>
      <c r="B81" t="s">
        <v>116</v>
      </c>
      <c r="C81" t="s">
        <v>6</v>
      </c>
      <c r="D81" t="s">
        <v>5003</v>
      </c>
      <c r="F81" s="1">
        <v>46071</v>
      </c>
      <c r="G81" t="str">
        <f>IF(Table3[[#This Row],[Top Parent Account]]="",Table3[[#This Row],[Account Legal Name]],Table3[[#This Row],[Top Parent Account]])</f>
        <v>Tecnostamp Triulzi México</v>
      </c>
      <c r="H81" s="1"/>
    </row>
    <row r="82" spans="1:8" x14ac:dyDescent="0.35">
      <c r="A82" s="21"/>
      <c r="B82" t="s">
        <v>23</v>
      </c>
      <c r="C82" t="s">
        <v>6</v>
      </c>
      <c r="D82" t="s">
        <v>347</v>
      </c>
      <c r="F82" s="1">
        <v>46071</v>
      </c>
      <c r="G82" t="str">
        <f>IF(Table3[[#This Row],[Top Parent Account]]="",Table3[[#This Row],[Account Legal Name]],Table3[[#This Row],[Top Parent Account]])</f>
        <v>Manufacturas y Aleaciones de Cobre</v>
      </c>
      <c r="H82" s="1"/>
    </row>
    <row r="83" spans="1:8" x14ac:dyDescent="0.35">
      <c r="A83" s="21"/>
      <c r="B83" t="s">
        <v>37</v>
      </c>
      <c r="C83" t="s">
        <v>6</v>
      </c>
      <c r="D83" t="s">
        <v>5001</v>
      </c>
      <c r="F83" s="1">
        <v>46071</v>
      </c>
      <c r="G83" t="str">
        <f>IF(Table3[[#This Row],[Top Parent Account]]="",Table3[[#This Row],[Account Legal Name]],Table3[[#This Row],[Top Parent Account]])</f>
        <v>Rancho Caloca</v>
      </c>
      <c r="H83" s="1"/>
    </row>
    <row r="84" spans="1:8" x14ac:dyDescent="0.35">
      <c r="A84" s="21"/>
      <c r="B84" t="s">
        <v>208</v>
      </c>
      <c r="C84" t="s">
        <v>6</v>
      </c>
      <c r="D84" t="s">
        <v>5002</v>
      </c>
      <c r="F84" s="1">
        <v>46071</v>
      </c>
      <c r="G84" t="str">
        <f>IF(Table3[[#This Row],[Top Parent Account]]="",Table3[[#This Row],[Account Legal Name]],Table3[[#This Row],[Top Parent Account]])</f>
        <v>REFACCIONES MERETI</v>
      </c>
      <c r="H84" s="1"/>
    </row>
    <row r="85" spans="1:8" x14ac:dyDescent="0.35">
      <c r="A85" s="21"/>
      <c r="B85" t="s">
        <v>77</v>
      </c>
      <c r="C85" t="s">
        <v>6</v>
      </c>
      <c r="D85" t="s">
        <v>4851</v>
      </c>
      <c r="F85" s="1">
        <v>46071</v>
      </c>
      <c r="G85" t="str">
        <f>IF(Table3[[#This Row],[Top Parent Account]]="",Table3[[#This Row],[Account Legal Name]],Table3[[#This Row],[Top Parent Account]])</f>
        <v>Maquinas Fer</v>
      </c>
      <c r="H85" s="1"/>
    </row>
    <row r="86" spans="1:8" x14ac:dyDescent="0.35">
      <c r="A86" s="21"/>
      <c r="B86" t="s">
        <v>172</v>
      </c>
      <c r="C86" t="s">
        <v>6</v>
      </c>
      <c r="D86" t="s">
        <v>5066</v>
      </c>
      <c r="F86" s="1">
        <v>46071</v>
      </c>
      <c r="G86" t="str">
        <f>IF(Table3[[#This Row],[Top Parent Account]]="",Table3[[#This Row],[Account Legal Name]],Table3[[#This Row],[Top Parent Account]])</f>
        <v>Kirbymex</v>
      </c>
      <c r="H86" s="1"/>
    </row>
    <row r="87" spans="1:8" x14ac:dyDescent="0.35">
      <c r="A87" s="21"/>
      <c r="B87" t="s">
        <v>32</v>
      </c>
      <c r="C87" t="s">
        <v>6</v>
      </c>
      <c r="D87" t="s">
        <v>953</v>
      </c>
      <c r="F87" s="1">
        <v>46071</v>
      </c>
      <c r="G87" t="str">
        <f>IF(Table3[[#This Row],[Top Parent Account]]="",Table3[[#This Row],[Account Legal Name]],Table3[[#This Row],[Top Parent Account]])</f>
        <v>Kensa Logistics México</v>
      </c>
      <c r="H87" s="1"/>
    </row>
    <row r="88" spans="1:8" x14ac:dyDescent="0.35">
      <c r="A88" s="21"/>
      <c r="B88" t="s">
        <v>37</v>
      </c>
      <c r="C88" t="s">
        <v>6</v>
      </c>
      <c r="D88" t="s">
        <v>1629</v>
      </c>
      <c r="E88" t="s">
        <v>1628</v>
      </c>
      <c r="F88" s="1">
        <v>46071</v>
      </c>
      <c r="G88" t="str">
        <f>IF(Table3[[#This Row],[Top Parent Account]]="",Table3[[#This Row],[Account Legal Name]],Table3[[#This Row],[Top Parent Account]])</f>
        <v>Maquinaria de Elevacion</v>
      </c>
      <c r="H88" s="1"/>
    </row>
    <row r="89" spans="1:8" x14ac:dyDescent="0.35">
      <c r="A89" s="21"/>
      <c r="B89" t="s">
        <v>18</v>
      </c>
      <c r="C89" t="s">
        <v>6</v>
      </c>
      <c r="D89" t="s">
        <v>5005</v>
      </c>
      <c r="F89" s="1">
        <v>46071</v>
      </c>
      <c r="G89" t="str">
        <f>IF(Table3[[#This Row],[Top Parent Account]]="",Table3[[#This Row],[Account Legal Name]],Table3[[#This Row],[Top Parent Account]])</f>
        <v>CFMOTO MEXICO</v>
      </c>
      <c r="H89" s="1"/>
    </row>
    <row r="90" spans="1:8" x14ac:dyDescent="0.35">
      <c r="A90" s="21"/>
      <c r="B90" t="s">
        <v>39</v>
      </c>
      <c r="C90" t="s">
        <v>57</v>
      </c>
      <c r="D90" t="s">
        <v>5004</v>
      </c>
      <c r="F90" s="1">
        <v>46071</v>
      </c>
      <c r="G90" t="str">
        <f>IF(Table3[[#This Row],[Top Parent Account]]="",Table3[[#This Row],[Account Legal Name]],Table3[[#This Row],[Top Parent Account]])</f>
        <v>Zobele México</v>
      </c>
      <c r="H90" s="1"/>
    </row>
    <row r="91" spans="1:8" x14ac:dyDescent="0.35">
      <c r="A91" s="21"/>
      <c r="B91" t="s">
        <v>932</v>
      </c>
      <c r="C91" t="s">
        <v>6</v>
      </c>
      <c r="D91" t="s">
        <v>2231</v>
      </c>
      <c r="F91" s="1">
        <v>46071</v>
      </c>
      <c r="G91" t="str">
        <f>IF(Table3[[#This Row],[Top Parent Account]]="",Table3[[#This Row],[Account Legal Name]],Table3[[#This Row],[Top Parent Account]])</f>
        <v>TRINITA GRUPO HOSPITALARIO</v>
      </c>
      <c r="H91" s="1"/>
    </row>
    <row r="92" spans="1:8" x14ac:dyDescent="0.35">
      <c r="A92" s="21"/>
      <c r="B92" t="s">
        <v>3114</v>
      </c>
      <c r="C92" t="s">
        <v>22</v>
      </c>
      <c r="D92" t="s">
        <v>2987</v>
      </c>
      <c r="F92" s="1">
        <v>46071</v>
      </c>
      <c r="G92" t="str">
        <f>IF(Table3[[#This Row],[Top Parent Account]]="",Table3[[#This Row],[Account Legal Name]],Table3[[#This Row],[Top Parent Account]])</f>
        <v>Metales y Equipos Mecanicos Regios</v>
      </c>
      <c r="H92" s="1"/>
    </row>
    <row r="93" spans="1:8" x14ac:dyDescent="0.35">
      <c r="A93" s="21"/>
      <c r="B93" t="s">
        <v>3114</v>
      </c>
      <c r="C93" t="s">
        <v>52</v>
      </c>
      <c r="D93" t="s">
        <v>458</v>
      </c>
      <c r="F93" s="1">
        <v>46071</v>
      </c>
      <c r="G93" t="str">
        <f>IF(Table3[[#This Row],[Top Parent Account]]="",Table3[[#This Row],[Account Legal Name]],Table3[[#This Row],[Top Parent Account]])</f>
        <v>Plastirey</v>
      </c>
      <c r="H93" s="1"/>
    </row>
    <row r="94" spans="1:8" x14ac:dyDescent="0.35">
      <c r="A94" s="21"/>
      <c r="B94" t="s">
        <v>280</v>
      </c>
      <c r="C94" t="s">
        <v>6</v>
      </c>
      <c r="D94" t="s">
        <v>5089</v>
      </c>
      <c r="F94" s="1">
        <v>46071</v>
      </c>
      <c r="G94" t="str">
        <f>IF(Table3[[#This Row],[Top Parent Account]]="",Table3[[#This Row],[Account Legal Name]],Table3[[#This Row],[Top Parent Account]])</f>
        <v>Auto Express Toscano</v>
      </c>
      <c r="H94" s="1"/>
    </row>
    <row r="95" spans="1:8" x14ac:dyDescent="0.35">
      <c r="A95" s="21"/>
      <c r="B95" t="s">
        <v>24</v>
      </c>
      <c r="C95" t="s">
        <v>6</v>
      </c>
      <c r="D95" t="s">
        <v>5090</v>
      </c>
      <c r="F95" s="1">
        <v>46071</v>
      </c>
      <c r="G95" t="str">
        <f>IF(Table3[[#This Row],[Top Parent Account]]="",Table3[[#This Row],[Account Legal Name]],Table3[[#This Row],[Top Parent Account]])</f>
        <v>Agroindustrias Quesada</v>
      </c>
      <c r="H95" s="1"/>
    </row>
    <row r="96" spans="1:8" x14ac:dyDescent="0.35">
      <c r="A96" s="21"/>
      <c r="B96" t="s">
        <v>23</v>
      </c>
      <c r="C96" t="s">
        <v>6</v>
      </c>
      <c r="D96" t="s">
        <v>5049</v>
      </c>
      <c r="F96" s="1">
        <v>46071</v>
      </c>
      <c r="G96" t="str">
        <f>IF(Table3[[#This Row],[Top Parent Account]]="",Table3[[#This Row],[Account Legal Name]],Table3[[#This Row],[Top Parent Account]])</f>
        <v>DC CONCRETOS</v>
      </c>
      <c r="H96" s="1"/>
    </row>
    <row r="97" spans="1:8" x14ac:dyDescent="0.35">
      <c r="A97" s="21"/>
      <c r="B97" t="s">
        <v>14</v>
      </c>
      <c r="C97" t="s">
        <v>6</v>
      </c>
      <c r="D97" t="s">
        <v>5091</v>
      </c>
      <c r="F97" s="1">
        <v>46071</v>
      </c>
      <c r="G97" t="str">
        <f>IF(Table3[[#This Row],[Top Parent Account]]="",Table3[[#This Row],[Account Legal Name]],Table3[[#This Row],[Top Parent Account]])</f>
        <v>Compresores Maqpower</v>
      </c>
      <c r="H97" s="1"/>
    </row>
    <row r="98" spans="1:8" x14ac:dyDescent="0.35">
      <c r="A98" s="21"/>
      <c r="B98" t="s">
        <v>43</v>
      </c>
      <c r="C98" t="s">
        <v>22</v>
      </c>
      <c r="D98" t="s">
        <v>5078</v>
      </c>
      <c r="F98" s="1">
        <v>46071</v>
      </c>
      <c r="G98" t="str">
        <f>IF(Table3[[#This Row],[Top Parent Account]]="",Table3[[#This Row],[Account Legal Name]],Table3[[#This Row],[Top Parent Account]])</f>
        <v>Lucta Mexicana</v>
      </c>
      <c r="H98" s="1"/>
    </row>
    <row r="99" spans="1:8" x14ac:dyDescent="0.35">
      <c r="A99" s="21"/>
      <c r="B99" t="s">
        <v>28</v>
      </c>
      <c r="C99" t="s">
        <v>6</v>
      </c>
      <c r="D99" t="s">
        <v>4489</v>
      </c>
      <c r="F99" s="1">
        <v>46071</v>
      </c>
      <c r="G99" t="str">
        <f>IF(Table3[[#This Row],[Top Parent Account]]="",Table3[[#This Row],[Account Legal Name]],Table3[[#This Row],[Top Parent Account]])</f>
        <v>Maquinaria Magnum</v>
      </c>
      <c r="H99" s="1"/>
    </row>
    <row r="100" spans="1:8" x14ac:dyDescent="0.35">
      <c r="A100" s="21"/>
      <c r="B100" t="s">
        <v>43</v>
      </c>
      <c r="C100" t="s">
        <v>6</v>
      </c>
      <c r="D100" t="s">
        <v>1119</v>
      </c>
      <c r="F100" s="1">
        <v>46071</v>
      </c>
      <c r="G100" t="str">
        <f>IF(Table3[[#This Row],[Top Parent Account]]="",Table3[[#This Row],[Account Legal Name]],Table3[[#This Row],[Top Parent Account]])</f>
        <v>FGR Ingeniería y Montajes del Centro</v>
      </c>
      <c r="H100" s="1"/>
    </row>
    <row r="101" spans="1:8" x14ac:dyDescent="0.35">
      <c r="A101" s="21"/>
      <c r="B101" t="s">
        <v>116</v>
      </c>
      <c r="C101" t="s">
        <v>6</v>
      </c>
      <c r="D101" t="s">
        <v>536</v>
      </c>
      <c r="F101" s="1">
        <v>46071</v>
      </c>
      <c r="G101" t="str">
        <f>IF(Table3[[#This Row],[Top Parent Account]]="",Table3[[#This Row],[Account Legal Name]],Table3[[#This Row],[Top Parent Account]])</f>
        <v>Inox Market Messico</v>
      </c>
      <c r="H101" s="1"/>
    </row>
    <row r="102" spans="1:8" x14ac:dyDescent="0.35">
      <c r="A102" s="21"/>
      <c r="B102" t="s">
        <v>1899</v>
      </c>
      <c r="C102" t="s">
        <v>6</v>
      </c>
      <c r="D102" t="s">
        <v>4781</v>
      </c>
      <c r="F102" s="1">
        <v>46071</v>
      </c>
      <c r="G102" t="str">
        <f>IF(Table3[[#This Row],[Top Parent Account]]="",Table3[[#This Row],[Account Legal Name]],Table3[[#This Row],[Top Parent Account]])</f>
        <v>AUTOTRANSPORTES GAMI</v>
      </c>
      <c r="H102" s="1"/>
    </row>
    <row r="103" spans="1:8" x14ac:dyDescent="0.35">
      <c r="A103" s="21"/>
      <c r="B103" t="s">
        <v>280</v>
      </c>
      <c r="C103" t="s">
        <v>6</v>
      </c>
      <c r="D103" t="s">
        <v>5092</v>
      </c>
      <c r="F103" s="1">
        <v>46071</v>
      </c>
      <c r="G103" t="str">
        <f>IF(Table3[[#This Row],[Top Parent Account]]="",Table3[[#This Row],[Account Legal Name]],Table3[[#This Row],[Top Parent Account]])</f>
        <v>Tracto Express Sánchez</v>
      </c>
      <c r="H103" s="1"/>
    </row>
    <row r="104" spans="1:8" x14ac:dyDescent="0.35">
      <c r="A104" s="21"/>
      <c r="B104" t="s">
        <v>3182</v>
      </c>
      <c r="C104" t="s">
        <v>22</v>
      </c>
      <c r="D104" t="s">
        <v>427</v>
      </c>
      <c r="E104" t="s">
        <v>63</v>
      </c>
      <c r="F104" s="1">
        <v>46071</v>
      </c>
      <c r="G104" t="str">
        <f>IF(Table3[[#This Row],[Top Parent Account]]="",Table3[[#This Row],[Account Legal Name]],Table3[[#This Row],[Top Parent Account]])</f>
        <v>General Electric México</v>
      </c>
      <c r="H104" s="1"/>
    </row>
    <row r="105" spans="1:8" x14ac:dyDescent="0.35">
      <c r="A105" s="21"/>
      <c r="B105" t="s">
        <v>932</v>
      </c>
      <c r="C105" t="s">
        <v>6</v>
      </c>
      <c r="D105" t="s">
        <v>5006</v>
      </c>
      <c r="E105" t="s">
        <v>2971</v>
      </c>
      <c r="F105" s="1">
        <v>46071</v>
      </c>
      <c r="G105" t="str">
        <f>IF(Table3[[#This Row],[Top Parent Account]]="",Table3[[#This Row],[Account Legal Name]],Table3[[#This Row],[Top Parent Account]])</f>
        <v>Industrias Cuamex</v>
      </c>
      <c r="H105" s="1"/>
    </row>
    <row r="106" spans="1:8" x14ac:dyDescent="0.35">
      <c r="A106" s="21"/>
      <c r="B106" t="s">
        <v>925</v>
      </c>
      <c r="C106" t="s">
        <v>6</v>
      </c>
      <c r="D106" t="s">
        <v>2957</v>
      </c>
      <c r="F106" s="1">
        <v>46071</v>
      </c>
      <c r="G106" t="str">
        <f>IF(Table3[[#This Row],[Top Parent Account]]="",Table3[[#This Row],[Account Legal Name]],Table3[[#This Row],[Top Parent Account]])</f>
        <v>Somaki de México</v>
      </c>
      <c r="H106" s="1"/>
    </row>
    <row r="107" spans="1:8" x14ac:dyDescent="0.35">
      <c r="A107" s="21"/>
      <c r="B107" t="s">
        <v>14</v>
      </c>
      <c r="C107" t="s">
        <v>6</v>
      </c>
      <c r="D107" t="s">
        <v>5007</v>
      </c>
      <c r="F107" s="1">
        <v>46071</v>
      </c>
      <c r="G107" t="str">
        <f>IF(Table3[[#This Row],[Top Parent Account]]="",Table3[[#This Row],[Account Legal Name]],Table3[[#This Row],[Top Parent Account]])</f>
        <v>SH Lunch</v>
      </c>
      <c r="H107" s="1"/>
    </row>
    <row r="108" spans="1:8" x14ac:dyDescent="0.35">
      <c r="A108" s="21"/>
      <c r="B108" t="s">
        <v>23</v>
      </c>
      <c r="C108" t="s">
        <v>6</v>
      </c>
      <c r="D108" t="s">
        <v>3113</v>
      </c>
      <c r="F108" s="1">
        <v>46071</v>
      </c>
      <c r="G108" t="str">
        <f>IF(Table3[[#This Row],[Top Parent Account]]="",Table3[[#This Row],[Account Legal Name]],Table3[[#This Row],[Top Parent Account]])</f>
        <v>Metrocolor de Mexico</v>
      </c>
      <c r="H108" s="1"/>
    </row>
    <row r="109" spans="1:8" x14ac:dyDescent="0.35">
      <c r="A109" s="21"/>
      <c r="B109" t="s">
        <v>172</v>
      </c>
      <c r="C109" t="s">
        <v>6</v>
      </c>
      <c r="D109" t="s">
        <v>1020</v>
      </c>
      <c r="F109" s="1">
        <v>46071</v>
      </c>
      <c r="G109" t="str">
        <f>IF(Table3[[#This Row],[Top Parent Account]]="",Table3[[#This Row],[Account Legal Name]],Table3[[#This Row],[Top Parent Account]])</f>
        <v>impulsora de bienes alameda</v>
      </c>
      <c r="H109" s="1"/>
    </row>
    <row r="110" spans="1:8" x14ac:dyDescent="0.35">
      <c r="A110" s="21"/>
      <c r="B110" t="s">
        <v>932</v>
      </c>
      <c r="C110" t="s">
        <v>6</v>
      </c>
      <c r="D110" t="s">
        <v>3222</v>
      </c>
      <c r="F110" s="1">
        <v>46071</v>
      </c>
      <c r="G110" t="str">
        <f>IF(Table3[[#This Row],[Top Parent Account]]="",Table3[[#This Row],[Account Legal Name]],Table3[[#This Row],[Top Parent Account]])</f>
        <v>Megaluminio Servicios</v>
      </c>
      <c r="H110" s="1"/>
    </row>
    <row r="111" spans="1:8" x14ac:dyDescent="0.35">
      <c r="A111" s="21"/>
      <c r="B111" t="s">
        <v>3114</v>
      </c>
      <c r="C111" t="s">
        <v>52</v>
      </c>
      <c r="D111" t="s">
        <v>3226</v>
      </c>
      <c r="F111" s="1">
        <v>46071</v>
      </c>
      <c r="G111" t="str">
        <f>IF(Table3[[#This Row],[Top Parent Account]]="",Table3[[#This Row],[Account Legal Name]],Table3[[#This Row],[Top Parent Account]])</f>
        <v>Arrendadora Datamovil</v>
      </c>
      <c r="H111" s="1"/>
    </row>
    <row r="112" spans="1:8" x14ac:dyDescent="0.35">
      <c r="A112" s="21"/>
      <c r="B112" t="s">
        <v>1131</v>
      </c>
      <c r="C112" t="s">
        <v>6</v>
      </c>
      <c r="D112" t="s">
        <v>5008</v>
      </c>
      <c r="F112" s="1">
        <v>46071</v>
      </c>
      <c r="G112" t="str">
        <f>IF(Table3[[#This Row],[Top Parent Account]]="",Table3[[#This Row],[Account Legal Name]],Table3[[#This Row],[Top Parent Account]])</f>
        <v>AZUD</v>
      </c>
      <c r="H112" s="1"/>
    </row>
    <row r="113" spans="1:8" x14ac:dyDescent="0.35">
      <c r="A113" s="21"/>
      <c r="B113" t="s">
        <v>3092</v>
      </c>
      <c r="C113" t="s">
        <v>6</v>
      </c>
      <c r="D113" t="s">
        <v>5009</v>
      </c>
      <c r="F113" s="1">
        <v>46071</v>
      </c>
      <c r="G113" t="str">
        <f>IF(Table3[[#This Row],[Top Parent Account]]="",Table3[[#This Row],[Account Legal Name]],Table3[[#This Row],[Top Parent Account]])</f>
        <v>EECOE</v>
      </c>
      <c r="H113" s="1"/>
    </row>
    <row r="114" spans="1:8" x14ac:dyDescent="0.35">
      <c r="A114" s="21"/>
      <c r="B114" t="s">
        <v>4696</v>
      </c>
      <c r="C114" t="s">
        <v>6</v>
      </c>
      <c r="D114" t="s">
        <v>5010</v>
      </c>
      <c r="F114" s="1">
        <v>46071</v>
      </c>
      <c r="G114" t="str">
        <f>IF(Table3[[#This Row],[Top Parent Account]]="",Table3[[#This Row],[Account Legal Name]],Table3[[#This Row],[Top Parent Account]])</f>
        <v>Transportes Treviño</v>
      </c>
      <c r="H114" s="1"/>
    </row>
    <row r="115" spans="1:8" x14ac:dyDescent="0.35">
      <c r="A115" s="21"/>
      <c r="B115" t="s">
        <v>1899</v>
      </c>
      <c r="C115" t="s">
        <v>6</v>
      </c>
      <c r="D115" t="s">
        <v>5093</v>
      </c>
      <c r="F115" s="1">
        <v>46071</v>
      </c>
      <c r="G115" t="str">
        <f>IF(Table3[[#This Row],[Top Parent Account]]="",Table3[[#This Row],[Account Legal Name]],Table3[[#This Row],[Top Parent Account]])</f>
        <v>Tamales Salinas</v>
      </c>
      <c r="H115" s="1"/>
    </row>
    <row r="116" spans="1:8" x14ac:dyDescent="0.35">
      <c r="A116" s="21"/>
      <c r="B116" t="s">
        <v>70</v>
      </c>
      <c r="C116" t="s">
        <v>6</v>
      </c>
      <c r="D116" t="s">
        <v>5094</v>
      </c>
      <c r="F116" s="1">
        <v>46071</v>
      </c>
      <c r="G116" t="str">
        <f>IF(Table3[[#This Row],[Top Parent Account]]="",Table3[[#This Row],[Account Legal Name]],Table3[[#This Row],[Top Parent Account]])</f>
        <v>GRUPO INTEGRAL DE MEDICINA PRIMARIA</v>
      </c>
      <c r="H116" s="1"/>
    </row>
    <row r="117" spans="1:8" x14ac:dyDescent="0.35">
      <c r="A117" s="21"/>
      <c r="B117" t="s">
        <v>43</v>
      </c>
      <c r="C117" t="s">
        <v>22</v>
      </c>
      <c r="D117" t="s">
        <v>5095</v>
      </c>
      <c r="F117" s="1">
        <v>46071</v>
      </c>
      <c r="G117" t="str">
        <f>IF(Table3[[#This Row],[Top Parent Account]]="",Table3[[#This Row],[Account Legal Name]],Table3[[#This Row],[Top Parent Account]])</f>
        <v>Grupo Lamesa</v>
      </c>
      <c r="H117" s="1"/>
    </row>
    <row r="118" spans="1:8" x14ac:dyDescent="0.35">
      <c r="A118" s="21"/>
      <c r="B118" t="s">
        <v>925</v>
      </c>
      <c r="C118" t="s">
        <v>6</v>
      </c>
      <c r="D118" t="s">
        <v>5011</v>
      </c>
      <c r="F118" s="1">
        <v>46071</v>
      </c>
      <c r="G118" t="str">
        <f>IF(Table3[[#This Row],[Top Parent Account]]="",Table3[[#This Row],[Account Legal Name]],Table3[[#This Row],[Top Parent Account]])</f>
        <v>Lamina Perfil y Recorte</v>
      </c>
      <c r="H118" s="1"/>
    </row>
    <row r="119" spans="1:8" x14ac:dyDescent="0.35">
      <c r="A119" s="21"/>
      <c r="B119" t="s">
        <v>208</v>
      </c>
      <c r="C119" t="s">
        <v>6</v>
      </c>
      <c r="D119" t="s">
        <v>4947</v>
      </c>
      <c r="F119" s="1">
        <v>46071</v>
      </c>
      <c r="G119" t="str">
        <f>IF(Table3[[#This Row],[Top Parent Account]]="",Table3[[#This Row],[Account Legal Name]],Table3[[#This Row],[Top Parent Account]])</f>
        <v>Industrias Mecánico Eléctricas</v>
      </c>
      <c r="H119" s="1"/>
    </row>
    <row r="120" spans="1:8" x14ac:dyDescent="0.35">
      <c r="A120" s="21"/>
      <c r="B120" t="s">
        <v>43</v>
      </c>
      <c r="C120" t="s">
        <v>6</v>
      </c>
      <c r="D120" t="s">
        <v>5013</v>
      </c>
      <c r="F120" s="1">
        <v>46071</v>
      </c>
      <c r="G120" t="str">
        <f>IF(Table3[[#This Row],[Top Parent Account]]="",Table3[[#This Row],[Account Legal Name]],Table3[[#This Row],[Top Parent Account]])</f>
        <v>ALUMINIO EXTRUIDO DEL BAJÍO</v>
      </c>
      <c r="H120" s="1"/>
    </row>
    <row r="121" spans="1:8" x14ac:dyDescent="0.35">
      <c r="A121" s="21"/>
      <c r="B121" t="s">
        <v>3553</v>
      </c>
      <c r="C121" t="s">
        <v>6</v>
      </c>
      <c r="D121" t="s">
        <v>5012</v>
      </c>
      <c r="F121" s="1">
        <v>46071</v>
      </c>
      <c r="G121" t="str">
        <f>IF(Table3[[#This Row],[Top Parent Account]]="",Table3[[#This Row],[Account Legal Name]],Table3[[#This Row],[Top Parent Account]])</f>
        <v>LADISA</v>
      </c>
      <c r="H121" s="1"/>
    </row>
    <row r="122" spans="1:8" x14ac:dyDescent="0.35">
      <c r="A122" s="21"/>
      <c r="B122" t="s">
        <v>23</v>
      </c>
      <c r="C122" t="s">
        <v>6</v>
      </c>
      <c r="D122" t="s">
        <v>199</v>
      </c>
      <c r="F122" s="1">
        <v>46071</v>
      </c>
      <c r="G122" t="str">
        <f>IF(Table3[[#This Row],[Top Parent Account]]="",Table3[[#This Row],[Account Legal Name]],Table3[[#This Row],[Top Parent Account]])</f>
        <v>United Barcode Systems</v>
      </c>
      <c r="H122" s="1"/>
    </row>
    <row r="123" spans="1:8" x14ac:dyDescent="0.35">
      <c r="A123" s="21"/>
      <c r="B123" t="s">
        <v>4696</v>
      </c>
      <c r="C123" t="s">
        <v>22</v>
      </c>
      <c r="D123" t="s">
        <v>1461</v>
      </c>
      <c r="F123" s="1">
        <v>46071</v>
      </c>
      <c r="G123" t="str">
        <f>IF(Table3[[#This Row],[Top Parent Account]]="",Table3[[#This Row],[Account Legal Name]],Table3[[#This Row],[Top Parent Account]])</f>
        <v>Maquinaría Innovativa De Veracruz</v>
      </c>
      <c r="H123" s="1"/>
    </row>
    <row r="124" spans="1:8" x14ac:dyDescent="0.35">
      <c r="A124" s="21"/>
      <c r="B124" t="s">
        <v>77</v>
      </c>
      <c r="C124" t="s">
        <v>6</v>
      </c>
      <c r="D124" t="s">
        <v>3595</v>
      </c>
      <c r="F124" s="1">
        <v>46071</v>
      </c>
      <c r="G124" t="str">
        <f>IF(Table3[[#This Row],[Top Parent Account]]="",Table3[[#This Row],[Account Legal Name]],Table3[[#This Row],[Top Parent Account]])</f>
        <v>Gruas Keila</v>
      </c>
      <c r="H124" s="1"/>
    </row>
    <row r="125" spans="1:8" x14ac:dyDescent="0.35">
      <c r="A125" s="21"/>
      <c r="B125" t="s">
        <v>280</v>
      </c>
      <c r="C125" t="s">
        <v>6</v>
      </c>
      <c r="D125" t="s">
        <v>5096</v>
      </c>
      <c r="F125" s="1">
        <v>46071</v>
      </c>
      <c r="G125" t="str">
        <f>IF(Table3[[#This Row],[Top Parent Account]]="",Table3[[#This Row],[Account Legal Name]],Table3[[#This Row],[Top Parent Account]])</f>
        <v>LACTIGURT DE MÉXICO</v>
      </c>
      <c r="H125" s="1"/>
    </row>
    <row r="126" spans="1:8" x14ac:dyDescent="0.35">
      <c r="A126" s="21"/>
      <c r="B126" t="s">
        <v>24</v>
      </c>
      <c r="C126" t="s">
        <v>6</v>
      </c>
      <c r="D126" t="s">
        <v>5061</v>
      </c>
      <c r="F126" s="1">
        <v>46071</v>
      </c>
      <c r="G126" t="str">
        <f>IF(Table3[[#This Row],[Top Parent Account]]="",Table3[[#This Row],[Account Legal Name]],Table3[[#This Row],[Top Parent Account]])</f>
        <v>Mundienvases de Plastico</v>
      </c>
      <c r="H126" s="1"/>
    </row>
    <row r="127" spans="1:8" x14ac:dyDescent="0.35">
      <c r="A127" s="21"/>
      <c r="B127" t="s">
        <v>43</v>
      </c>
      <c r="C127" t="s">
        <v>22</v>
      </c>
      <c r="D127" t="s">
        <v>734</v>
      </c>
      <c r="E127" t="s">
        <v>2984</v>
      </c>
      <c r="F127" s="1">
        <v>46070</v>
      </c>
      <c r="G127" t="str">
        <f>IF(Table3[[#This Row],[Top Parent Account]]="",Table3[[#This Row],[Account Legal Name]],Table3[[#This Row],[Top Parent Account]])</f>
        <v>Grupo Bruluart</v>
      </c>
      <c r="H127" s="1"/>
    </row>
    <row r="128" spans="1:8" x14ac:dyDescent="0.35">
      <c r="A128" s="21"/>
      <c r="B128" t="s">
        <v>12</v>
      </c>
      <c r="C128" t="s">
        <v>6</v>
      </c>
      <c r="D128" t="s">
        <v>1099</v>
      </c>
      <c r="F128" s="1">
        <v>46070</v>
      </c>
      <c r="G128" t="str">
        <f>IF(Table3[[#This Row],[Top Parent Account]]="",Table3[[#This Row],[Account Legal Name]],Table3[[#This Row],[Top Parent Account]])</f>
        <v>EMPACADORA GRUMA DEL SURESTE</v>
      </c>
      <c r="H128" s="1"/>
    </row>
    <row r="129" spans="1:8" x14ac:dyDescent="0.35">
      <c r="A129" s="21"/>
      <c r="B129" t="s">
        <v>12</v>
      </c>
      <c r="C129" t="s">
        <v>6</v>
      </c>
      <c r="D129" t="s">
        <v>5057</v>
      </c>
      <c r="F129" s="1">
        <v>46070</v>
      </c>
      <c r="G129" t="str">
        <f>IF(Table3[[#This Row],[Top Parent Account]]="",Table3[[#This Row],[Account Legal Name]],Table3[[#This Row],[Top Parent Account]])</f>
        <v>Distribuidora Mayorista de Tornillos de Yucatán</v>
      </c>
      <c r="H129" s="1"/>
    </row>
    <row r="130" spans="1:8" x14ac:dyDescent="0.35">
      <c r="A130" s="21"/>
      <c r="B130" t="s">
        <v>3092</v>
      </c>
      <c r="C130" t="s">
        <v>6</v>
      </c>
      <c r="D130" t="s">
        <v>5014</v>
      </c>
      <c r="F130" s="1">
        <v>46070</v>
      </c>
      <c r="G130" t="str">
        <f>IF(Table3[[#This Row],[Top Parent Account]]="",Table3[[#This Row],[Account Legal Name]],Table3[[#This Row],[Top Parent Account]])</f>
        <v>MAQUINARIA BOIX MEXICO</v>
      </c>
      <c r="H130" s="1"/>
    </row>
    <row r="131" spans="1:8" x14ac:dyDescent="0.35">
      <c r="A131" s="21"/>
      <c r="B131" t="s">
        <v>10</v>
      </c>
      <c r="C131" t="s">
        <v>6</v>
      </c>
      <c r="D131" t="s">
        <v>1317</v>
      </c>
      <c r="F131" s="1">
        <v>46070</v>
      </c>
      <c r="G131" t="str">
        <f>IF(Table3[[#This Row],[Top Parent Account]]="",Table3[[#This Row],[Account Legal Name]],Table3[[#This Row],[Top Parent Account]])</f>
        <v>Laboratorios Pisa</v>
      </c>
      <c r="H131" s="1"/>
    </row>
    <row r="132" spans="1:8" x14ac:dyDescent="0.35">
      <c r="A132" s="21"/>
      <c r="B132" t="s">
        <v>23</v>
      </c>
      <c r="C132" t="s">
        <v>52</v>
      </c>
      <c r="D132" t="s">
        <v>5015</v>
      </c>
      <c r="F132" s="1">
        <v>46070</v>
      </c>
      <c r="G132" t="str">
        <f>IF(Table3[[#This Row],[Top Parent Account]]="",Table3[[#This Row],[Account Legal Name]],Table3[[#This Row],[Top Parent Account]])</f>
        <v>Transportes Martillo</v>
      </c>
      <c r="H132" s="1"/>
    </row>
    <row r="133" spans="1:8" x14ac:dyDescent="0.35">
      <c r="A133" s="21"/>
      <c r="B133" t="s">
        <v>3129</v>
      </c>
      <c r="C133" t="s">
        <v>6</v>
      </c>
      <c r="D133" t="s">
        <v>4376</v>
      </c>
      <c r="F133" s="1">
        <v>46070</v>
      </c>
      <c r="G133" t="str">
        <f>IF(Table3[[#This Row],[Top Parent Account]]="",Table3[[#This Row],[Account Legal Name]],Table3[[#This Row],[Top Parent Account]])</f>
        <v>Neta Systems</v>
      </c>
      <c r="H133" s="1"/>
    </row>
    <row r="134" spans="1:8" x14ac:dyDescent="0.35">
      <c r="A134" s="21"/>
      <c r="B134" t="s">
        <v>3628</v>
      </c>
      <c r="C134" t="s">
        <v>6</v>
      </c>
      <c r="D134" t="s">
        <v>439</v>
      </c>
      <c r="F134" s="1">
        <v>46070</v>
      </c>
      <c r="G134" t="str">
        <f>IF(Table3[[#This Row],[Top Parent Account]]="",Table3[[#This Row],[Account Legal Name]],Table3[[#This Row],[Top Parent Account]])</f>
        <v>Copamex</v>
      </c>
      <c r="H134" s="1"/>
    </row>
    <row r="135" spans="1:8" x14ac:dyDescent="0.35">
      <c r="A135" s="21"/>
      <c r="B135" t="s">
        <v>43</v>
      </c>
      <c r="C135" t="s">
        <v>22</v>
      </c>
      <c r="D135" t="s">
        <v>5016</v>
      </c>
      <c r="F135" s="1">
        <v>46070</v>
      </c>
      <c r="G135" t="str">
        <f>IF(Table3[[#This Row],[Top Parent Account]]="",Table3[[#This Row],[Account Legal Name]],Table3[[#This Row],[Top Parent Account]])</f>
        <v>Condimentos Naturales Tres Villas</v>
      </c>
      <c r="H135" s="1"/>
    </row>
    <row r="136" spans="1:8" x14ac:dyDescent="0.35">
      <c r="A136" s="21"/>
      <c r="B136" t="s">
        <v>970</v>
      </c>
      <c r="C136" t="s">
        <v>6</v>
      </c>
      <c r="D136" t="s">
        <v>5017</v>
      </c>
      <c r="F136" s="1">
        <v>46070</v>
      </c>
      <c r="G136" t="str">
        <f>IF(Table3[[#This Row],[Top Parent Account]]="",Table3[[#This Row],[Account Legal Name]],Table3[[#This Row],[Top Parent Account]])</f>
        <v>Uvi Tech</v>
      </c>
      <c r="H136" s="1"/>
    </row>
    <row r="137" spans="1:8" x14ac:dyDescent="0.35">
      <c r="A137" s="21"/>
      <c r="B137" t="s">
        <v>116</v>
      </c>
      <c r="C137" t="s">
        <v>6</v>
      </c>
      <c r="D137" t="s">
        <v>3903</v>
      </c>
      <c r="F137" s="1">
        <v>46070</v>
      </c>
      <c r="G137" t="str">
        <f>IF(Table3[[#This Row],[Top Parent Account]]="",Table3[[#This Row],[Account Legal Name]],Table3[[#This Row],[Top Parent Account]])</f>
        <v>Gerresheimer Queretaro</v>
      </c>
      <c r="H137" s="1"/>
    </row>
    <row r="138" spans="1:8" x14ac:dyDescent="0.35">
      <c r="A138" s="21"/>
      <c r="B138" t="s">
        <v>3114</v>
      </c>
      <c r="C138" t="s">
        <v>22</v>
      </c>
      <c r="D138" t="s">
        <v>4758</v>
      </c>
      <c r="E138" t="s">
        <v>2631</v>
      </c>
      <c r="F138" s="1">
        <v>46070</v>
      </c>
      <c r="G138" t="str">
        <f>IF(Table3[[#This Row],[Top Parent Account]]="",Table3[[#This Row],[Account Legal Name]],Table3[[#This Row],[Top Parent Account]])</f>
        <v>Grupo Industrial Fabeva</v>
      </c>
      <c r="H138" s="1"/>
    </row>
    <row r="139" spans="1:8" x14ac:dyDescent="0.35">
      <c r="A139" s="21"/>
      <c r="B139" t="s">
        <v>77</v>
      </c>
      <c r="C139" t="s">
        <v>6</v>
      </c>
      <c r="D139" t="s">
        <v>50</v>
      </c>
      <c r="F139" s="1">
        <v>46070</v>
      </c>
      <c r="G139" t="str">
        <f>IF(Table3[[#This Row],[Top Parent Account]]="",Table3[[#This Row],[Account Legal Name]],Table3[[#This Row],[Top Parent Account]])</f>
        <v>Industrias Montilla</v>
      </c>
      <c r="H139" s="1"/>
    </row>
    <row r="140" spans="1:8" x14ac:dyDescent="0.35">
      <c r="A140" s="21"/>
      <c r="B140" t="s">
        <v>207</v>
      </c>
      <c r="C140" t="s">
        <v>6</v>
      </c>
      <c r="D140" t="s">
        <v>3650</v>
      </c>
      <c r="F140" s="1">
        <v>46070</v>
      </c>
      <c r="G140" t="str">
        <f>IF(Table3[[#This Row],[Top Parent Account]]="",Table3[[#This Row],[Account Legal Name]],Table3[[#This Row],[Top Parent Account]])</f>
        <v>Mexproud Shipping</v>
      </c>
      <c r="H140" s="1"/>
    </row>
    <row r="141" spans="1:8" x14ac:dyDescent="0.35">
      <c r="A141" s="21"/>
      <c r="B141" t="s">
        <v>28</v>
      </c>
      <c r="C141" t="s">
        <v>6</v>
      </c>
      <c r="D141" t="s">
        <v>5097</v>
      </c>
      <c r="F141" s="1">
        <v>46070</v>
      </c>
      <c r="G141" t="str">
        <f>IF(Table3[[#This Row],[Top Parent Account]]="",Table3[[#This Row],[Account Legal Name]],Table3[[#This Row],[Top Parent Account]])</f>
        <v>Auto Lineas Regiomontanas</v>
      </c>
      <c r="H141" s="1"/>
    </row>
    <row r="142" spans="1:8" x14ac:dyDescent="0.35">
      <c r="A142" s="21"/>
      <c r="B142" t="s">
        <v>32</v>
      </c>
      <c r="C142" t="s">
        <v>6</v>
      </c>
      <c r="D142" t="s">
        <v>72</v>
      </c>
      <c r="F142" s="1">
        <v>46070</v>
      </c>
      <c r="G142" t="str">
        <f>IF(Table3[[#This Row],[Top Parent Account]]="",Table3[[#This Row],[Account Legal Name]],Table3[[#This Row],[Top Parent Account]])</f>
        <v>Comercializadora Naremo</v>
      </c>
      <c r="H142" s="1"/>
    </row>
    <row r="143" spans="1:8" x14ac:dyDescent="0.35">
      <c r="A143" s="21"/>
      <c r="B143" t="s">
        <v>14</v>
      </c>
      <c r="C143" t="s">
        <v>6</v>
      </c>
      <c r="D143" t="s">
        <v>575</v>
      </c>
      <c r="F143" s="1">
        <v>46070</v>
      </c>
      <c r="G143" t="str">
        <f>IF(Table3[[#This Row],[Top Parent Account]]="",Table3[[#This Row],[Account Legal Name]],Table3[[#This Row],[Top Parent Account]])</f>
        <v>Metalistik</v>
      </c>
      <c r="H143" s="1"/>
    </row>
    <row r="144" spans="1:8" x14ac:dyDescent="0.35">
      <c r="A144" s="21"/>
      <c r="B144" t="s">
        <v>3092</v>
      </c>
      <c r="C144" t="s">
        <v>6</v>
      </c>
      <c r="D144" t="s">
        <v>5018</v>
      </c>
      <c r="F144" s="1">
        <v>46070</v>
      </c>
      <c r="G144" t="str">
        <f>IF(Table3[[#This Row],[Top Parent Account]]="",Table3[[#This Row],[Account Legal Name]],Table3[[#This Row],[Top Parent Account]])</f>
        <v>Suajes y Empaques</v>
      </c>
      <c r="H144" s="1"/>
    </row>
    <row r="145" spans="1:8" x14ac:dyDescent="0.35">
      <c r="A145" s="21"/>
      <c r="B145" t="s">
        <v>43</v>
      </c>
      <c r="C145" t="s">
        <v>6</v>
      </c>
      <c r="D145" t="s">
        <v>5098</v>
      </c>
      <c r="F145" s="1">
        <v>46070</v>
      </c>
      <c r="G145" t="str">
        <f>IF(Table3[[#This Row],[Top Parent Account]]="",Table3[[#This Row],[Account Legal Name]],Table3[[#This Row],[Top Parent Account]])</f>
        <v>kaisan</v>
      </c>
      <c r="H145" s="1"/>
    </row>
    <row r="146" spans="1:8" x14ac:dyDescent="0.35">
      <c r="A146" s="21"/>
      <c r="B146" t="s">
        <v>2912</v>
      </c>
      <c r="C146" t="s">
        <v>6</v>
      </c>
      <c r="D146" t="s">
        <v>4297</v>
      </c>
      <c r="E146" t="s">
        <v>4298</v>
      </c>
      <c r="F146" s="1">
        <v>46070</v>
      </c>
      <c r="G146" t="str">
        <f>IF(Table3[[#This Row],[Top Parent Account]]="",Table3[[#This Row],[Account Legal Name]],Table3[[#This Row],[Top Parent Account]])</f>
        <v>Nadro</v>
      </c>
      <c r="H146" s="1"/>
    </row>
    <row r="147" spans="1:8" x14ac:dyDescent="0.35">
      <c r="A147" s="21"/>
      <c r="B147" t="s">
        <v>3093</v>
      </c>
      <c r="C147" t="s">
        <v>5353</v>
      </c>
      <c r="D147" t="s">
        <v>4316</v>
      </c>
      <c r="F147" s="1">
        <v>46070</v>
      </c>
      <c r="G147" t="str">
        <f>IF(Table3[[#This Row],[Top Parent Account]]="",Table3[[#This Row],[Account Legal Name]],Table3[[#This Row],[Top Parent Account]])</f>
        <v>Mini Grip de México</v>
      </c>
      <c r="H147" s="1"/>
    </row>
    <row r="148" spans="1:8" x14ac:dyDescent="0.35">
      <c r="A148" s="21"/>
      <c r="B148" t="s">
        <v>14</v>
      </c>
      <c r="C148" t="s">
        <v>6</v>
      </c>
      <c r="D148" t="s">
        <v>5019</v>
      </c>
      <c r="F148" s="1">
        <v>46070</v>
      </c>
      <c r="G148" t="str">
        <f>IF(Table3[[#This Row],[Top Parent Account]]="",Table3[[#This Row],[Account Legal Name]],Table3[[#This Row],[Top Parent Account]])</f>
        <v>GRUPO CONSTRUCTOR ABA</v>
      </c>
      <c r="H148" s="1"/>
    </row>
    <row r="149" spans="1:8" x14ac:dyDescent="0.35">
      <c r="A149" s="21"/>
      <c r="B149" t="s">
        <v>2658</v>
      </c>
      <c r="C149" t="s">
        <v>6</v>
      </c>
      <c r="D149" t="s">
        <v>1663</v>
      </c>
      <c r="F149" s="1">
        <v>46070</v>
      </c>
      <c r="G149" t="str">
        <f>IF(Table3[[#This Row],[Top Parent Account]]="",Table3[[#This Row],[Account Legal Name]],Table3[[#This Row],[Top Parent Account]])</f>
        <v>Grote Industries de México</v>
      </c>
      <c r="H149" s="1"/>
    </row>
    <row r="150" spans="1:8" x14ac:dyDescent="0.35">
      <c r="A150" s="21"/>
      <c r="B150" t="s">
        <v>3628</v>
      </c>
      <c r="C150" t="s">
        <v>22</v>
      </c>
      <c r="D150" t="s">
        <v>4829</v>
      </c>
      <c r="F150" s="1">
        <v>46070</v>
      </c>
      <c r="G150" t="str">
        <f>IF(Table3[[#This Row],[Top Parent Account]]="",Table3[[#This Row],[Account Legal Name]],Table3[[#This Row],[Top Parent Account]])</f>
        <v>Industrias Metálicas de Monclova</v>
      </c>
      <c r="H150" s="1"/>
    </row>
    <row r="151" spans="1:8" x14ac:dyDescent="0.35">
      <c r="A151" s="21"/>
      <c r="B151" t="s">
        <v>43</v>
      </c>
      <c r="C151" t="s">
        <v>6</v>
      </c>
      <c r="D151" t="s">
        <v>1572</v>
      </c>
      <c r="E151" t="s">
        <v>1573</v>
      </c>
      <c r="F151" s="1">
        <v>46070</v>
      </c>
      <c r="G151" t="str">
        <f>IF(Table3[[#This Row],[Top Parent Account]]="",Table3[[#This Row],[Account Legal Name]],Table3[[#This Row],[Top Parent Account]])</f>
        <v>Plasman Automotive</v>
      </c>
      <c r="H151" s="1"/>
    </row>
    <row r="152" spans="1:8" x14ac:dyDescent="0.35">
      <c r="A152" s="21"/>
      <c r="B152" t="s">
        <v>23</v>
      </c>
      <c r="C152" t="s">
        <v>6</v>
      </c>
      <c r="D152" t="s">
        <v>4586</v>
      </c>
      <c r="F152" s="1">
        <v>46070</v>
      </c>
      <c r="G152" t="str">
        <f>IF(Table3[[#This Row],[Top Parent Account]]="",Table3[[#This Row],[Account Legal Name]],Table3[[#This Row],[Top Parent Account]])</f>
        <v>CONSTRUCTORA GRADO 50</v>
      </c>
      <c r="H152" s="1"/>
    </row>
    <row r="153" spans="1:8" x14ac:dyDescent="0.35">
      <c r="A153" s="21"/>
      <c r="B153" t="s">
        <v>3092</v>
      </c>
      <c r="C153" t="s">
        <v>6</v>
      </c>
      <c r="D153" t="s">
        <v>5020</v>
      </c>
      <c r="F153" s="1">
        <v>46070</v>
      </c>
      <c r="G153" t="str">
        <f>IF(Table3[[#This Row],[Top Parent Account]]="",Table3[[#This Row],[Account Legal Name]],Table3[[#This Row],[Top Parent Account]])</f>
        <v>Prefabricadora de Losas</v>
      </c>
      <c r="H153" s="1"/>
    </row>
    <row r="154" spans="1:8" x14ac:dyDescent="0.35">
      <c r="A154" s="21"/>
      <c r="B154" t="s">
        <v>37</v>
      </c>
      <c r="C154" t="s">
        <v>6</v>
      </c>
      <c r="D154" t="s">
        <v>5021</v>
      </c>
      <c r="F154" s="1">
        <v>46070</v>
      </c>
      <c r="G154" t="str">
        <f>IF(Table3[[#This Row],[Top Parent Account]]="",Table3[[#This Row],[Account Legal Name]],Table3[[#This Row],[Top Parent Account]])</f>
        <v>Chiles Secos Andrade</v>
      </c>
      <c r="H154" s="1"/>
    </row>
    <row r="155" spans="1:8" x14ac:dyDescent="0.35">
      <c r="A155" s="21"/>
      <c r="B155" t="s">
        <v>739</v>
      </c>
      <c r="C155" t="s">
        <v>6</v>
      </c>
      <c r="D155" t="s">
        <v>2982</v>
      </c>
      <c r="F155" s="1">
        <v>46070</v>
      </c>
      <c r="G155" t="str">
        <f>IF(Table3[[#This Row],[Top Parent Account]]="",Table3[[#This Row],[Account Legal Name]],Table3[[#This Row],[Top Parent Account]])</f>
        <v>Mexichem</v>
      </c>
      <c r="H155" s="1"/>
    </row>
    <row r="156" spans="1:8" x14ac:dyDescent="0.35">
      <c r="A156" s="21"/>
      <c r="B156" t="s">
        <v>208</v>
      </c>
      <c r="C156" t="s">
        <v>6</v>
      </c>
      <c r="D156" t="s">
        <v>591</v>
      </c>
      <c r="F156" s="1">
        <v>46070</v>
      </c>
      <c r="G156" t="str">
        <f>IF(Table3[[#This Row],[Top Parent Account]]="",Table3[[#This Row],[Account Legal Name]],Table3[[#This Row],[Top Parent Account]])</f>
        <v>MEXIPC</v>
      </c>
      <c r="H156" s="1"/>
    </row>
    <row r="157" spans="1:8" x14ac:dyDescent="0.35">
      <c r="A157" s="21"/>
      <c r="B157" t="s">
        <v>2658</v>
      </c>
      <c r="C157" t="s">
        <v>6</v>
      </c>
      <c r="D157" t="s">
        <v>1848</v>
      </c>
      <c r="F157" s="1">
        <v>46070</v>
      </c>
      <c r="G157" t="str">
        <f>IF(Table3[[#This Row],[Top Parent Account]]="",Table3[[#This Row],[Account Legal Name]],Table3[[#This Row],[Top Parent Account]])</f>
        <v>Comercializadora Farmacéutica De Chiapas</v>
      </c>
      <c r="H157" s="1"/>
    </row>
    <row r="158" spans="1:8" x14ac:dyDescent="0.35">
      <c r="A158" s="21"/>
      <c r="B158" t="s">
        <v>3628</v>
      </c>
      <c r="C158" t="s">
        <v>6</v>
      </c>
      <c r="D158" t="s">
        <v>4941</v>
      </c>
      <c r="F158" s="1">
        <v>46070</v>
      </c>
      <c r="G158" t="str">
        <f>IF(Table3[[#This Row],[Top Parent Account]]="",Table3[[#This Row],[Account Legal Name]],Table3[[#This Row],[Top Parent Account]])</f>
        <v>AGM SERVICIOS ALIMENTARIOS DE MEXICO</v>
      </c>
      <c r="H158" s="1"/>
    </row>
    <row r="159" spans="1:8" x14ac:dyDescent="0.35">
      <c r="A159" s="21"/>
      <c r="B159" t="s">
        <v>2912</v>
      </c>
      <c r="C159" t="s">
        <v>6</v>
      </c>
      <c r="D159" t="s">
        <v>452</v>
      </c>
      <c r="F159" s="1">
        <v>46070</v>
      </c>
      <c r="G159" t="str">
        <f>IF(Table3[[#This Row],[Top Parent Account]]="",Table3[[#This Row],[Account Legal Name]],Table3[[#This Row],[Top Parent Account]])</f>
        <v>Tiendas Tres B</v>
      </c>
      <c r="H159" s="1"/>
    </row>
    <row r="160" spans="1:8" x14ac:dyDescent="0.35">
      <c r="A160" s="21"/>
      <c r="B160" t="s">
        <v>2693</v>
      </c>
      <c r="C160" t="s">
        <v>6</v>
      </c>
      <c r="D160" t="s">
        <v>5099</v>
      </c>
      <c r="F160" s="1">
        <v>46070</v>
      </c>
      <c r="G160" t="str">
        <f>IF(Table3[[#This Row],[Top Parent Account]]="",Table3[[#This Row],[Account Legal Name]],Table3[[#This Row],[Top Parent Account]])</f>
        <v>LITOPAK</v>
      </c>
      <c r="H160" s="1"/>
    </row>
    <row r="161" spans="1:8" x14ac:dyDescent="0.35">
      <c r="A161" s="21"/>
      <c r="B161" t="s">
        <v>14</v>
      </c>
      <c r="C161" t="s">
        <v>6</v>
      </c>
      <c r="D161" t="s">
        <v>1128</v>
      </c>
      <c r="F161" s="1">
        <v>46070</v>
      </c>
      <c r="G161" t="str">
        <f>IF(Table3[[#This Row],[Top Parent Account]]="",Table3[[#This Row],[Account Legal Name]],Table3[[#This Row],[Top Parent Account]])</f>
        <v>Logística Express La Bufa</v>
      </c>
      <c r="H161" s="1"/>
    </row>
    <row r="162" spans="1:8" x14ac:dyDescent="0.35">
      <c r="A162" s="21"/>
      <c r="B162" t="s">
        <v>77</v>
      </c>
      <c r="C162" t="s">
        <v>6</v>
      </c>
      <c r="D162" t="s">
        <v>4526</v>
      </c>
      <c r="F162" s="1">
        <v>46070</v>
      </c>
      <c r="G162" t="str">
        <f>IF(Table3[[#This Row],[Top Parent Account]]="",Table3[[#This Row],[Account Legal Name]],Table3[[#This Row],[Top Parent Account]])</f>
        <v>Equipos y Servicios Industriales del Cobre</v>
      </c>
      <c r="H162" s="1"/>
    </row>
    <row r="163" spans="1:8" x14ac:dyDescent="0.35">
      <c r="A163" s="21"/>
      <c r="B163" t="s">
        <v>1899</v>
      </c>
      <c r="C163" t="s">
        <v>6</v>
      </c>
      <c r="D163" t="s">
        <v>4792</v>
      </c>
      <c r="F163" s="1">
        <v>46070</v>
      </c>
      <c r="G163" t="str">
        <f>IF(Table3[[#This Row],[Top Parent Account]]="",Table3[[#This Row],[Account Legal Name]],Table3[[#This Row],[Top Parent Account]])</f>
        <v>R &amp; A INDUSTRIAS</v>
      </c>
      <c r="H163" s="1"/>
    </row>
    <row r="164" spans="1:8" x14ac:dyDescent="0.35">
      <c r="A164" s="21"/>
      <c r="B164" t="s">
        <v>18</v>
      </c>
      <c r="C164" t="s">
        <v>6</v>
      </c>
      <c r="D164" t="s">
        <v>3826</v>
      </c>
      <c r="F164" s="1">
        <v>46070</v>
      </c>
      <c r="G164" t="str">
        <f>IF(Table3[[#This Row],[Top Parent Account]]="",Table3[[#This Row],[Account Legal Name]],Table3[[#This Row],[Top Parent Account]])</f>
        <v>Productos y Asfaltos Procesados</v>
      </c>
      <c r="H164" s="1"/>
    </row>
    <row r="165" spans="1:8" x14ac:dyDescent="0.35">
      <c r="A165" s="21"/>
      <c r="B165" t="s">
        <v>88</v>
      </c>
      <c r="C165" t="s">
        <v>6</v>
      </c>
      <c r="D165" t="s">
        <v>5022</v>
      </c>
      <c r="F165" s="1">
        <v>46070</v>
      </c>
      <c r="G165" t="str">
        <f>IF(Table3[[#This Row],[Top Parent Account]]="",Table3[[#This Row],[Account Legal Name]],Table3[[#This Row],[Top Parent Account]])</f>
        <v>Ramos Aboytes Construcciones</v>
      </c>
      <c r="H165" s="1"/>
    </row>
    <row r="166" spans="1:8" x14ac:dyDescent="0.35">
      <c r="A166" s="21"/>
      <c r="B166" t="s">
        <v>24</v>
      </c>
      <c r="C166" t="s">
        <v>6</v>
      </c>
      <c r="D166" t="s">
        <v>5100</v>
      </c>
      <c r="F166" s="1">
        <v>46070</v>
      </c>
      <c r="G166" t="str">
        <f>IF(Table3[[#This Row],[Top Parent Account]]="",Table3[[#This Row],[Account Legal Name]],Table3[[#This Row],[Top Parent Account]])</f>
        <v>Lácteos la Montesa</v>
      </c>
      <c r="H166" s="1"/>
    </row>
    <row r="167" spans="1:8" x14ac:dyDescent="0.35">
      <c r="A167" s="21"/>
      <c r="B167" t="s">
        <v>1511</v>
      </c>
      <c r="C167" t="s">
        <v>6</v>
      </c>
      <c r="D167" t="s">
        <v>4666</v>
      </c>
      <c r="F167" s="1">
        <v>46070</v>
      </c>
      <c r="G167" t="str">
        <f>IF(Table3[[#This Row],[Top Parent Account]]="",Table3[[#This Row],[Account Legal Name]],Table3[[#This Row],[Top Parent Account]])</f>
        <v>Troquelados y Laminados De Monterrey</v>
      </c>
      <c r="H167" s="1"/>
    </row>
    <row r="168" spans="1:8" x14ac:dyDescent="0.35">
      <c r="A168" s="21"/>
      <c r="B168" t="s">
        <v>1511</v>
      </c>
      <c r="C168" t="s">
        <v>6</v>
      </c>
      <c r="D168" t="s">
        <v>5101</v>
      </c>
      <c r="E168" t="s">
        <v>4666</v>
      </c>
      <c r="F168" s="1">
        <v>46070</v>
      </c>
      <c r="G168" t="str">
        <f>IF(Table3[[#This Row],[Top Parent Account]]="",Table3[[#This Row],[Account Legal Name]],Table3[[#This Row],[Top Parent Account]])</f>
        <v>Troquelados y Laminados De Monterrey</v>
      </c>
      <c r="H168" s="1"/>
    </row>
    <row r="169" spans="1:8" x14ac:dyDescent="0.35">
      <c r="A169" s="21"/>
      <c r="B169" t="s">
        <v>23</v>
      </c>
      <c r="C169" t="s">
        <v>6</v>
      </c>
      <c r="D169" t="s">
        <v>5023</v>
      </c>
      <c r="F169" s="1">
        <v>46070</v>
      </c>
      <c r="G169" t="str">
        <f>IF(Table3[[#This Row],[Top Parent Account]]="",Table3[[#This Row],[Account Legal Name]],Table3[[#This Row],[Top Parent Account]])</f>
        <v>YJ TECH CORPORATION</v>
      </c>
      <c r="H169" s="1"/>
    </row>
    <row r="170" spans="1:8" x14ac:dyDescent="0.35">
      <c r="A170" s="21"/>
      <c r="B170" t="s">
        <v>18</v>
      </c>
      <c r="C170" t="s">
        <v>6</v>
      </c>
      <c r="D170" t="s">
        <v>5024</v>
      </c>
      <c r="F170" s="1">
        <v>46070</v>
      </c>
      <c r="G170" t="str">
        <f>IF(Table3[[#This Row],[Top Parent Account]]="",Table3[[#This Row],[Account Legal Name]],Table3[[#This Row],[Top Parent Account]])</f>
        <v>Brexa Industrial</v>
      </c>
      <c r="H170" s="1"/>
    </row>
    <row r="171" spans="1:8" x14ac:dyDescent="0.35">
      <c r="A171" s="21"/>
      <c r="B171" t="s">
        <v>207</v>
      </c>
      <c r="C171" t="s">
        <v>6</v>
      </c>
      <c r="D171" t="s">
        <v>5025</v>
      </c>
      <c r="F171" s="1">
        <v>46069</v>
      </c>
      <c r="G171" t="str">
        <f>IF(Table3[[#This Row],[Top Parent Account]]="",Table3[[#This Row],[Account Legal Name]],Table3[[#This Row],[Top Parent Account]])</f>
        <v>Ingenieria y Proyectos Medi</v>
      </c>
      <c r="H171" s="1"/>
    </row>
    <row r="172" spans="1:8" x14ac:dyDescent="0.35">
      <c r="A172" s="21"/>
      <c r="B172" t="s">
        <v>925</v>
      </c>
      <c r="C172" t="s">
        <v>22</v>
      </c>
      <c r="D172" t="s">
        <v>5026</v>
      </c>
      <c r="F172" s="1">
        <v>46069</v>
      </c>
      <c r="G172" t="str">
        <f>IF(Table3[[#This Row],[Top Parent Account]]="",Table3[[#This Row],[Account Legal Name]],Table3[[#This Row],[Top Parent Account]])</f>
        <v>FINE FLOOR DE MÉXICO</v>
      </c>
      <c r="H172" s="1"/>
    </row>
    <row r="173" spans="1:8" x14ac:dyDescent="0.35">
      <c r="A173" s="21"/>
      <c r="B173" t="s">
        <v>14</v>
      </c>
      <c r="C173" t="s">
        <v>6</v>
      </c>
      <c r="D173" t="s">
        <v>2047</v>
      </c>
      <c r="F173" s="1">
        <v>46069</v>
      </c>
      <c r="G173" t="str">
        <f>IF(Table3[[#This Row],[Top Parent Account]]="",Table3[[#This Row],[Account Legal Name]],Table3[[#This Row],[Top Parent Account]])</f>
        <v>Grupo Aldaramiz</v>
      </c>
      <c r="H173" s="1"/>
    </row>
    <row r="174" spans="1:8" x14ac:dyDescent="0.35">
      <c r="A174" s="21"/>
      <c r="B174" t="s">
        <v>10</v>
      </c>
      <c r="C174" t="s">
        <v>6</v>
      </c>
      <c r="D174" t="s">
        <v>410</v>
      </c>
      <c r="F174" s="1">
        <v>46069</v>
      </c>
      <c r="G174" t="str">
        <f>IF(Table3[[#This Row],[Top Parent Account]]="",Table3[[#This Row],[Account Legal Name]],Table3[[#This Row],[Top Parent Account]])</f>
        <v>CORPORATIVO SERYSI</v>
      </c>
      <c r="H174" s="1"/>
    </row>
    <row r="175" spans="1:8" x14ac:dyDescent="0.35">
      <c r="A175" s="21"/>
      <c r="B175" t="s">
        <v>32</v>
      </c>
      <c r="C175" t="s">
        <v>6</v>
      </c>
      <c r="D175" t="s">
        <v>495</v>
      </c>
      <c r="F175" s="1">
        <v>46069</v>
      </c>
      <c r="G175" t="str">
        <f>IF(Table3[[#This Row],[Top Parent Account]]="",Table3[[#This Row],[Account Legal Name]],Table3[[#This Row],[Top Parent Account]])</f>
        <v>Mota-Engil México</v>
      </c>
      <c r="H175" s="1"/>
    </row>
    <row r="176" spans="1:8" x14ac:dyDescent="0.35">
      <c r="A176" s="21"/>
      <c r="B176" t="s">
        <v>4696</v>
      </c>
      <c r="C176" t="s">
        <v>6</v>
      </c>
      <c r="D176" t="s">
        <v>2997</v>
      </c>
      <c r="F176" s="1">
        <v>46069</v>
      </c>
      <c r="G176" t="str">
        <f>IF(Table3[[#This Row],[Top Parent Account]]="",Table3[[#This Row],[Account Legal Name]],Table3[[#This Row],[Top Parent Account]])</f>
        <v>Antarix IP</v>
      </c>
      <c r="H176" s="1"/>
    </row>
    <row r="177" spans="1:8" x14ac:dyDescent="0.35">
      <c r="A177" s="21"/>
      <c r="B177" t="s">
        <v>3129</v>
      </c>
      <c r="C177" t="s">
        <v>6</v>
      </c>
      <c r="D177" t="s">
        <v>3130</v>
      </c>
      <c r="F177" s="1">
        <v>46069</v>
      </c>
      <c r="G177" t="str">
        <f>IF(Table3[[#This Row],[Top Parent Account]]="",Table3[[#This Row],[Account Legal Name]],Table3[[#This Row],[Top Parent Account]])</f>
        <v>Soccer Media Solutions</v>
      </c>
      <c r="H177" s="1"/>
    </row>
    <row r="178" spans="1:8" x14ac:dyDescent="0.35">
      <c r="A178" s="21"/>
      <c r="B178" t="s">
        <v>739</v>
      </c>
      <c r="C178" t="s">
        <v>5027</v>
      </c>
      <c r="D178" t="s">
        <v>2982</v>
      </c>
      <c r="F178" s="1">
        <v>46069</v>
      </c>
      <c r="G178" t="str">
        <f>IF(Table3[[#This Row],[Top Parent Account]]="",Table3[[#This Row],[Account Legal Name]],Table3[[#This Row],[Top Parent Account]])</f>
        <v>Mexichem</v>
      </c>
      <c r="H178" s="1"/>
    </row>
    <row r="179" spans="1:8" x14ac:dyDescent="0.35">
      <c r="A179" s="21"/>
      <c r="B179" t="s">
        <v>207</v>
      </c>
      <c r="C179" t="s">
        <v>6</v>
      </c>
      <c r="D179" t="s">
        <v>661</v>
      </c>
      <c r="F179" s="1">
        <v>46069</v>
      </c>
      <c r="G179" t="str">
        <f>IF(Table3[[#This Row],[Top Parent Account]]="",Table3[[#This Row],[Account Legal Name]],Table3[[#This Row],[Top Parent Account]])</f>
        <v>FLORES IXTAPAN</v>
      </c>
      <c r="H179" s="1"/>
    </row>
    <row r="180" spans="1:8" x14ac:dyDescent="0.35">
      <c r="A180" s="21"/>
      <c r="B180" t="s">
        <v>1511</v>
      </c>
      <c r="C180" t="s">
        <v>6</v>
      </c>
      <c r="D180" t="s">
        <v>5102</v>
      </c>
      <c r="F180" s="1">
        <v>46069</v>
      </c>
      <c r="G180" t="str">
        <f>IF(Table3[[#This Row],[Top Parent Account]]="",Table3[[#This Row],[Account Legal Name]],Table3[[#This Row],[Top Parent Account]])</f>
        <v>SERVIEXPRESS JC</v>
      </c>
      <c r="H180" s="1"/>
    </row>
    <row r="181" spans="1:8" x14ac:dyDescent="0.35">
      <c r="A181" s="21"/>
      <c r="B181" t="s">
        <v>169</v>
      </c>
      <c r="C181" t="s">
        <v>6</v>
      </c>
      <c r="D181" t="s">
        <v>553</v>
      </c>
      <c r="F181" s="1">
        <v>46069</v>
      </c>
      <c r="G181" t="str">
        <f>IF(Table3[[#This Row],[Top Parent Account]]="",Table3[[#This Row],[Account Legal Name]],Table3[[#This Row],[Top Parent Account]])</f>
        <v>ACADEMIA CAPITAL</v>
      </c>
      <c r="H181" s="1"/>
    </row>
    <row r="182" spans="1:8" x14ac:dyDescent="0.35">
      <c r="A182" s="21"/>
      <c r="B182" t="s">
        <v>169</v>
      </c>
      <c r="C182" t="s">
        <v>6</v>
      </c>
      <c r="D182" t="s">
        <v>3774</v>
      </c>
      <c r="F182" s="1">
        <v>46069</v>
      </c>
      <c r="G182" t="str">
        <f>IF(Table3[[#This Row],[Top Parent Account]]="",Table3[[#This Row],[Account Legal Name]],Table3[[#This Row],[Top Parent Account]])</f>
        <v>AGMEN SEGURIDAD PRIVADA</v>
      </c>
      <c r="H182" s="1"/>
    </row>
    <row r="183" spans="1:8" x14ac:dyDescent="0.35">
      <c r="A183" s="21"/>
      <c r="B183" t="s">
        <v>88</v>
      </c>
      <c r="C183" t="s">
        <v>6</v>
      </c>
      <c r="D183" t="s">
        <v>5028</v>
      </c>
      <c r="F183" s="1">
        <v>46069</v>
      </c>
      <c r="G183" t="str">
        <f>IF(Table3[[#This Row],[Top Parent Account]]="",Table3[[#This Row],[Account Legal Name]],Table3[[#This Row],[Top Parent Account]])</f>
        <v>Medios  Digitales Enfocados</v>
      </c>
      <c r="H183" s="1"/>
    </row>
    <row r="184" spans="1:8" x14ac:dyDescent="0.35">
      <c r="A184" s="21"/>
      <c r="B184" t="s">
        <v>4704</v>
      </c>
      <c r="C184" t="s">
        <v>6</v>
      </c>
      <c r="D184" t="s">
        <v>5030</v>
      </c>
      <c r="F184" s="1">
        <v>46069</v>
      </c>
      <c r="G184" t="str">
        <f>IF(Table3[[#This Row],[Top Parent Account]]="",Table3[[#This Row],[Account Legal Name]],Table3[[#This Row],[Top Parent Account]])</f>
        <v>Sublima</v>
      </c>
      <c r="H184" s="1"/>
    </row>
    <row r="185" spans="1:8" x14ac:dyDescent="0.35">
      <c r="A185" s="21"/>
      <c r="B185" t="s">
        <v>39</v>
      </c>
      <c r="C185" t="s">
        <v>5029</v>
      </c>
      <c r="D185" t="s">
        <v>520</v>
      </c>
      <c r="F185" s="1">
        <v>46069</v>
      </c>
      <c r="G185" t="str">
        <f>IF(Table3[[#This Row],[Top Parent Account]]="",Table3[[#This Row],[Account Legal Name]],Table3[[#This Row],[Top Parent Account]])</f>
        <v>Comercializadora de Alimentos Ochoa</v>
      </c>
      <c r="H185" s="1"/>
    </row>
    <row r="186" spans="1:8" x14ac:dyDescent="0.35">
      <c r="A186" s="21"/>
      <c r="B186" t="s">
        <v>932</v>
      </c>
      <c r="C186" t="s">
        <v>6</v>
      </c>
      <c r="D186" t="s">
        <v>620</v>
      </c>
      <c r="F186" s="1">
        <v>46069</v>
      </c>
      <c r="G186" t="str">
        <f>IF(Table3[[#This Row],[Top Parent Account]]="",Table3[[#This Row],[Account Legal Name]],Table3[[#This Row],[Top Parent Account]])</f>
        <v>Recuperadora y Maquiladora de Plásticos</v>
      </c>
      <c r="H186" s="1"/>
    </row>
    <row r="187" spans="1:8" x14ac:dyDescent="0.35">
      <c r="A187" s="21"/>
      <c r="B187" t="s">
        <v>1511</v>
      </c>
      <c r="C187" t="s">
        <v>6</v>
      </c>
      <c r="D187" t="s">
        <v>5031</v>
      </c>
      <c r="F187" s="1">
        <v>46069</v>
      </c>
      <c r="G187" t="str">
        <f>IF(Table3[[#This Row],[Top Parent Account]]="",Table3[[#This Row],[Account Legal Name]],Table3[[#This Row],[Top Parent Account]])</f>
        <v>Michemix</v>
      </c>
      <c r="H187" s="1"/>
    </row>
    <row r="188" spans="1:8" x14ac:dyDescent="0.35">
      <c r="A188" s="21"/>
      <c r="B188" t="s">
        <v>3553</v>
      </c>
      <c r="C188" t="s">
        <v>6</v>
      </c>
      <c r="D188" t="s">
        <v>5032</v>
      </c>
      <c r="F188" s="1">
        <v>46069</v>
      </c>
      <c r="G188" t="str">
        <f>IF(Table3[[#This Row],[Top Parent Account]]="",Table3[[#This Row],[Account Legal Name]],Table3[[#This Row],[Top Parent Account]])</f>
        <v>Vinos y Licores Menguz</v>
      </c>
      <c r="H188" s="1"/>
    </row>
    <row r="189" spans="1:8" x14ac:dyDescent="0.35">
      <c r="A189" s="21"/>
      <c r="B189" t="s">
        <v>3093</v>
      </c>
      <c r="C189" t="s">
        <v>6</v>
      </c>
      <c r="D189" t="s">
        <v>2540</v>
      </c>
      <c r="E189" t="s">
        <v>69</v>
      </c>
      <c r="F189" s="1">
        <v>46069</v>
      </c>
      <c r="G189" t="str">
        <f>IF(Table3[[#This Row],[Top Parent Account]]="",Table3[[#This Row],[Account Legal Name]],Table3[[#This Row],[Top Parent Account]])</f>
        <v>GLOBAL ARMOR</v>
      </c>
      <c r="H189" s="1"/>
    </row>
    <row r="190" spans="1:8" x14ac:dyDescent="0.35">
      <c r="A190" s="21"/>
      <c r="B190" t="s">
        <v>970</v>
      </c>
      <c r="C190" t="s">
        <v>6</v>
      </c>
      <c r="D190" t="s">
        <v>2909</v>
      </c>
      <c r="E190" t="s">
        <v>2692</v>
      </c>
      <c r="F190" s="1">
        <v>46069</v>
      </c>
      <c r="G190" t="str">
        <f>IF(Table3[[#This Row],[Top Parent Account]]="",Table3[[#This Row],[Account Legal Name]],Table3[[#This Row],[Top Parent Account]])</f>
        <v>Grupo Dragon</v>
      </c>
      <c r="H190" s="1"/>
    </row>
    <row r="191" spans="1:8" x14ac:dyDescent="0.35">
      <c r="A191" s="21"/>
      <c r="B191" t="s">
        <v>169</v>
      </c>
      <c r="C191" t="s">
        <v>6</v>
      </c>
      <c r="D191" t="s">
        <v>553</v>
      </c>
      <c r="F191" s="1">
        <v>46069</v>
      </c>
      <c r="G191" t="str">
        <f>IF(Table3[[#This Row],[Top Parent Account]]="",Table3[[#This Row],[Account Legal Name]],Table3[[#This Row],[Top Parent Account]])</f>
        <v>ACADEMIA CAPITAL</v>
      </c>
      <c r="H191" s="1"/>
    </row>
    <row r="192" spans="1:8" x14ac:dyDescent="0.35">
      <c r="A192" s="21"/>
      <c r="B192" t="s">
        <v>970</v>
      </c>
      <c r="C192" t="s">
        <v>6</v>
      </c>
      <c r="D192" t="s">
        <v>200</v>
      </c>
      <c r="F192" s="1">
        <v>46069</v>
      </c>
      <c r="G192" t="str">
        <f>IF(Table3[[#This Row],[Top Parent Account]]="",Table3[[#This Row],[Account Legal Name]],Table3[[#This Row],[Top Parent Account]])</f>
        <v>Grupo Industrial Summa</v>
      </c>
      <c r="H192" s="1"/>
    </row>
    <row r="193" spans="1:8" x14ac:dyDescent="0.35">
      <c r="A193" s="21"/>
      <c r="B193" t="s">
        <v>37</v>
      </c>
      <c r="C193" t="s">
        <v>6</v>
      </c>
      <c r="D193" t="s">
        <v>2553</v>
      </c>
      <c r="F193" s="1">
        <v>46066</v>
      </c>
      <c r="G193" t="str">
        <f>IF(Table3[[#This Row],[Top Parent Account]]="",Table3[[#This Row],[Account Legal Name]],Table3[[#This Row],[Top Parent Account]])</f>
        <v>Manufacturas PITIC</v>
      </c>
      <c r="H193" s="1"/>
    </row>
    <row r="194" spans="1:8" x14ac:dyDescent="0.35">
      <c r="A194" s="21"/>
      <c r="B194" t="s">
        <v>4696</v>
      </c>
      <c r="C194" t="s">
        <v>22</v>
      </c>
      <c r="D194" t="s">
        <v>1205</v>
      </c>
      <c r="F194" s="1">
        <v>46066</v>
      </c>
      <c r="G194" t="str">
        <f>IF(Table3[[#This Row],[Top Parent Account]]="",Table3[[#This Row],[Account Legal Name]],Table3[[#This Row],[Top Parent Account]])</f>
        <v>Jesus Abraham Hernandez Castillo</v>
      </c>
      <c r="H194" s="1"/>
    </row>
    <row r="195" spans="1:8" x14ac:dyDescent="0.35">
      <c r="A195" s="21"/>
      <c r="B195" t="s">
        <v>3182</v>
      </c>
      <c r="C195" t="s">
        <v>6</v>
      </c>
      <c r="D195" t="s">
        <v>3739</v>
      </c>
      <c r="F195" s="1">
        <v>46066</v>
      </c>
      <c r="G195" t="str">
        <f>IF(Table3[[#This Row],[Top Parent Account]]="",Table3[[#This Row],[Account Legal Name]],Table3[[#This Row],[Top Parent Account]])</f>
        <v>Envases Papeleros de México</v>
      </c>
      <c r="H195" s="1"/>
    </row>
    <row r="196" spans="1:8" x14ac:dyDescent="0.35">
      <c r="A196" s="21"/>
      <c r="B196" t="s">
        <v>43</v>
      </c>
      <c r="C196" t="s">
        <v>6</v>
      </c>
      <c r="D196" t="s">
        <v>1672</v>
      </c>
      <c r="F196" s="1">
        <v>46066</v>
      </c>
      <c r="G196" t="str">
        <f>IF(Table3[[#This Row],[Top Parent Account]]="",Table3[[#This Row],[Account Legal Name]],Table3[[#This Row],[Top Parent Account]])</f>
        <v>RBA Banca de Inversión</v>
      </c>
      <c r="H196" s="1"/>
    </row>
    <row r="197" spans="1:8" x14ac:dyDescent="0.35">
      <c r="A197" s="21"/>
      <c r="B197" t="s">
        <v>18</v>
      </c>
      <c r="C197" t="s">
        <v>6</v>
      </c>
      <c r="D197" t="s">
        <v>3448</v>
      </c>
      <c r="F197" s="1">
        <v>46066</v>
      </c>
      <c r="G197" t="str">
        <f>IF(Table3[[#This Row],[Top Parent Account]]="",Table3[[#This Row],[Account Legal Name]],Table3[[#This Row],[Top Parent Account]])</f>
        <v>Fletes y Materiales Forsis</v>
      </c>
      <c r="H197" s="1"/>
    </row>
    <row r="198" spans="1:8" x14ac:dyDescent="0.35">
      <c r="A198" s="21"/>
      <c r="B198" t="s">
        <v>32</v>
      </c>
      <c r="C198" t="s">
        <v>6</v>
      </c>
      <c r="D198" t="s">
        <v>4945</v>
      </c>
      <c r="F198" s="1">
        <v>46066</v>
      </c>
      <c r="G198" t="str">
        <f>IF(Table3[[#This Row],[Top Parent Account]]="",Table3[[#This Row],[Account Legal Name]],Table3[[#This Row],[Top Parent Account]])</f>
        <v>Productores y Comercializadores Agropecuarios Rancho las Maravillas</v>
      </c>
      <c r="H198" s="1"/>
    </row>
    <row r="199" spans="1:8" x14ac:dyDescent="0.35">
      <c r="A199" s="21"/>
      <c r="B199" t="s">
        <v>18</v>
      </c>
      <c r="C199" t="s">
        <v>22</v>
      </c>
      <c r="D199" t="s">
        <v>3249</v>
      </c>
      <c r="F199" s="1">
        <v>46066</v>
      </c>
      <c r="G199" t="str">
        <f>IF(Table3[[#This Row],[Top Parent Account]]="",Table3[[#This Row],[Account Legal Name]],Table3[[#This Row],[Top Parent Account]])</f>
        <v>Ríos Corrugadora</v>
      </c>
      <c r="H199" s="1"/>
    </row>
    <row r="200" spans="1:8" x14ac:dyDescent="0.35">
      <c r="A200" s="21"/>
      <c r="B200" t="s">
        <v>3129</v>
      </c>
      <c r="C200" t="s">
        <v>6</v>
      </c>
      <c r="D200" t="s">
        <v>3130</v>
      </c>
      <c r="F200" s="1">
        <v>46066</v>
      </c>
      <c r="G200" t="str">
        <f>IF(Table3[[#This Row],[Top Parent Account]]="",Table3[[#This Row],[Account Legal Name]],Table3[[#This Row],[Top Parent Account]])</f>
        <v>Soccer Media Solutions</v>
      </c>
      <c r="H200" s="1"/>
    </row>
    <row r="201" spans="1:8" x14ac:dyDescent="0.35">
      <c r="A201" s="21"/>
      <c r="B201" t="s">
        <v>3182</v>
      </c>
      <c r="C201" t="s">
        <v>6</v>
      </c>
      <c r="D201" t="s">
        <v>4948</v>
      </c>
      <c r="F201" s="1">
        <v>46066</v>
      </c>
      <c r="G201" t="str">
        <f>IF(Table3[[#This Row],[Top Parent Account]]="",Table3[[#This Row],[Account Legal Name]],Table3[[#This Row],[Top Parent Account]])</f>
        <v>Lava-Tap</v>
      </c>
      <c r="H201" s="1"/>
    </row>
    <row r="202" spans="1:8" x14ac:dyDescent="0.35">
      <c r="A202" s="21"/>
      <c r="B202" t="s">
        <v>43</v>
      </c>
      <c r="C202" t="s">
        <v>6</v>
      </c>
      <c r="D202" t="s">
        <v>1076</v>
      </c>
      <c r="F202" s="1">
        <v>46066</v>
      </c>
      <c r="G202" t="str">
        <f>IF(Table3[[#This Row],[Top Parent Account]]="",Table3[[#This Row],[Account Legal Name]],Table3[[#This Row],[Top Parent Account]])</f>
        <v>International Metals de México</v>
      </c>
      <c r="H202" s="1"/>
    </row>
    <row r="203" spans="1:8" x14ac:dyDescent="0.35">
      <c r="A203" s="21"/>
      <c r="B203" t="s">
        <v>4696</v>
      </c>
      <c r="C203" t="s">
        <v>22</v>
      </c>
      <c r="D203" t="s">
        <v>5036</v>
      </c>
      <c r="F203" s="1">
        <v>46066</v>
      </c>
      <c r="G203" t="str">
        <f>IF(Table3[[#This Row],[Top Parent Account]]="",Table3[[#This Row],[Account Legal Name]],Table3[[#This Row],[Top Parent Account]])</f>
        <v>Beneficencia Española Veracruz</v>
      </c>
      <c r="H203" s="1"/>
    </row>
    <row r="204" spans="1:8" x14ac:dyDescent="0.35">
      <c r="A204" s="21"/>
      <c r="B204" t="s">
        <v>1511</v>
      </c>
      <c r="C204" t="s">
        <v>6</v>
      </c>
      <c r="D204" t="s">
        <v>4666</v>
      </c>
      <c r="F204" s="1">
        <v>46066</v>
      </c>
      <c r="G204" t="str">
        <f>IF(Table3[[#This Row],[Top Parent Account]]="",Table3[[#This Row],[Account Legal Name]],Table3[[#This Row],[Top Parent Account]])</f>
        <v>Troquelados y Laminados De Monterrey</v>
      </c>
      <c r="H204" s="1"/>
    </row>
    <row r="205" spans="1:8" x14ac:dyDescent="0.35">
      <c r="A205" s="21"/>
      <c r="B205" t="s">
        <v>2884</v>
      </c>
      <c r="C205" t="s">
        <v>6</v>
      </c>
      <c r="D205" t="s">
        <v>4154</v>
      </c>
      <c r="E205" t="s">
        <v>4155</v>
      </c>
      <c r="F205" s="1">
        <v>46066</v>
      </c>
      <c r="G205" t="str">
        <f>IF(Table3[[#This Row],[Top Parent Account]]="",Table3[[#This Row],[Account Legal Name]],Table3[[#This Row],[Top Parent Account]])</f>
        <v>GMP BV</v>
      </c>
      <c r="H205" s="1"/>
    </row>
    <row r="206" spans="1:8" x14ac:dyDescent="0.35">
      <c r="A206" s="21"/>
      <c r="B206" t="s">
        <v>88</v>
      </c>
      <c r="C206" t="s">
        <v>6</v>
      </c>
      <c r="D206" t="s">
        <v>4949</v>
      </c>
      <c r="F206" s="1">
        <v>46066</v>
      </c>
      <c r="G206" t="str">
        <f>IF(Table3[[#This Row],[Top Parent Account]]="",Table3[[#This Row],[Account Legal Name]],Table3[[#This Row],[Top Parent Account]])</f>
        <v>CREMERIA LA CAÑADA</v>
      </c>
      <c r="H206" s="1"/>
    </row>
    <row r="207" spans="1:8" x14ac:dyDescent="0.35">
      <c r="A207" s="21"/>
      <c r="B207" t="s">
        <v>1899</v>
      </c>
      <c r="C207" t="s">
        <v>6</v>
      </c>
      <c r="D207" t="s">
        <v>4950</v>
      </c>
      <c r="F207" s="1">
        <v>46066</v>
      </c>
      <c r="G207" t="str">
        <f>IF(Table3[[#This Row],[Top Parent Account]]="",Table3[[#This Row],[Account Legal Name]],Table3[[#This Row],[Top Parent Account]])</f>
        <v>Solar concepts</v>
      </c>
      <c r="H207" s="1"/>
    </row>
    <row r="208" spans="1:8" x14ac:dyDescent="0.35">
      <c r="A208" s="21"/>
      <c r="B208" t="s">
        <v>1899</v>
      </c>
      <c r="C208" t="s">
        <v>6</v>
      </c>
      <c r="D208" t="s">
        <v>2266</v>
      </c>
      <c r="F208" s="1">
        <v>46066</v>
      </c>
      <c r="G208" t="str">
        <f>IF(Table3[[#This Row],[Top Parent Account]]="",Table3[[#This Row],[Account Legal Name]],Table3[[#This Row],[Top Parent Account]])</f>
        <v>Industrias Dinamek</v>
      </c>
      <c r="H208" s="1"/>
    </row>
    <row r="209" spans="1:8" x14ac:dyDescent="0.35">
      <c r="A209" s="21"/>
      <c r="B209" t="s">
        <v>4704</v>
      </c>
      <c r="C209" t="s">
        <v>22</v>
      </c>
      <c r="D209" t="s">
        <v>2538</v>
      </c>
      <c r="F209" s="1">
        <v>46066</v>
      </c>
      <c r="G209" t="str">
        <f>IF(Table3[[#This Row],[Top Parent Account]]="",Table3[[#This Row],[Account Legal Name]],Table3[[#This Row],[Top Parent Account]])</f>
        <v>Productos Dietrix</v>
      </c>
      <c r="H209" s="1"/>
    </row>
    <row r="210" spans="1:8" x14ac:dyDescent="0.35">
      <c r="A210" s="21"/>
      <c r="B210" t="s">
        <v>88</v>
      </c>
      <c r="C210" t="s">
        <v>6</v>
      </c>
      <c r="D210" t="s">
        <v>4951</v>
      </c>
      <c r="F210" s="1">
        <v>46066</v>
      </c>
      <c r="G210" t="str">
        <f>IF(Table3[[#This Row],[Top Parent Account]]="",Table3[[#This Row],[Account Legal Name]],Table3[[#This Row],[Top Parent Account]])</f>
        <v>Lacerta Si</v>
      </c>
      <c r="H210" s="1"/>
    </row>
    <row r="211" spans="1:8" x14ac:dyDescent="0.35">
      <c r="A211" s="21"/>
      <c r="B211" t="s">
        <v>3092</v>
      </c>
      <c r="C211" t="s">
        <v>6</v>
      </c>
      <c r="D211" t="s">
        <v>4952</v>
      </c>
      <c r="F211" s="1">
        <v>46066</v>
      </c>
      <c r="G211" t="str">
        <f>IF(Table3[[#This Row],[Top Parent Account]]="",Table3[[#This Row],[Account Legal Name]],Table3[[#This Row],[Top Parent Account]])</f>
        <v>OPERADORA DE PRODUCTOS DEL MAR</v>
      </c>
      <c r="H211" s="1"/>
    </row>
    <row r="212" spans="1:8" x14ac:dyDescent="0.35">
      <c r="A212" s="21"/>
      <c r="B212" t="s">
        <v>84</v>
      </c>
      <c r="C212" t="s">
        <v>4953</v>
      </c>
      <c r="D212" t="s">
        <v>1121</v>
      </c>
      <c r="F212" s="1">
        <v>46066</v>
      </c>
      <c r="G212" t="str">
        <f>IF(Table3[[#This Row],[Top Parent Account]]="",Table3[[#This Row],[Account Legal Name]],Table3[[#This Row],[Top Parent Account]])</f>
        <v>Constructora Makro</v>
      </c>
      <c r="H212" s="1"/>
    </row>
    <row r="213" spans="1:8" x14ac:dyDescent="0.35">
      <c r="A213" s="21"/>
      <c r="B213" t="s">
        <v>925</v>
      </c>
      <c r="C213" t="s">
        <v>6</v>
      </c>
      <c r="D213" t="s">
        <v>4954</v>
      </c>
      <c r="F213" s="1">
        <v>46065</v>
      </c>
      <c r="G213" t="str">
        <f>IF(Table3[[#This Row],[Top Parent Account]]="",Table3[[#This Row],[Account Legal Name]],Table3[[#This Row],[Top Parent Account]])</f>
        <v>Panatubos</v>
      </c>
      <c r="H213" s="1"/>
    </row>
    <row r="214" spans="1:8" x14ac:dyDescent="0.35">
      <c r="A214" s="21"/>
      <c r="B214" t="s">
        <v>739</v>
      </c>
      <c r="C214" t="s">
        <v>4955</v>
      </c>
      <c r="D214" t="s">
        <v>2982</v>
      </c>
      <c r="F214" s="1">
        <v>46065</v>
      </c>
      <c r="G214" t="str">
        <f>IF(Table3[[#This Row],[Top Parent Account]]="",Table3[[#This Row],[Account Legal Name]],Table3[[#This Row],[Top Parent Account]])</f>
        <v>Mexichem</v>
      </c>
      <c r="H214" s="1"/>
    </row>
    <row r="215" spans="1:8" x14ac:dyDescent="0.35">
      <c r="A215" s="21"/>
      <c r="B215" t="s">
        <v>12</v>
      </c>
      <c r="C215" t="s">
        <v>6</v>
      </c>
      <c r="D215" t="s">
        <v>2401</v>
      </c>
      <c r="E215" t="s">
        <v>329</v>
      </c>
      <c r="F215" s="1">
        <v>46065</v>
      </c>
      <c r="G215" t="str">
        <f>IF(Table3[[#This Row],[Top Parent Account]]="",Table3[[#This Row],[Account Legal Name]],Table3[[#This Row],[Top Parent Account]])</f>
        <v>Cotemar</v>
      </c>
      <c r="H215" s="1"/>
    </row>
    <row r="216" spans="1:8" x14ac:dyDescent="0.35">
      <c r="A216" s="21"/>
      <c r="B216" t="s">
        <v>172</v>
      </c>
      <c r="C216" t="s">
        <v>6</v>
      </c>
      <c r="D216" t="s">
        <v>4956</v>
      </c>
      <c r="F216" s="1">
        <v>46065</v>
      </c>
      <c r="G216" t="str">
        <f>IF(Table3[[#This Row],[Top Parent Account]]="",Table3[[#This Row],[Account Legal Name]],Table3[[#This Row],[Top Parent Account]])</f>
        <v>Tenedora Agnico Eagle México</v>
      </c>
      <c r="H216" s="1"/>
    </row>
    <row r="217" spans="1:8" x14ac:dyDescent="0.35">
      <c r="A217" s="21"/>
      <c r="B217" t="s">
        <v>88</v>
      </c>
      <c r="C217" t="s">
        <v>22</v>
      </c>
      <c r="D217" t="s">
        <v>4640</v>
      </c>
      <c r="F217" s="1">
        <v>46065</v>
      </c>
      <c r="G217" t="str">
        <f>IF(Table3[[#This Row],[Top Parent Account]]="",Table3[[#This Row],[Account Legal Name]],Table3[[#This Row],[Top Parent Account]])</f>
        <v>MITZY NALLELY BARRIOS CUEVAS</v>
      </c>
      <c r="H217" s="1"/>
    </row>
    <row r="218" spans="1:8" x14ac:dyDescent="0.35">
      <c r="A218" s="21"/>
      <c r="B218" t="s">
        <v>3092</v>
      </c>
      <c r="C218" t="s">
        <v>6</v>
      </c>
      <c r="D218" t="s">
        <v>4817</v>
      </c>
      <c r="F218" s="1">
        <v>46065</v>
      </c>
      <c r="G218" t="str">
        <f>IF(Table3[[#This Row],[Top Parent Account]]="",Table3[[#This Row],[Account Legal Name]],Table3[[#This Row],[Top Parent Account]])</f>
        <v>DRY CONCEPT MEXICO</v>
      </c>
      <c r="H218" s="1"/>
    </row>
    <row r="219" spans="1:8" x14ac:dyDescent="0.35">
      <c r="A219" s="21"/>
      <c r="B219" t="s">
        <v>39</v>
      </c>
      <c r="C219" t="s">
        <v>4165</v>
      </c>
      <c r="D219" t="s">
        <v>875</v>
      </c>
      <c r="F219" s="1">
        <v>46065</v>
      </c>
      <c r="G219" t="str">
        <f>IF(Table3[[#This Row],[Top Parent Account]]="",Table3[[#This Row],[Account Legal Name]],Table3[[#This Row],[Top Parent Account]])</f>
        <v>Construcciones Rotter</v>
      </c>
      <c r="H219" s="1"/>
    </row>
    <row r="220" spans="1:8" x14ac:dyDescent="0.35">
      <c r="A220" s="21"/>
      <c r="B220" t="s">
        <v>26</v>
      </c>
      <c r="C220" t="s">
        <v>6</v>
      </c>
      <c r="D220" t="s">
        <v>331</v>
      </c>
      <c r="F220" s="1">
        <v>46065</v>
      </c>
      <c r="G220" t="str">
        <f>IF(Table3[[#This Row],[Top Parent Account]]="",Table3[[#This Row],[Account Legal Name]],Table3[[#This Row],[Top Parent Account]])</f>
        <v>Procesadora De Alimentos Cima</v>
      </c>
      <c r="H220" s="1"/>
    </row>
    <row r="221" spans="1:8" x14ac:dyDescent="0.35">
      <c r="A221" s="21"/>
      <c r="B221" t="s">
        <v>3114</v>
      </c>
      <c r="C221" t="s">
        <v>52</v>
      </c>
      <c r="D221" t="s">
        <v>2987</v>
      </c>
      <c r="F221" s="1">
        <v>46065</v>
      </c>
      <c r="G221" t="str">
        <f>IF(Table3[[#This Row],[Top Parent Account]]="",Table3[[#This Row],[Account Legal Name]],Table3[[#This Row],[Top Parent Account]])</f>
        <v>Metales y Equipos Mecanicos Regios</v>
      </c>
      <c r="H221" s="1"/>
    </row>
    <row r="222" spans="1:8" x14ac:dyDescent="0.35">
      <c r="A222" s="21"/>
      <c r="B222" t="s">
        <v>3092</v>
      </c>
      <c r="C222" t="s">
        <v>6</v>
      </c>
      <c r="D222" t="s">
        <v>4817</v>
      </c>
      <c r="F222" s="1">
        <v>46065</v>
      </c>
      <c r="G222" t="str">
        <f>IF(Table3[[#This Row],[Top Parent Account]]="",Table3[[#This Row],[Account Legal Name]],Table3[[#This Row],[Top Parent Account]])</f>
        <v>DRY CONCEPT MEXICO</v>
      </c>
      <c r="H222" s="1"/>
    </row>
    <row r="223" spans="1:8" x14ac:dyDescent="0.35">
      <c r="A223" s="21"/>
      <c r="B223" t="s">
        <v>932</v>
      </c>
      <c r="C223" t="s">
        <v>6</v>
      </c>
      <c r="D223" t="s">
        <v>4957</v>
      </c>
      <c r="F223" s="1">
        <v>46065</v>
      </c>
      <c r="G223" t="str">
        <f>IF(Table3[[#This Row],[Top Parent Account]]="",Table3[[#This Row],[Account Legal Name]],Table3[[#This Row],[Top Parent Account]])</f>
        <v>Alimentos Practicos y Selectos</v>
      </c>
      <c r="H223" s="1"/>
    </row>
    <row r="224" spans="1:8" x14ac:dyDescent="0.35">
      <c r="A224" s="21"/>
      <c r="B224" t="s">
        <v>32</v>
      </c>
      <c r="C224" t="s">
        <v>6</v>
      </c>
      <c r="D224" t="s">
        <v>4958</v>
      </c>
      <c r="F224" s="1">
        <v>46065</v>
      </c>
      <c r="G224" t="str">
        <f>IF(Table3[[#This Row],[Top Parent Account]]="",Table3[[#This Row],[Account Legal Name]],Table3[[#This Row],[Top Parent Account]])</f>
        <v>Empacadora De Carnes Selectas Del Papaloapan</v>
      </c>
      <c r="H224" s="1"/>
    </row>
    <row r="225" spans="1:8" x14ac:dyDescent="0.35">
      <c r="A225" s="21"/>
      <c r="B225" t="s">
        <v>121</v>
      </c>
      <c r="C225" t="s">
        <v>6</v>
      </c>
      <c r="D225" t="s">
        <v>4427</v>
      </c>
      <c r="F225" s="1">
        <v>46065</v>
      </c>
      <c r="G225" t="str">
        <f>IF(Table3[[#This Row],[Top Parent Account]]="",Table3[[#This Row],[Account Legal Name]],Table3[[#This Row],[Top Parent Account]])</f>
        <v>LUXURY FRUIT</v>
      </c>
      <c r="H225" s="1"/>
    </row>
    <row r="226" spans="1:8" x14ac:dyDescent="0.35">
      <c r="A226" s="21"/>
      <c r="B226" t="s">
        <v>14</v>
      </c>
      <c r="C226" t="s">
        <v>6</v>
      </c>
      <c r="D226" t="s">
        <v>1128</v>
      </c>
      <c r="F226" s="1">
        <v>46065</v>
      </c>
      <c r="G226" t="str">
        <f>IF(Table3[[#This Row],[Top Parent Account]]="",Table3[[#This Row],[Account Legal Name]],Table3[[#This Row],[Top Parent Account]])</f>
        <v>Logística Express La Bufa</v>
      </c>
      <c r="H226" s="1"/>
    </row>
    <row r="227" spans="1:8" x14ac:dyDescent="0.35">
      <c r="A227" s="21"/>
      <c r="B227" t="s">
        <v>739</v>
      </c>
      <c r="C227" t="s">
        <v>4960</v>
      </c>
      <c r="D227" t="s">
        <v>2982</v>
      </c>
      <c r="F227" s="1">
        <v>46065</v>
      </c>
      <c r="G227" t="str">
        <f>IF(Table3[[#This Row],[Top Parent Account]]="",Table3[[#This Row],[Account Legal Name]],Table3[[#This Row],[Top Parent Account]])</f>
        <v>Mexichem</v>
      </c>
      <c r="H227" s="1"/>
    </row>
    <row r="228" spans="1:8" x14ac:dyDescent="0.35">
      <c r="A228" s="21"/>
      <c r="B228" t="s">
        <v>739</v>
      </c>
      <c r="C228" t="s">
        <v>4961</v>
      </c>
      <c r="D228" t="s">
        <v>2982</v>
      </c>
      <c r="F228" s="1">
        <v>46065</v>
      </c>
      <c r="G228" t="str">
        <f>IF(Table3[[#This Row],[Top Parent Account]]="",Table3[[#This Row],[Account Legal Name]],Table3[[#This Row],[Top Parent Account]])</f>
        <v>Mexichem</v>
      </c>
      <c r="H228" s="1"/>
    </row>
    <row r="229" spans="1:8" x14ac:dyDescent="0.35">
      <c r="A229" s="21"/>
      <c r="B229" t="s">
        <v>38</v>
      </c>
      <c r="C229" t="s">
        <v>6</v>
      </c>
      <c r="D229" t="s">
        <v>4959</v>
      </c>
      <c r="F229" s="1">
        <v>46065</v>
      </c>
      <c r="G229" t="str">
        <f>IF(Table3[[#This Row],[Top Parent Account]]="",Table3[[#This Row],[Account Legal Name]],Table3[[#This Row],[Top Parent Account]])</f>
        <v>MEISA</v>
      </c>
      <c r="H229" s="1"/>
    </row>
    <row r="230" spans="1:8" x14ac:dyDescent="0.35">
      <c r="A230" s="21"/>
      <c r="B230" t="s">
        <v>4696</v>
      </c>
      <c r="C230" t="s">
        <v>6</v>
      </c>
      <c r="D230" t="s">
        <v>2767</v>
      </c>
      <c r="F230" s="1">
        <v>46065</v>
      </c>
      <c r="G230" t="str">
        <f>IF(Table3[[#This Row],[Top Parent Account]]="",Table3[[#This Row],[Account Legal Name]],Table3[[#This Row],[Top Parent Account]])</f>
        <v>Fricongelados Citlaltepetl</v>
      </c>
      <c r="H230" s="1"/>
    </row>
    <row r="231" spans="1:8" x14ac:dyDescent="0.35">
      <c r="A231" s="21"/>
      <c r="B231" t="s">
        <v>14</v>
      </c>
      <c r="C231" t="s">
        <v>6</v>
      </c>
      <c r="D231" t="s">
        <v>4962</v>
      </c>
      <c r="F231" s="1">
        <v>46065</v>
      </c>
      <c r="G231" t="str">
        <f>IF(Table3[[#This Row],[Top Parent Account]]="",Table3[[#This Row],[Account Legal Name]],Table3[[#This Row],[Top Parent Account]])</f>
        <v>Grupo Fase 2c</v>
      </c>
      <c r="H231" s="1"/>
    </row>
    <row r="232" spans="1:8" x14ac:dyDescent="0.35">
      <c r="A232" s="21"/>
      <c r="B232" t="s">
        <v>39</v>
      </c>
      <c r="C232" t="s">
        <v>4165</v>
      </c>
      <c r="D232" t="s">
        <v>4818</v>
      </c>
      <c r="F232" s="1">
        <v>46065</v>
      </c>
      <c r="G232" t="str">
        <f>IF(Table3[[#This Row],[Top Parent Account]]="",Table3[[#This Row],[Account Legal Name]],Table3[[#This Row],[Top Parent Account]])</f>
        <v>Maclin</v>
      </c>
      <c r="H232" s="1"/>
    </row>
    <row r="233" spans="1:8" x14ac:dyDescent="0.35">
      <c r="A233" s="21"/>
      <c r="B233" t="s">
        <v>121</v>
      </c>
      <c r="C233" t="s">
        <v>6</v>
      </c>
      <c r="D233" t="s">
        <v>1975</v>
      </c>
      <c r="F233" s="1">
        <v>46065</v>
      </c>
      <c r="G233" t="str">
        <f>IF(Table3[[#This Row],[Top Parent Account]]="",Table3[[#This Row],[Account Legal Name]],Table3[[#This Row],[Top Parent Account]])</f>
        <v>Agregados Zacanta</v>
      </c>
      <c r="H233" s="1"/>
    </row>
    <row r="234" spans="1:8" x14ac:dyDescent="0.35">
      <c r="A234" s="21"/>
      <c r="B234" t="s">
        <v>18</v>
      </c>
      <c r="C234" t="s">
        <v>6</v>
      </c>
      <c r="D234" t="s">
        <v>4963</v>
      </c>
      <c r="F234" s="1">
        <v>46065</v>
      </c>
      <c r="G234" t="str">
        <f>IF(Table3[[#This Row],[Top Parent Account]]="",Table3[[#This Row],[Account Legal Name]],Table3[[#This Row],[Top Parent Account]])</f>
        <v>Sodesa Transportación</v>
      </c>
      <c r="H234" s="1"/>
    </row>
    <row r="235" spans="1:8" x14ac:dyDescent="0.35">
      <c r="A235" s="21"/>
      <c r="B235" t="s">
        <v>32</v>
      </c>
      <c r="C235" t="s">
        <v>6</v>
      </c>
      <c r="D235" t="s">
        <v>4964</v>
      </c>
      <c r="F235" s="1">
        <v>46065</v>
      </c>
      <c r="G235" t="str">
        <f>IF(Table3[[#This Row],[Top Parent Account]]="",Table3[[#This Row],[Account Legal Name]],Table3[[#This Row],[Top Parent Account]])</f>
        <v>EXPORTADORA DE CAFÉ CALIFORNIA</v>
      </c>
      <c r="H235" s="1"/>
    </row>
    <row r="236" spans="1:8" x14ac:dyDescent="0.35">
      <c r="A236" s="21"/>
      <c r="B236" t="s">
        <v>172</v>
      </c>
      <c r="C236" t="s">
        <v>6</v>
      </c>
      <c r="D236" t="s">
        <v>4965</v>
      </c>
      <c r="F236" s="1">
        <v>46065</v>
      </c>
      <c r="G236" t="str">
        <f>IF(Table3[[#This Row],[Top Parent Account]]="",Table3[[#This Row],[Account Legal Name]],Table3[[#This Row],[Top Parent Account]])</f>
        <v>Servicios y Anclajes del Norte</v>
      </c>
      <c r="H236" s="1"/>
    </row>
    <row r="237" spans="1:8" x14ac:dyDescent="0.35">
      <c r="A237" s="21"/>
      <c r="B237" t="s">
        <v>23</v>
      </c>
      <c r="C237" t="s">
        <v>6</v>
      </c>
      <c r="D237" t="s">
        <v>4966</v>
      </c>
      <c r="F237" s="1">
        <v>46065</v>
      </c>
      <c r="G237" t="str">
        <f>IF(Table3[[#This Row],[Top Parent Account]]="",Table3[[#This Row],[Account Legal Name]],Table3[[#This Row],[Top Parent Account]])</f>
        <v>Minera la Negra</v>
      </c>
      <c r="H237" s="1"/>
    </row>
    <row r="238" spans="1:8" x14ac:dyDescent="0.35">
      <c r="A238" s="21"/>
      <c r="B238" t="s">
        <v>26</v>
      </c>
      <c r="C238" t="s">
        <v>6</v>
      </c>
      <c r="D238" t="s">
        <v>4967</v>
      </c>
      <c r="F238" s="1">
        <v>46065</v>
      </c>
      <c r="G238" t="str">
        <f>IF(Table3[[#This Row],[Top Parent Account]]="",Table3[[#This Row],[Account Legal Name]],Table3[[#This Row],[Top Parent Account]])</f>
        <v>Pilu Diseños Y Promociones</v>
      </c>
      <c r="H238" s="1"/>
    </row>
    <row r="239" spans="1:8" x14ac:dyDescent="0.35">
      <c r="A239" s="21"/>
      <c r="B239" t="s">
        <v>3182</v>
      </c>
      <c r="C239" t="s">
        <v>22</v>
      </c>
      <c r="D239" t="s">
        <v>4740</v>
      </c>
      <c r="F239" s="1">
        <v>46065</v>
      </c>
      <c r="G239" t="str">
        <f>IF(Table3[[#This Row],[Top Parent Account]]="",Table3[[#This Row],[Account Legal Name]],Table3[[#This Row],[Top Parent Account]])</f>
        <v>CUBBO</v>
      </c>
      <c r="H239" s="1"/>
    </row>
    <row r="240" spans="1:8" x14ac:dyDescent="0.35">
      <c r="A240" s="21"/>
      <c r="B240" t="s">
        <v>4704</v>
      </c>
      <c r="C240" t="s">
        <v>6</v>
      </c>
      <c r="D240" t="s">
        <v>4819</v>
      </c>
      <c r="F240" s="1">
        <v>46065</v>
      </c>
      <c r="G240" t="str">
        <f>IF(Table3[[#This Row],[Top Parent Account]]="",Table3[[#This Row],[Account Legal Name]],Table3[[#This Row],[Top Parent Account]])</f>
        <v>QUALITY BEDS</v>
      </c>
      <c r="H240" s="1"/>
    </row>
    <row r="241" spans="1:8" x14ac:dyDescent="0.35">
      <c r="A241" s="21"/>
      <c r="B241" t="s">
        <v>28</v>
      </c>
      <c r="C241" t="s">
        <v>6</v>
      </c>
      <c r="D241" t="s">
        <v>4943</v>
      </c>
      <c r="F241" s="1">
        <v>46065</v>
      </c>
      <c r="G241" t="str">
        <f>IF(Table3[[#This Row],[Top Parent Account]]="",Table3[[#This Row],[Account Legal Name]],Table3[[#This Row],[Top Parent Account]])</f>
        <v>HELADOS Y PALETAS WILLY</v>
      </c>
      <c r="H241" s="1"/>
    </row>
    <row r="242" spans="1:8" x14ac:dyDescent="0.35">
      <c r="A242" s="21"/>
      <c r="B242" t="s">
        <v>208</v>
      </c>
      <c r="C242" t="s">
        <v>6</v>
      </c>
      <c r="D242" t="s">
        <v>4968</v>
      </c>
      <c r="F242" s="1">
        <v>46065</v>
      </c>
      <c r="G242" t="str">
        <f>IF(Table3[[#This Row],[Top Parent Account]]="",Table3[[#This Row],[Account Legal Name]],Table3[[#This Row],[Top Parent Account]])</f>
        <v>PUBLICIDAD ARTISTICA DE IMPACTO</v>
      </c>
      <c r="H242" s="1"/>
    </row>
    <row r="243" spans="1:8" x14ac:dyDescent="0.35">
      <c r="A243" s="21"/>
      <c r="B243" t="s">
        <v>3129</v>
      </c>
      <c r="C243" t="s">
        <v>6</v>
      </c>
      <c r="D243" t="s">
        <v>4101</v>
      </c>
      <c r="F243" s="1">
        <v>46065</v>
      </c>
      <c r="G243" t="str">
        <f>IF(Table3[[#This Row],[Top Parent Account]]="",Table3[[#This Row],[Account Legal Name]],Table3[[#This Row],[Top Parent Account]])</f>
        <v>SERTEC</v>
      </c>
      <c r="H243" s="1"/>
    </row>
    <row r="244" spans="1:8" x14ac:dyDescent="0.35">
      <c r="A244" s="21"/>
      <c r="B244" t="s">
        <v>77</v>
      </c>
      <c r="C244" t="s">
        <v>6</v>
      </c>
      <c r="D244" t="s">
        <v>4820</v>
      </c>
      <c r="F244" s="1">
        <v>46065</v>
      </c>
      <c r="G244" t="str">
        <f>IF(Table3[[#This Row],[Top Parent Account]]="",Table3[[#This Row],[Account Legal Name]],Table3[[#This Row],[Top Parent Account]])</f>
        <v>Peter Friessen Penner</v>
      </c>
      <c r="H244" s="1"/>
    </row>
    <row r="245" spans="1:8" x14ac:dyDescent="0.35">
      <c r="A245" s="21"/>
      <c r="B245" t="s">
        <v>51</v>
      </c>
      <c r="C245" t="s">
        <v>6</v>
      </c>
      <c r="D245" t="s">
        <v>4821</v>
      </c>
      <c r="F245" s="1">
        <v>46065</v>
      </c>
      <c r="G245" t="str">
        <f>IF(Table3[[#This Row],[Top Parent Account]]="",Table3[[#This Row],[Account Legal Name]],Table3[[#This Row],[Top Parent Account]])</f>
        <v>Agroindustrial Biotech México</v>
      </c>
      <c r="H245" s="1"/>
    </row>
    <row r="246" spans="1:8" x14ac:dyDescent="0.35">
      <c r="A246" s="21"/>
      <c r="B246" t="s">
        <v>88</v>
      </c>
      <c r="C246" t="s">
        <v>6</v>
      </c>
      <c r="D246" t="s">
        <v>4822</v>
      </c>
      <c r="F246" s="1">
        <v>46065</v>
      </c>
      <c r="G246" t="str">
        <f>IF(Table3[[#This Row],[Top Parent Account]]="",Table3[[#This Row],[Account Legal Name]],Table3[[#This Row],[Top Parent Account]])</f>
        <v>Corporativo Sase</v>
      </c>
      <c r="H246" s="1"/>
    </row>
    <row r="247" spans="1:8" x14ac:dyDescent="0.35">
      <c r="A247" s="21"/>
      <c r="B247" t="s">
        <v>932</v>
      </c>
      <c r="C247" t="s">
        <v>6</v>
      </c>
      <c r="D247" t="s">
        <v>3643</v>
      </c>
      <c r="F247" s="1">
        <v>46065</v>
      </c>
      <c r="G247" t="str">
        <f>IF(Table3[[#This Row],[Top Parent Account]]="",Table3[[#This Row],[Account Legal Name]],Table3[[#This Row],[Top Parent Account]])</f>
        <v>GM ROBOTIC</v>
      </c>
      <c r="H247" s="1"/>
    </row>
    <row r="248" spans="1:8" x14ac:dyDescent="0.35">
      <c r="A248" s="21"/>
      <c r="B248" t="s">
        <v>2693</v>
      </c>
      <c r="C248" t="s">
        <v>6</v>
      </c>
      <c r="D248" t="s">
        <v>2491</v>
      </c>
      <c r="F248" s="1">
        <v>46065</v>
      </c>
      <c r="G248" t="str">
        <f>IF(Table3[[#This Row],[Top Parent Account]]="",Table3[[#This Row],[Account Legal Name]],Table3[[#This Row],[Top Parent Account]])</f>
        <v>Servicios Administrados Mexis</v>
      </c>
      <c r="H248" s="1"/>
    </row>
    <row r="249" spans="1:8" x14ac:dyDescent="0.35">
      <c r="A249" s="21"/>
      <c r="B249" t="s">
        <v>932</v>
      </c>
      <c r="C249" t="s">
        <v>6</v>
      </c>
      <c r="D249" t="s">
        <v>65</v>
      </c>
      <c r="F249" s="1">
        <v>46065</v>
      </c>
      <c r="G249" t="str">
        <f>IF(Table3[[#This Row],[Top Parent Account]]="",Table3[[#This Row],[Account Legal Name]],Table3[[#This Row],[Top Parent Account]])</f>
        <v>Smart Center</v>
      </c>
      <c r="H249" s="1"/>
    </row>
    <row r="250" spans="1:8" x14ac:dyDescent="0.35">
      <c r="A250" s="21"/>
      <c r="B250" t="s">
        <v>14</v>
      </c>
      <c r="C250" t="s">
        <v>6</v>
      </c>
      <c r="D250" t="s">
        <v>4823</v>
      </c>
      <c r="F250" s="1">
        <v>46065</v>
      </c>
      <c r="G250" t="str">
        <f>IF(Table3[[#This Row],[Top Parent Account]]="",Table3[[#This Row],[Account Legal Name]],Table3[[#This Row],[Top Parent Account]])</f>
        <v>Coloso Capital</v>
      </c>
      <c r="H250" s="1"/>
    </row>
    <row r="251" spans="1:8" x14ac:dyDescent="0.35">
      <c r="A251" s="21"/>
      <c r="B251" t="s">
        <v>1511</v>
      </c>
      <c r="C251" t="s">
        <v>6</v>
      </c>
      <c r="D251" t="s">
        <v>4969</v>
      </c>
      <c r="F251" s="1">
        <v>46065</v>
      </c>
      <c r="G251" t="str">
        <f>IF(Table3[[#This Row],[Top Parent Account]]="",Table3[[#This Row],[Account Legal Name]],Table3[[#This Row],[Top Parent Account]])</f>
        <v>Garfrut</v>
      </c>
      <c r="H251" s="1"/>
    </row>
    <row r="252" spans="1:8" x14ac:dyDescent="0.35">
      <c r="A252" s="21"/>
      <c r="B252" t="s">
        <v>32</v>
      </c>
      <c r="C252" t="s">
        <v>6</v>
      </c>
      <c r="D252" t="s">
        <v>289</v>
      </c>
      <c r="F252" s="1">
        <v>46065</v>
      </c>
      <c r="G252" t="str">
        <f>IF(Table3[[#This Row],[Top Parent Account]]="",Table3[[#This Row],[Account Legal Name]],Table3[[#This Row],[Top Parent Account]])</f>
        <v>Transmodal</v>
      </c>
      <c r="H252" s="1"/>
    </row>
    <row r="253" spans="1:8" x14ac:dyDescent="0.35">
      <c r="A253" s="21"/>
      <c r="B253" t="s">
        <v>4696</v>
      </c>
      <c r="C253" t="s">
        <v>6</v>
      </c>
      <c r="D253" t="s">
        <v>4970</v>
      </c>
      <c r="F253" s="1">
        <v>46065</v>
      </c>
      <c r="G253" t="str">
        <f>IF(Table3[[#This Row],[Top Parent Account]]="",Table3[[#This Row],[Account Legal Name]],Table3[[#This Row],[Top Parent Account]])</f>
        <v>Construcciones y Asesoría Epcosa</v>
      </c>
      <c r="H253" s="1"/>
    </row>
    <row r="254" spans="1:8" x14ac:dyDescent="0.35">
      <c r="A254" s="21"/>
      <c r="B254" t="s">
        <v>3182</v>
      </c>
      <c r="C254" t="s">
        <v>22</v>
      </c>
      <c r="D254" t="s">
        <v>4824</v>
      </c>
      <c r="E254" t="s">
        <v>541</v>
      </c>
      <c r="F254" s="1">
        <v>46065</v>
      </c>
      <c r="G254" t="str">
        <f>IF(Table3[[#This Row],[Top Parent Account]]="",Table3[[#This Row],[Account Legal Name]],Table3[[#This Row],[Top Parent Account]])</f>
        <v>Diebold Nixdorf</v>
      </c>
      <c r="H254" s="1"/>
    </row>
    <row r="255" spans="1:8" x14ac:dyDescent="0.35">
      <c r="A255" s="21"/>
      <c r="B255" t="s">
        <v>26</v>
      </c>
      <c r="C255" t="s">
        <v>6</v>
      </c>
      <c r="D255" t="s">
        <v>2185</v>
      </c>
      <c r="E255" t="s">
        <v>2186</v>
      </c>
      <c r="F255" s="1">
        <v>46065</v>
      </c>
      <c r="G255" t="str">
        <f>IF(Table3[[#This Row],[Top Parent Account]]="",Table3[[#This Row],[Account Legal Name]],Table3[[#This Row],[Top Parent Account]])</f>
        <v>Unicar Mexicana</v>
      </c>
      <c r="H255" s="1"/>
    </row>
    <row r="256" spans="1:8" x14ac:dyDescent="0.35">
      <c r="A256" s="21"/>
      <c r="B256" t="s">
        <v>207</v>
      </c>
      <c r="C256" t="s">
        <v>6</v>
      </c>
      <c r="D256" t="s">
        <v>4825</v>
      </c>
      <c r="E256" t="s">
        <v>4826</v>
      </c>
      <c r="F256" s="1">
        <v>46065</v>
      </c>
      <c r="G256" t="str">
        <f>IF(Table3[[#This Row],[Top Parent Account]]="",Table3[[#This Row],[Account Legal Name]],Table3[[#This Row],[Top Parent Account]])</f>
        <v>PYA Automotive</v>
      </c>
      <c r="H256" s="1"/>
    </row>
    <row r="257" spans="1:8" x14ac:dyDescent="0.35">
      <c r="A257" s="21"/>
      <c r="B257" t="s">
        <v>169</v>
      </c>
      <c r="C257" t="s">
        <v>1542</v>
      </c>
      <c r="D257" t="s">
        <v>4827</v>
      </c>
      <c r="F257" s="1">
        <v>46065</v>
      </c>
      <c r="G257" t="str">
        <f>IF(Table3[[#This Row],[Top Parent Account]]="",Table3[[#This Row],[Account Legal Name]],Table3[[#This Row],[Top Parent Account]])</f>
        <v>AGRÍCOLA INNOVACION</v>
      </c>
      <c r="H257" s="1"/>
    </row>
    <row r="258" spans="1:8" x14ac:dyDescent="0.35">
      <c r="A258" s="21"/>
      <c r="B258" t="s">
        <v>37</v>
      </c>
      <c r="C258" t="s">
        <v>6</v>
      </c>
      <c r="D258" t="s">
        <v>4828</v>
      </c>
      <c r="F258" s="1">
        <v>46065</v>
      </c>
      <c r="G258" t="str">
        <f>IF(Table3[[#This Row],[Top Parent Account]]="",Table3[[#This Row],[Account Legal Name]],Table3[[#This Row],[Top Parent Account]])</f>
        <v>Gaso Comunicaciones</v>
      </c>
      <c r="H258" s="1"/>
    </row>
    <row r="259" spans="1:8" x14ac:dyDescent="0.35">
      <c r="A259" s="21"/>
      <c r="B259" t="s">
        <v>280</v>
      </c>
      <c r="C259" t="s">
        <v>6</v>
      </c>
      <c r="D259" t="s">
        <v>1364</v>
      </c>
      <c r="F259" s="1">
        <v>46065</v>
      </c>
      <c r="G259" t="str">
        <f>IF(Table3[[#This Row],[Top Parent Account]]="",Table3[[#This Row],[Account Legal Name]],Table3[[#This Row],[Top Parent Account]])</f>
        <v>HISHTIL MEXICO</v>
      </c>
      <c r="H259" s="1"/>
    </row>
    <row r="260" spans="1:8" x14ac:dyDescent="0.35">
      <c r="A260" s="21"/>
      <c r="B260" t="s">
        <v>2912</v>
      </c>
      <c r="C260" t="s">
        <v>6</v>
      </c>
      <c r="D260" t="s">
        <v>4679</v>
      </c>
      <c r="E260" t="s">
        <v>3327</v>
      </c>
      <c r="F260" s="1">
        <v>46065</v>
      </c>
      <c r="G260" t="str">
        <f>IF(Table3[[#This Row],[Top Parent Account]]="",Table3[[#This Row],[Account Legal Name]],Table3[[#This Row],[Top Parent Account]])</f>
        <v>Akzo Nobel Chemicals</v>
      </c>
      <c r="H260" s="1"/>
    </row>
    <row r="261" spans="1:8" x14ac:dyDescent="0.35">
      <c r="A261" s="21"/>
      <c r="B261" t="s">
        <v>32</v>
      </c>
      <c r="C261" t="s">
        <v>6</v>
      </c>
      <c r="D261" t="s">
        <v>492</v>
      </c>
      <c r="F261" s="1">
        <v>46065</v>
      </c>
      <c r="G261" t="str">
        <f>IF(Table3[[#This Row],[Top Parent Account]]="",Table3[[#This Row],[Account Legal Name]],Table3[[#This Row],[Top Parent Account]])</f>
        <v>Rancho Santa Rita</v>
      </c>
      <c r="H261" s="1"/>
    </row>
    <row r="262" spans="1:8" x14ac:dyDescent="0.35">
      <c r="A262" s="21"/>
      <c r="B262" t="s">
        <v>121</v>
      </c>
      <c r="C262" t="s">
        <v>6</v>
      </c>
      <c r="D262" t="s">
        <v>3963</v>
      </c>
      <c r="F262" s="1">
        <v>46064</v>
      </c>
      <c r="G262" t="str">
        <f>IF(Table3[[#This Row],[Top Parent Account]]="",Table3[[#This Row],[Account Legal Name]],Table3[[#This Row],[Top Parent Account]])</f>
        <v>Grupo Marhel</v>
      </c>
      <c r="H262" s="1"/>
    </row>
    <row r="263" spans="1:8" x14ac:dyDescent="0.35">
      <c r="A263" s="21"/>
      <c r="B263" t="s">
        <v>121</v>
      </c>
      <c r="C263" t="s">
        <v>6</v>
      </c>
      <c r="D263" t="s">
        <v>5037</v>
      </c>
      <c r="F263" s="1">
        <v>46064</v>
      </c>
      <c r="G263" t="str">
        <f>IF(Table3[[#This Row],[Top Parent Account]]="",Table3[[#This Row],[Account Legal Name]],Table3[[#This Row],[Top Parent Account]])</f>
        <v>CM CONCRETOS</v>
      </c>
      <c r="H263" s="1"/>
    </row>
    <row r="264" spans="1:8" x14ac:dyDescent="0.35">
      <c r="A264" s="21"/>
      <c r="B264" t="s">
        <v>88</v>
      </c>
      <c r="C264" t="s">
        <v>6</v>
      </c>
      <c r="D264" t="s">
        <v>2962</v>
      </c>
      <c r="F264" s="1">
        <v>46064</v>
      </c>
      <c r="G264" t="str">
        <f>IF(Table3[[#This Row],[Top Parent Account]]="",Table3[[#This Row],[Account Legal Name]],Table3[[#This Row],[Top Parent Account]])</f>
        <v>International Foods Saltillo</v>
      </c>
      <c r="H264" s="1"/>
    </row>
    <row r="265" spans="1:8" x14ac:dyDescent="0.35">
      <c r="A265" s="21"/>
      <c r="B265" t="s">
        <v>3628</v>
      </c>
      <c r="C265" t="s">
        <v>6</v>
      </c>
      <c r="D265" t="s">
        <v>4829</v>
      </c>
      <c r="F265" s="1">
        <v>46064</v>
      </c>
      <c r="G265" t="str">
        <f>IF(Table3[[#This Row],[Top Parent Account]]="",Table3[[#This Row],[Account Legal Name]],Table3[[#This Row],[Top Parent Account]])</f>
        <v>Industrias Metálicas de Monclova</v>
      </c>
      <c r="H265" s="1"/>
    </row>
    <row r="266" spans="1:8" x14ac:dyDescent="0.35">
      <c r="A266" s="21"/>
      <c r="B266" t="s">
        <v>43</v>
      </c>
      <c r="C266" t="s">
        <v>6</v>
      </c>
      <c r="D266" t="s">
        <v>4312</v>
      </c>
      <c r="F266" s="1">
        <v>46064</v>
      </c>
      <c r="G266" t="str">
        <f>IF(Table3[[#This Row],[Top Parent Account]]="",Table3[[#This Row],[Account Legal Name]],Table3[[#This Row],[Top Parent Account]])</f>
        <v>YntegraPlast Industrial</v>
      </c>
      <c r="H266" s="1"/>
    </row>
    <row r="267" spans="1:8" x14ac:dyDescent="0.35">
      <c r="A267" s="21"/>
      <c r="B267" t="s">
        <v>172</v>
      </c>
      <c r="C267" t="s">
        <v>6</v>
      </c>
      <c r="D267" t="s">
        <v>4875</v>
      </c>
      <c r="F267" s="1">
        <v>46064</v>
      </c>
      <c r="G267" t="str">
        <f>IF(Table3[[#This Row],[Top Parent Account]]="",Table3[[#This Row],[Account Legal Name]],Table3[[#This Row],[Top Parent Account]])</f>
        <v>Pinta Element</v>
      </c>
      <c r="H267" s="1"/>
    </row>
    <row r="268" spans="1:8" x14ac:dyDescent="0.35">
      <c r="A268" s="21"/>
      <c r="B268" t="s">
        <v>172</v>
      </c>
      <c r="C268" t="s">
        <v>6</v>
      </c>
      <c r="D268" t="s">
        <v>1039</v>
      </c>
      <c r="F268" s="1">
        <v>46064</v>
      </c>
      <c r="G268" t="str">
        <f>IF(Table3[[#This Row],[Top Parent Account]]="",Table3[[#This Row],[Account Legal Name]],Table3[[#This Row],[Top Parent Account]])</f>
        <v>Arcelormittal</v>
      </c>
      <c r="H268" s="1"/>
    </row>
    <row r="269" spans="1:8" x14ac:dyDescent="0.35">
      <c r="A269" s="21"/>
      <c r="B269" t="s">
        <v>39</v>
      </c>
      <c r="C269" t="s">
        <v>4831</v>
      </c>
      <c r="D269" t="s">
        <v>520</v>
      </c>
      <c r="F269" s="1">
        <v>46064</v>
      </c>
      <c r="G269" t="str">
        <f>IF(Table3[[#This Row],[Top Parent Account]]="",Table3[[#This Row],[Account Legal Name]],Table3[[#This Row],[Top Parent Account]])</f>
        <v>Comercializadora de Alimentos Ochoa</v>
      </c>
      <c r="H269" s="1"/>
    </row>
    <row r="270" spans="1:8" x14ac:dyDescent="0.35">
      <c r="A270" s="21"/>
      <c r="B270" t="s">
        <v>932</v>
      </c>
      <c r="C270" t="s">
        <v>6</v>
      </c>
      <c r="D270" t="s">
        <v>3643</v>
      </c>
      <c r="F270" s="1">
        <v>46064</v>
      </c>
      <c r="G270" t="str">
        <f>IF(Table3[[#This Row],[Top Parent Account]]="",Table3[[#This Row],[Account Legal Name]],Table3[[#This Row],[Top Parent Account]])</f>
        <v>GM ROBOTIC</v>
      </c>
      <c r="H270" s="1"/>
    </row>
    <row r="271" spans="1:8" x14ac:dyDescent="0.35">
      <c r="A271" s="21"/>
      <c r="B271" t="s">
        <v>23</v>
      </c>
      <c r="C271" t="s">
        <v>6</v>
      </c>
      <c r="D271" t="s">
        <v>4830</v>
      </c>
      <c r="F271" s="1">
        <v>46064</v>
      </c>
      <c r="G271" t="str">
        <f>IF(Table3[[#This Row],[Top Parent Account]]="",Table3[[#This Row],[Account Legal Name]],Table3[[#This Row],[Top Parent Account]])</f>
        <v>Newchem &amp; Commerce</v>
      </c>
      <c r="H271" s="1"/>
    </row>
    <row r="272" spans="1:8" x14ac:dyDescent="0.35">
      <c r="A272" s="21"/>
      <c r="B272" t="s">
        <v>2912</v>
      </c>
      <c r="C272" t="s">
        <v>6</v>
      </c>
      <c r="D272" t="s">
        <v>316</v>
      </c>
      <c r="F272" s="1">
        <v>46064</v>
      </c>
      <c r="G272" t="str">
        <f>IF(Table3[[#This Row],[Top Parent Account]]="",Table3[[#This Row],[Account Legal Name]],Table3[[#This Row],[Top Parent Account]])</f>
        <v>Interland Transport</v>
      </c>
      <c r="H272" s="1"/>
    </row>
    <row r="273" spans="1:8" x14ac:dyDescent="0.35">
      <c r="A273" s="21"/>
      <c r="B273" t="s">
        <v>169</v>
      </c>
      <c r="C273" t="s">
        <v>6</v>
      </c>
      <c r="D273" t="s">
        <v>2234</v>
      </c>
      <c r="F273" s="1">
        <v>46064</v>
      </c>
      <c r="G273" t="str">
        <f>IF(Table3[[#This Row],[Top Parent Account]]="",Table3[[#This Row],[Account Legal Name]],Table3[[#This Row],[Top Parent Account]])</f>
        <v>Modelos yasiro</v>
      </c>
      <c r="H273" s="1"/>
    </row>
    <row r="274" spans="1:8" x14ac:dyDescent="0.35">
      <c r="A274" s="21"/>
      <c r="B274" t="s">
        <v>70</v>
      </c>
      <c r="C274" t="s">
        <v>6</v>
      </c>
      <c r="D274" t="s">
        <v>4832</v>
      </c>
      <c r="F274" s="1">
        <v>46064</v>
      </c>
      <c r="G274" t="str">
        <f>IF(Table3[[#This Row],[Top Parent Account]]="",Table3[[#This Row],[Account Legal Name]],Table3[[#This Row],[Top Parent Account]])</f>
        <v>Centro Médico Excel</v>
      </c>
      <c r="H274" s="1"/>
    </row>
    <row r="275" spans="1:8" x14ac:dyDescent="0.35">
      <c r="A275" s="21"/>
      <c r="B275" t="s">
        <v>3092</v>
      </c>
      <c r="C275" t="s">
        <v>6</v>
      </c>
      <c r="D275" t="s">
        <v>4833</v>
      </c>
      <c r="F275" s="1">
        <v>46064</v>
      </c>
      <c r="G275" t="str">
        <f>IF(Table3[[#This Row],[Top Parent Account]]="",Table3[[#This Row],[Account Legal Name]],Table3[[#This Row],[Top Parent Account]])</f>
        <v>Frudest</v>
      </c>
      <c r="H275" s="1"/>
    </row>
    <row r="276" spans="1:8" x14ac:dyDescent="0.35">
      <c r="A276" s="21"/>
      <c r="B276" t="s">
        <v>2693</v>
      </c>
      <c r="C276" t="s">
        <v>6</v>
      </c>
      <c r="D276" t="s">
        <v>4648</v>
      </c>
      <c r="F276" s="1">
        <v>46064</v>
      </c>
      <c r="G276" t="str">
        <f>IF(Table3[[#This Row],[Top Parent Account]]="",Table3[[#This Row],[Account Legal Name]],Table3[[#This Row],[Top Parent Account]])</f>
        <v>Freedom BPO and Contact Center</v>
      </c>
      <c r="H276" s="1"/>
    </row>
    <row r="277" spans="1:8" x14ac:dyDescent="0.35">
      <c r="A277" s="21"/>
      <c r="B277" t="s">
        <v>32</v>
      </c>
      <c r="C277" t="s">
        <v>6</v>
      </c>
      <c r="D277" t="s">
        <v>277</v>
      </c>
      <c r="F277" s="1">
        <v>46064</v>
      </c>
      <c r="G277" t="str">
        <f>IF(Table3[[#This Row],[Top Parent Account]]="",Table3[[#This Row],[Account Legal Name]],Table3[[#This Row],[Top Parent Account]])</f>
        <v>Grupo Cice</v>
      </c>
      <c r="H277" s="1"/>
    </row>
    <row r="278" spans="1:8" x14ac:dyDescent="0.35">
      <c r="A278" s="21"/>
      <c r="B278" t="s">
        <v>24</v>
      </c>
      <c r="C278" t="s">
        <v>6</v>
      </c>
      <c r="D278" t="s">
        <v>1065</v>
      </c>
      <c r="F278" s="1">
        <v>46064</v>
      </c>
      <c r="G278" t="str">
        <f>IF(Table3[[#This Row],[Top Parent Account]]="",Table3[[#This Row],[Account Legal Name]],Table3[[#This Row],[Top Parent Account]])</f>
        <v>Aleaciones Dentales Zeyco</v>
      </c>
      <c r="H278" s="1"/>
    </row>
    <row r="279" spans="1:8" x14ac:dyDescent="0.35">
      <c r="A279" s="21"/>
      <c r="B279" t="s">
        <v>24</v>
      </c>
      <c r="C279" t="s">
        <v>6</v>
      </c>
      <c r="D279" t="s">
        <v>3025</v>
      </c>
      <c r="F279" s="1">
        <v>46064</v>
      </c>
      <c r="G279" t="str">
        <f>IF(Table3[[#This Row],[Top Parent Account]]="",Table3[[#This Row],[Account Legal Name]],Table3[[#This Row],[Top Parent Account]])</f>
        <v>Industrializadora De Maiz</v>
      </c>
      <c r="H279" s="1"/>
    </row>
    <row r="280" spans="1:8" x14ac:dyDescent="0.35">
      <c r="A280" s="21"/>
      <c r="B280" t="s">
        <v>26</v>
      </c>
      <c r="C280" t="s">
        <v>6</v>
      </c>
      <c r="D280" t="s">
        <v>1484</v>
      </c>
      <c r="F280" s="1">
        <v>46064</v>
      </c>
      <c r="G280" t="str">
        <f>IF(Table3[[#This Row],[Top Parent Account]]="",Table3[[#This Row],[Account Legal Name]],Table3[[#This Row],[Top Parent Account]])</f>
        <v>Trans Neyno</v>
      </c>
      <c r="H280" s="1"/>
    </row>
    <row r="281" spans="1:8" x14ac:dyDescent="0.35">
      <c r="A281" s="21"/>
      <c r="B281" t="s">
        <v>18</v>
      </c>
      <c r="C281" t="s">
        <v>6</v>
      </c>
      <c r="D281" t="s">
        <v>2881</v>
      </c>
      <c r="F281" s="1">
        <v>46064</v>
      </c>
      <c r="G281" t="str">
        <f>IF(Table3[[#This Row],[Top Parent Account]]="",Table3[[#This Row],[Account Legal Name]],Table3[[#This Row],[Top Parent Account]])</f>
        <v>Onilog</v>
      </c>
      <c r="H281" s="1"/>
    </row>
    <row r="282" spans="1:8" x14ac:dyDescent="0.35">
      <c r="A282" s="21"/>
      <c r="B282" t="s">
        <v>70</v>
      </c>
      <c r="C282" t="s">
        <v>6</v>
      </c>
      <c r="D282" t="s">
        <v>4834</v>
      </c>
      <c r="F282" s="1">
        <v>46064</v>
      </c>
      <c r="G282" t="str">
        <f>IF(Table3[[#This Row],[Top Parent Account]]="",Table3[[#This Row],[Account Legal Name]],Table3[[#This Row],[Top Parent Account]])</f>
        <v>CENTRO MEDICO PREMIERE</v>
      </c>
      <c r="H282" s="1"/>
    </row>
    <row r="283" spans="1:8" x14ac:dyDescent="0.35">
      <c r="A283" s="21"/>
      <c r="B283" t="s">
        <v>24</v>
      </c>
      <c r="C283" t="s">
        <v>6</v>
      </c>
      <c r="D283" t="s">
        <v>681</v>
      </c>
      <c r="F283" s="1">
        <v>46064</v>
      </c>
      <c r="G283" t="str">
        <f>IF(Table3[[#This Row],[Top Parent Account]]="",Table3[[#This Row],[Account Legal Name]],Table3[[#This Row],[Top Parent Account]])</f>
        <v>Industrializadora Integral Del Agave</v>
      </c>
      <c r="H283" s="1"/>
    </row>
    <row r="284" spans="1:8" x14ac:dyDescent="0.35">
      <c r="A284" s="21"/>
      <c r="B284" t="s">
        <v>208</v>
      </c>
      <c r="C284" t="s">
        <v>6</v>
      </c>
      <c r="D284" t="s">
        <v>4835</v>
      </c>
      <c r="F284" s="1">
        <v>46064</v>
      </c>
      <c r="G284" t="str">
        <f>IF(Table3[[#This Row],[Top Parent Account]]="",Table3[[#This Row],[Account Legal Name]],Table3[[#This Row],[Top Parent Account]])</f>
        <v>COMERCIALIZADORA LUSAN</v>
      </c>
      <c r="H284" s="1"/>
    </row>
    <row r="285" spans="1:8" x14ac:dyDescent="0.35">
      <c r="A285" s="21"/>
      <c r="B285" t="s">
        <v>121</v>
      </c>
      <c r="C285" t="s">
        <v>6</v>
      </c>
      <c r="D285" t="s">
        <v>4914</v>
      </c>
      <c r="F285" s="1">
        <v>46064</v>
      </c>
      <c r="G285" t="str">
        <f>IF(Table3[[#This Row],[Top Parent Account]]="",Table3[[#This Row],[Account Legal Name]],Table3[[#This Row],[Top Parent Account]])</f>
        <v>High Lumen</v>
      </c>
      <c r="H285" s="1"/>
    </row>
    <row r="286" spans="1:8" x14ac:dyDescent="0.35">
      <c r="A286" s="21"/>
      <c r="B286" t="s">
        <v>39</v>
      </c>
      <c r="C286" t="s">
        <v>4837</v>
      </c>
      <c r="D286" t="s">
        <v>2577</v>
      </c>
      <c r="F286" s="1">
        <v>46064</v>
      </c>
      <c r="G286" t="str">
        <f>IF(Table3[[#This Row],[Top Parent Account]]="",Table3[[#This Row],[Account Legal Name]],Table3[[#This Row],[Top Parent Account]])</f>
        <v>ERA Multimodal</v>
      </c>
      <c r="H286" s="1"/>
    </row>
    <row r="287" spans="1:8" x14ac:dyDescent="0.35">
      <c r="A287" s="21"/>
      <c r="B287" t="s">
        <v>70</v>
      </c>
      <c r="C287" t="s">
        <v>6</v>
      </c>
      <c r="D287" t="s">
        <v>110</v>
      </c>
      <c r="F287" s="1">
        <v>46064</v>
      </c>
      <c r="G287" t="str">
        <f>IF(Table3[[#This Row],[Top Parent Account]]="",Table3[[#This Row],[Account Legal Name]],Table3[[#This Row],[Top Parent Account]])</f>
        <v>Centro Médico Florence</v>
      </c>
      <c r="H287" s="1"/>
    </row>
    <row r="288" spans="1:8" x14ac:dyDescent="0.35">
      <c r="A288" s="21"/>
      <c r="B288" t="s">
        <v>4704</v>
      </c>
      <c r="C288" t="s">
        <v>22</v>
      </c>
      <c r="D288" t="s">
        <v>4836</v>
      </c>
      <c r="F288" s="1">
        <v>46064</v>
      </c>
      <c r="G288" t="str">
        <f>IF(Table3[[#This Row],[Top Parent Account]]="",Table3[[#This Row],[Account Legal Name]],Table3[[#This Row],[Top Parent Account]])</f>
        <v>Perfumes Sodexim</v>
      </c>
      <c r="H288" s="1"/>
    </row>
    <row r="289" spans="1:8" x14ac:dyDescent="0.35">
      <c r="A289" s="21"/>
      <c r="B289" t="s">
        <v>14</v>
      </c>
      <c r="C289" t="s">
        <v>6</v>
      </c>
      <c r="D289" t="s">
        <v>4944</v>
      </c>
      <c r="F289" s="1">
        <v>46064</v>
      </c>
      <c r="G289" t="str">
        <f>IF(Table3[[#This Row],[Top Parent Account]]="",Table3[[#This Row],[Account Legal Name]],Table3[[#This Row],[Top Parent Account]])</f>
        <v>TRANSPORTES CHAVARRIA</v>
      </c>
      <c r="H289" s="1"/>
    </row>
    <row r="290" spans="1:8" x14ac:dyDescent="0.35">
      <c r="A290" s="21"/>
      <c r="B290" t="s">
        <v>28</v>
      </c>
      <c r="C290" t="s">
        <v>6</v>
      </c>
      <c r="D290" t="s">
        <v>2331</v>
      </c>
      <c r="F290" s="1">
        <v>46064</v>
      </c>
      <c r="G290" t="str">
        <f>IF(Table3[[#This Row],[Top Parent Account]]="",Table3[[#This Row],[Account Legal Name]],Table3[[#This Row],[Top Parent Account]])</f>
        <v>CORELA</v>
      </c>
      <c r="H290" s="1"/>
    </row>
    <row r="291" spans="1:8" x14ac:dyDescent="0.35">
      <c r="A291" s="21"/>
      <c r="B291" t="s">
        <v>169</v>
      </c>
      <c r="C291" t="s">
        <v>6</v>
      </c>
      <c r="D291" t="s">
        <v>4838</v>
      </c>
      <c r="F291" s="1">
        <v>46064</v>
      </c>
      <c r="G291" t="str">
        <f>IF(Table3[[#This Row],[Top Parent Account]]="",Table3[[#This Row],[Account Legal Name]],Table3[[#This Row],[Top Parent Account]])</f>
        <v>Profesionales en Municipales</v>
      </c>
      <c r="H291" s="1"/>
    </row>
    <row r="292" spans="1:8" x14ac:dyDescent="0.35">
      <c r="A292" s="21"/>
      <c r="B292" t="s">
        <v>1131</v>
      </c>
      <c r="C292" t="s">
        <v>6</v>
      </c>
      <c r="D292" t="s">
        <v>4840</v>
      </c>
      <c r="F292" s="1">
        <v>46064</v>
      </c>
      <c r="G292" t="str">
        <f>IF(Table3[[#This Row],[Top Parent Account]]="",Table3[[#This Row],[Account Legal Name]],Table3[[#This Row],[Top Parent Account]])</f>
        <v>Fastec de México</v>
      </c>
      <c r="H292" s="1"/>
    </row>
    <row r="293" spans="1:8" x14ac:dyDescent="0.35">
      <c r="A293" s="21"/>
      <c r="B293" t="s">
        <v>2884</v>
      </c>
      <c r="C293" t="s">
        <v>6</v>
      </c>
      <c r="D293" t="s">
        <v>1968</v>
      </c>
      <c r="F293" s="1">
        <v>46064</v>
      </c>
      <c r="G293" t="str">
        <f>IF(Table3[[#This Row],[Top Parent Account]]="",Table3[[#This Row],[Account Legal Name]],Table3[[#This Row],[Top Parent Account]])</f>
        <v>Grupo Retenum</v>
      </c>
      <c r="H293" s="1"/>
    </row>
    <row r="294" spans="1:8" x14ac:dyDescent="0.35">
      <c r="A294" s="21"/>
      <c r="B294" t="s">
        <v>2912</v>
      </c>
      <c r="C294" t="s">
        <v>6</v>
      </c>
      <c r="D294" t="s">
        <v>407</v>
      </c>
      <c r="F294" s="1">
        <v>46064</v>
      </c>
      <c r="G294" t="str">
        <f>IF(Table3[[#This Row],[Top Parent Account]]="",Table3[[#This Row],[Account Legal Name]],Table3[[#This Row],[Top Parent Account]])</f>
        <v>Frialsa</v>
      </c>
      <c r="H294" s="1"/>
    </row>
    <row r="295" spans="1:8" x14ac:dyDescent="0.35">
      <c r="A295" s="21"/>
      <c r="B295" t="s">
        <v>3553</v>
      </c>
      <c r="C295" t="s">
        <v>6</v>
      </c>
      <c r="D295" t="s">
        <v>4841</v>
      </c>
      <c r="F295" s="1">
        <v>46064</v>
      </c>
      <c r="G295" t="str">
        <f>IF(Table3[[#This Row],[Top Parent Account]]="",Table3[[#This Row],[Account Legal Name]],Table3[[#This Row],[Top Parent Account]])</f>
        <v>CITRUS JMK</v>
      </c>
      <c r="H295" s="1"/>
    </row>
    <row r="296" spans="1:8" x14ac:dyDescent="0.35">
      <c r="A296" s="21"/>
      <c r="B296" t="s">
        <v>88</v>
      </c>
      <c r="C296" t="s">
        <v>6</v>
      </c>
      <c r="D296" t="s">
        <v>4842</v>
      </c>
      <c r="F296" s="1">
        <v>46064</v>
      </c>
      <c r="G296" t="str">
        <f>IF(Table3[[#This Row],[Top Parent Account]]="",Table3[[#This Row],[Account Legal Name]],Table3[[#This Row],[Top Parent Account]])</f>
        <v>Corpo PT Marketing de México</v>
      </c>
      <c r="H296" s="1"/>
    </row>
    <row r="297" spans="1:8" x14ac:dyDescent="0.35">
      <c r="A297" s="21"/>
      <c r="B297" t="s">
        <v>3182</v>
      </c>
      <c r="C297" t="s">
        <v>22</v>
      </c>
      <c r="D297" t="s">
        <v>4843</v>
      </c>
      <c r="F297" s="1">
        <v>46064</v>
      </c>
      <c r="G297" t="str">
        <f>IF(Table3[[#This Row],[Top Parent Account]]="",Table3[[#This Row],[Account Legal Name]],Table3[[#This Row],[Top Parent Account]])</f>
        <v>Comercial Roshfrans</v>
      </c>
      <c r="H297" s="1"/>
    </row>
    <row r="298" spans="1:8" x14ac:dyDescent="0.35">
      <c r="A298" s="21"/>
      <c r="B298" t="s">
        <v>3182</v>
      </c>
      <c r="C298" t="s">
        <v>22</v>
      </c>
      <c r="D298" t="s">
        <v>402</v>
      </c>
      <c r="F298" s="1">
        <v>46064</v>
      </c>
      <c r="G298" t="str">
        <f>IF(Table3[[#This Row],[Top Parent Account]]="",Table3[[#This Row],[Account Legal Name]],Table3[[#This Row],[Top Parent Account]])</f>
        <v>Bocar</v>
      </c>
      <c r="H298" s="1"/>
    </row>
    <row r="299" spans="1:8" x14ac:dyDescent="0.35">
      <c r="A299" s="21"/>
      <c r="B299" t="s">
        <v>2693</v>
      </c>
      <c r="C299" t="s">
        <v>6</v>
      </c>
      <c r="D299" t="s">
        <v>4844</v>
      </c>
      <c r="F299" s="1">
        <v>46064</v>
      </c>
      <c r="G299" t="str">
        <f>IF(Table3[[#This Row],[Top Parent Account]]="",Table3[[#This Row],[Account Legal Name]],Table3[[#This Row],[Top Parent Account]])</f>
        <v>Alimentos Tlaxcala</v>
      </c>
      <c r="H299" s="1"/>
    </row>
    <row r="300" spans="1:8" x14ac:dyDescent="0.35">
      <c r="A300" s="21"/>
      <c r="B300" t="s">
        <v>208</v>
      </c>
      <c r="C300" t="s">
        <v>6</v>
      </c>
      <c r="D300" t="s">
        <v>4839</v>
      </c>
      <c r="F300" s="1">
        <v>46064</v>
      </c>
      <c r="G300" t="str">
        <f>IF(Table3[[#This Row],[Top Parent Account]]="",Table3[[#This Row],[Account Legal Name]],Table3[[#This Row],[Top Parent Account]])</f>
        <v>Plastic Energy Company</v>
      </c>
      <c r="H300" s="1"/>
    </row>
    <row r="301" spans="1:8" x14ac:dyDescent="0.35">
      <c r="A301" s="21"/>
      <c r="B301" t="s">
        <v>32</v>
      </c>
      <c r="C301" t="s">
        <v>6</v>
      </c>
      <c r="D301" t="s">
        <v>230</v>
      </c>
      <c r="F301" s="1">
        <v>46064</v>
      </c>
      <c r="G301" t="str">
        <f>IF(Table3[[#This Row],[Top Parent Account]]="",Table3[[#This Row],[Account Legal Name]],Table3[[#This Row],[Top Parent Account]])</f>
        <v>Dimasur</v>
      </c>
      <c r="H301" s="1"/>
    </row>
    <row r="302" spans="1:8" x14ac:dyDescent="0.35">
      <c r="A302" s="21"/>
      <c r="B302" t="s">
        <v>26</v>
      </c>
      <c r="C302" t="s">
        <v>6</v>
      </c>
      <c r="D302" t="s">
        <v>1487</v>
      </c>
      <c r="F302" s="1">
        <v>46064</v>
      </c>
      <c r="G302" t="str">
        <f>IF(Table3[[#This Row],[Top Parent Account]]="",Table3[[#This Row],[Account Legal Name]],Table3[[#This Row],[Top Parent Account]])</f>
        <v>Leonali</v>
      </c>
      <c r="H302" s="1"/>
    </row>
    <row r="303" spans="1:8" x14ac:dyDescent="0.35">
      <c r="A303" s="21"/>
      <c r="B303" t="s">
        <v>14</v>
      </c>
      <c r="C303" t="s">
        <v>6</v>
      </c>
      <c r="D303" t="s">
        <v>575</v>
      </c>
      <c r="F303" s="1">
        <v>46064</v>
      </c>
      <c r="G303" t="str">
        <f>IF(Table3[[#This Row],[Top Parent Account]]="",Table3[[#This Row],[Account Legal Name]],Table3[[#This Row],[Top Parent Account]])</f>
        <v>Metalistik</v>
      </c>
      <c r="H303" s="1"/>
    </row>
    <row r="304" spans="1:8" x14ac:dyDescent="0.35">
      <c r="A304" s="21"/>
      <c r="B304" t="s">
        <v>43</v>
      </c>
      <c r="C304" t="s">
        <v>6</v>
      </c>
      <c r="D304" t="s">
        <v>734</v>
      </c>
      <c r="E304" t="s">
        <v>2984</v>
      </c>
      <c r="F304" s="1">
        <v>46064</v>
      </c>
      <c r="G304" t="str">
        <f>IF(Table3[[#This Row],[Top Parent Account]]="",Table3[[#This Row],[Account Legal Name]],Table3[[#This Row],[Top Parent Account]])</f>
        <v>Grupo Bruluart</v>
      </c>
      <c r="H304" s="1"/>
    </row>
    <row r="305" spans="1:8" x14ac:dyDescent="0.35">
      <c r="A305" s="21"/>
      <c r="B305" t="s">
        <v>18</v>
      </c>
      <c r="C305" t="s">
        <v>6</v>
      </c>
      <c r="D305" t="s">
        <v>4971</v>
      </c>
      <c r="F305" s="1">
        <v>46064</v>
      </c>
      <c r="G305" t="str">
        <f>IF(Table3[[#This Row],[Top Parent Account]]="",Table3[[#This Row],[Account Legal Name]],Table3[[#This Row],[Top Parent Account]])</f>
        <v>Soluciones Moviles en Concreto</v>
      </c>
      <c r="H305" s="1"/>
    </row>
    <row r="306" spans="1:8" x14ac:dyDescent="0.35">
      <c r="A306" s="21"/>
      <c r="B306" t="s">
        <v>3628</v>
      </c>
      <c r="C306" t="s">
        <v>6</v>
      </c>
      <c r="D306" t="s">
        <v>737</v>
      </c>
      <c r="F306" s="1">
        <v>46064</v>
      </c>
      <c r="G306" t="str">
        <f>IF(Table3[[#This Row],[Top Parent Account]]="",Table3[[#This Row],[Account Legal Name]],Table3[[#This Row],[Top Parent Account]])</f>
        <v>Abastecedora De Carnes San Gabriel</v>
      </c>
      <c r="H306" s="1"/>
    </row>
    <row r="307" spans="1:8" x14ac:dyDescent="0.35">
      <c r="A307" s="21"/>
      <c r="B307" t="s">
        <v>88</v>
      </c>
      <c r="C307" t="s">
        <v>22</v>
      </c>
      <c r="D307" t="s">
        <v>4845</v>
      </c>
      <c r="F307" s="1">
        <v>46064</v>
      </c>
      <c r="G307" t="str">
        <f>IF(Table3[[#This Row],[Top Parent Account]]="",Table3[[#This Row],[Account Legal Name]],Table3[[#This Row],[Top Parent Account]])</f>
        <v>DELME</v>
      </c>
      <c r="H307" s="1"/>
    </row>
    <row r="308" spans="1:8" x14ac:dyDescent="0.35">
      <c r="A308" s="21"/>
      <c r="B308" t="s">
        <v>169</v>
      </c>
      <c r="C308" t="s">
        <v>6</v>
      </c>
      <c r="D308" t="s">
        <v>4846</v>
      </c>
      <c r="F308" s="1">
        <v>46064</v>
      </c>
      <c r="G308" t="str">
        <f>IF(Table3[[#This Row],[Top Parent Account]]="",Table3[[#This Row],[Account Legal Name]],Table3[[#This Row],[Top Parent Account]])</f>
        <v>DESARROLLADORA DE PROYECTOS OSFEKA</v>
      </c>
      <c r="H308" s="1"/>
    </row>
    <row r="309" spans="1:8" x14ac:dyDescent="0.35">
      <c r="A309" s="21"/>
      <c r="B309" t="s">
        <v>39</v>
      </c>
      <c r="C309" t="s">
        <v>57</v>
      </c>
      <c r="D309" t="s">
        <v>4847</v>
      </c>
      <c r="F309" s="1">
        <v>46064</v>
      </c>
      <c r="G309" t="str">
        <f>IF(Table3[[#This Row],[Top Parent Account]]="",Table3[[#This Row],[Account Legal Name]],Table3[[#This Row],[Top Parent Account]])</f>
        <v>Centrus Packaging</v>
      </c>
      <c r="H309" s="1"/>
    </row>
    <row r="310" spans="1:8" x14ac:dyDescent="0.35">
      <c r="A310" s="21"/>
      <c r="B310" t="s">
        <v>3092</v>
      </c>
      <c r="C310" t="s">
        <v>6</v>
      </c>
      <c r="D310" t="s">
        <v>4624</v>
      </c>
      <c r="F310" s="1">
        <v>46064</v>
      </c>
      <c r="G310" t="str">
        <f>IF(Table3[[#This Row],[Top Parent Account]]="",Table3[[#This Row],[Account Legal Name]],Table3[[#This Row],[Top Parent Account]])</f>
        <v>Comercializadora TMY</v>
      </c>
      <c r="H310" s="1"/>
    </row>
    <row r="311" spans="1:8" x14ac:dyDescent="0.35">
      <c r="A311" s="21"/>
      <c r="B311" t="s">
        <v>39</v>
      </c>
      <c r="C311" t="s">
        <v>4165</v>
      </c>
      <c r="D311" t="s">
        <v>529</v>
      </c>
      <c r="E311" t="s">
        <v>530</v>
      </c>
      <c r="F311" s="1">
        <v>46063</v>
      </c>
      <c r="G311" t="str">
        <f>IF(Table3[[#This Row],[Top Parent Account]]="",Table3[[#This Row],[Account Legal Name]],Table3[[#This Row],[Top Parent Account]])</f>
        <v>International De Baja California - Mexicali</v>
      </c>
      <c r="H311" s="1"/>
    </row>
    <row r="312" spans="1:8" x14ac:dyDescent="0.35">
      <c r="A312" s="21"/>
      <c r="B312" t="s">
        <v>739</v>
      </c>
      <c r="C312" t="s">
        <v>4848</v>
      </c>
      <c r="D312" t="s">
        <v>4849</v>
      </c>
      <c r="F312" s="1">
        <v>46063</v>
      </c>
      <c r="G312" t="str">
        <f>IF(Table3[[#This Row],[Top Parent Account]]="",Table3[[#This Row],[Account Legal Name]],Table3[[#This Row],[Top Parent Account]])</f>
        <v>EDITORIAL SANTILLANA</v>
      </c>
      <c r="H312" s="1"/>
    </row>
    <row r="313" spans="1:8" x14ac:dyDescent="0.35">
      <c r="A313" s="21"/>
      <c r="B313" t="s">
        <v>8</v>
      </c>
      <c r="C313" t="s">
        <v>22</v>
      </c>
      <c r="D313" t="s">
        <v>4940</v>
      </c>
      <c r="F313" s="1">
        <v>46063</v>
      </c>
      <c r="G313" t="str">
        <f>IF(Table3[[#This Row],[Top Parent Account]]="",Table3[[#This Row],[Account Legal Name]],Table3[[#This Row],[Top Parent Account]])</f>
        <v>Skalatech Infraestructura</v>
      </c>
      <c r="H313" s="1"/>
    </row>
    <row r="314" spans="1:8" x14ac:dyDescent="0.35">
      <c r="A314" s="21"/>
      <c r="B314" t="s">
        <v>3114</v>
      </c>
      <c r="C314" t="s">
        <v>52</v>
      </c>
      <c r="D314" t="s">
        <v>436</v>
      </c>
      <c r="F314" s="1">
        <v>46063</v>
      </c>
      <c r="G314" t="str">
        <f>IF(Table3[[#This Row],[Top Parent Account]]="",Table3[[#This Row],[Account Legal Name]],Table3[[#This Row],[Top Parent Account]])</f>
        <v>Plastiexports</v>
      </c>
      <c r="H314" s="1"/>
    </row>
    <row r="315" spans="1:8" x14ac:dyDescent="0.35">
      <c r="A315" s="21"/>
      <c r="B315" t="s">
        <v>932</v>
      </c>
      <c r="C315" t="s">
        <v>6</v>
      </c>
      <c r="D315" t="s">
        <v>3653</v>
      </c>
      <c r="F315" s="1">
        <v>46063</v>
      </c>
      <c r="G315" t="str">
        <f>IF(Table3[[#This Row],[Top Parent Account]]="",Table3[[#This Row],[Account Legal Name]],Table3[[#This Row],[Top Parent Account]])</f>
        <v>Aksi Herramientas</v>
      </c>
      <c r="H315" s="1"/>
    </row>
    <row r="316" spans="1:8" x14ac:dyDescent="0.35">
      <c r="A316" s="21"/>
      <c r="B316" t="s">
        <v>37</v>
      </c>
      <c r="C316" t="s">
        <v>6</v>
      </c>
      <c r="D316" t="s">
        <v>4850</v>
      </c>
      <c r="F316" s="1">
        <v>46063</v>
      </c>
      <c r="G316" t="str">
        <f>IF(Table3[[#This Row],[Top Parent Account]]="",Table3[[#This Row],[Account Legal Name]],Table3[[#This Row],[Top Parent Account]])</f>
        <v>Kampachi</v>
      </c>
      <c r="H316" s="1"/>
    </row>
    <row r="317" spans="1:8" x14ac:dyDescent="0.35">
      <c r="A317" s="21"/>
      <c r="B317" t="s">
        <v>77</v>
      </c>
      <c r="C317" t="s">
        <v>6</v>
      </c>
      <c r="D317" t="s">
        <v>4851</v>
      </c>
      <c r="F317" s="1">
        <v>46063</v>
      </c>
      <c r="G317" t="str">
        <f>IF(Table3[[#This Row],[Top Parent Account]]="",Table3[[#This Row],[Account Legal Name]],Table3[[#This Row],[Top Parent Account]])</f>
        <v>Maquinas Fer</v>
      </c>
      <c r="H317" s="1"/>
    </row>
    <row r="318" spans="1:8" x14ac:dyDescent="0.35">
      <c r="A318" s="21"/>
      <c r="B318" t="s">
        <v>70</v>
      </c>
      <c r="C318" t="s">
        <v>6</v>
      </c>
      <c r="D318" t="s">
        <v>4852</v>
      </c>
      <c r="F318" s="1">
        <v>46063</v>
      </c>
      <c r="G318" t="str">
        <f>IF(Table3[[#This Row],[Top Parent Account]]="",Table3[[#This Row],[Account Legal Name]],Table3[[#This Row],[Top Parent Account]])</f>
        <v>Hospital comunitario el Buen Samaritano</v>
      </c>
      <c r="H318" s="1"/>
    </row>
    <row r="319" spans="1:8" x14ac:dyDescent="0.35">
      <c r="A319" s="21"/>
      <c r="B319" t="s">
        <v>3628</v>
      </c>
      <c r="C319" t="s">
        <v>6</v>
      </c>
      <c r="D319" t="s">
        <v>4973</v>
      </c>
      <c r="F319" s="1">
        <v>46063</v>
      </c>
      <c r="G319" t="str">
        <f>IF(Table3[[#This Row],[Top Parent Account]]="",Table3[[#This Row],[Account Legal Name]],Table3[[#This Row],[Top Parent Account]])</f>
        <v>Transportadores y Construcciones Industriales</v>
      </c>
      <c r="H319" s="1"/>
    </row>
    <row r="320" spans="1:8" x14ac:dyDescent="0.35">
      <c r="A320" s="21"/>
      <c r="B320" t="s">
        <v>70</v>
      </c>
      <c r="C320" t="s">
        <v>6</v>
      </c>
      <c r="D320" t="s">
        <v>4972</v>
      </c>
      <c r="F320" s="1">
        <v>46063</v>
      </c>
      <c r="G320" t="str">
        <f>IF(Table3[[#This Row],[Top Parent Account]]="",Table3[[#This Row],[Account Legal Name]],Table3[[#This Row],[Top Parent Account]])</f>
        <v>GRUPO MEDICO DE MEXICALI</v>
      </c>
      <c r="H320" s="1"/>
    </row>
    <row r="321" spans="1:8" x14ac:dyDescent="0.35">
      <c r="A321" s="21"/>
      <c r="B321" t="s">
        <v>4696</v>
      </c>
      <c r="C321" t="s">
        <v>6</v>
      </c>
      <c r="D321" t="s">
        <v>3769</v>
      </c>
      <c r="F321" s="1">
        <v>46063</v>
      </c>
      <c r="G321" t="str">
        <f>IF(Table3[[#This Row],[Top Parent Account]]="",Table3[[#This Row],[Account Legal Name]],Table3[[#This Row],[Top Parent Account]])</f>
        <v>Agpro Inc. de México</v>
      </c>
      <c r="H321" s="1"/>
    </row>
    <row r="322" spans="1:8" x14ac:dyDescent="0.35">
      <c r="A322" s="21"/>
      <c r="B322" t="s">
        <v>3114</v>
      </c>
      <c r="C322" t="s">
        <v>52</v>
      </c>
      <c r="D322" t="s">
        <v>4758</v>
      </c>
      <c r="E322" t="s">
        <v>2631</v>
      </c>
      <c r="F322" s="1">
        <v>46063</v>
      </c>
      <c r="G322" t="str">
        <f>IF(Table3[[#This Row],[Top Parent Account]]="",Table3[[#This Row],[Account Legal Name]],Table3[[#This Row],[Top Parent Account]])</f>
        <v>Grupo Industrial Fabeva</v>
      </c>
      <c r="H322" s="1"/>
    </row>
    <row r="323" spans="1:8" x14ac:dyDescent="0.35">
      <c r="A323" s="21"/>
      <c r="B323" t="s">
        <v>3114</v>
      </c>
      <c r="C323" t="s">
        <v>22</v>
      </c>
      <c r="D323" t="s">
        <v>2121</v>
      </c>
      <c r="F323" s="1">
        <v>46063</v>
      </c>
      <c r="G323" t="str">
        <f>IF(Table3[[#This Row],[Top Parent Account]]="",Table3[[#This Row],[Account Legal Name]],Table3[[#This Row],[Top Parent Account]])</f>
        <v>Grupo Inmobiliario Arrendador</v>
      </c>
      <c r="H323" s="1"/>
    </row>
    <row r="324" spans="1:8" x14ac:dyDescent="0.35">
      <c r="A324" s="21"/>
      <c r="B324" t="s">
        <v>29</v>
      </c>
      <c r="C324" t="s">
        <v>6</v>
      </c>
      <c r="D324" t="s">
        <v>4853</v>
      </c>
      <c r="F324" s="1">
        <v>46063</v>
      </c>
      <c r="G324" t="str">
        <f>IF(Table3[[#This Row],[Top Parent Account]]="",Table3[[#This Row],[Account Legal Name]],Table3[[#This Row],[Top Parent Account]])</f>
        <v>Impresores De Occidente</v>
      </c>
      <c r="H324" s="1"/>
    </row>
    <row r="325" spans="1:8" x14ac:dyDescent="0.35">
      <c r="A325" s="21"/>
      <c r="B325" t="s">
        <v>1006</v>
      </c>
      <c r="C325" t="s">
        <v>6</v>
      </c>
      <c r="D325" t="s">
        <v>4854</v>
      </c>
      <c r="F325" s="1">
        <v>46063</v>
      </c>
      <c r="G325" t="str">
        <f>IF(Table3[[#This Row],[Top Parent Account]]="",Table3[[#This Row],[Account Legal Name]],Table3[[#This Row],[Top Parent Account]])</f>
        <v>Nutraspop</v>
      </c>
      <c r="H325" s="1"/>
    </row>
    <row r="326" spans="1:8" x14ac:dyDescent="0.35">
      <c r="A326" s="21"/>
      <c r="B326" t="s">
        <v>28</v>
      </c>
      <c r="C326" t="s">
        <v>6</v>
      </c>
      <c r="D326" t="s">
        <v>1141</v>
      </c>
      <c r="F326" s="1">
        <v>46063</v>
      </c>
      <c r="G326" t="str">
        <f>IF(Table3[[#This Row],[Top Parent Account]]="",Table3[[#This Row],[Account Legal Name]],Table3[[#This Row],[Top Parent Account]])</f>
        <v>GASOLINERA Y SERVICIOS DE LA CRUZ</v>
      </c>
      <c r="H326" s="1"/>
    </row>
    <row r="327" spans="1:8" x14ac:dyDescent="0.35">
      <c r="A327" s="21"/>
      <c r="B327" t="s">
        <v>14</v>
      </c>
      <c r="C327" t="s">
        <v>6</v>
      </c>
      <c r="D327" t="s">
        <v>4799</v>
      </c>
      <c r="F327" s="1">
        <v>46063</v>
      </c>
      <c r="G327" t="str">
        <f>IF(Table3[[#This Row],[Top Parent Account]]="",Table3[[#This Row],[Account Legal Name]],Table3[[#This Row],[Top Parent Account]])</f>
        <v>Paskal Technologies Mexico</v>
      </c>
      <c r="H327" s="1"/>
    </row>
    <row r="328" spans="1:8" x14ac:dyDescent="0.35">
      <c r="A328" s="21"/>
      <c r="B328" t="s">
        <v>39</v>
      </c>
      <c r="C328" t="s">
        <v>4837</v>
      </c>
      <c r="D328" t="s">
        <v>525</v>
      </c>
      <c r="F328" s="1">
        <v>46063</v>
      </c>
      <c r="G328" t="str">
        <f>IF(Table3[[#This Row],[Top Parent Account]]="",Table3[[#This Row],[Account Legal Name]],Table3[[#This Row],[Top Parent Account]])</f>
        <v>Transportes Comandos Del Norte</v>
      </c>
      <c r="H328" s="1"/>
    </row>
    <row r="329" spans="1:8" x14ac:dyDescent="0.35">
      <c r="A329" s="21"/>
      <c r="B329" t="s">
        <v>26</v>
      </c>
      <c r="C329" t="s">
        <v>6</v>
      </c>
      <c r="D329" t="s">
        <v>319</v>
      </c>
      <c r="F329" s="1">
        <v>46063</v>
      </c>
      <c r="G329" t="str">
        <f>IF(Table3[[#This Row],[Top Parent Account]]="",Table3[[#This Row],[Account Legal Name]],Table3[[#This Row],[Top Parent Account]])</f>
        <v>Aspid</v>
      </c>
      <c r="H329" s="1"/>
    </row>
    <row r="330" spans="1:8" x14ac:dyDescent="0.35">
      <c r="A330" s="21"/>
      <c r="B330" t="s">
        <v>14</v>
      </c>
      <c r="C330" t="s">
        <v>6</v>
      </c>
      <c r="D330" t="s">
        <v>4790</v>
      </c>
      <c r="F330" s="1">
        <v>46063</v>
      </c>
      <c r="G330" t="str">
        <f>IF(Table3[[#This Row],[Top Parent Account]]="",Table3[[#This Row],[Account Legal Name]],Table3[[#This Row],[Top Parent Account]])</f>
        <v>Sella?Empaq</v>
      </c>
      <c r="H330" s="1"/>
    </row>
    <row r="331" spans="1:8" x14ac:dyDescent="0.35">
      <c r="A331" s="21"/>
      <c r="B331" t="s">
        <v>3114</v>
      </c>
      <c r="C331" t="s">
        <v>22</v>
      </c>
      <c r="D331" t="s">
        <v>3741</v>
      </c>
      <c r="F331" s="1">
        <v>46063</v>
      </c>
      <c r="G331" t="str">
        <f>IF(Table3[[#This Row],[Top Parent Account]]="",Table3[[#This Row],[Account Legal Name]],Table3[[#This Row],[Top Parent Account]])</f>
        <v>Filtros y Mallas Industriales</v>
      </c>
      <c r="H331" s="1"/>
    </row>
    <row r="332" spans="1:8" x14ac:dyDescent="0.35">
      <c r="A332" s="21"/>
      <c r="B332" t="s">
        <v>4696</v>
      </c>
      <c r="C332" t="s">
        <v>6</v>
      </c>
      <c r="D332" t="s">
        <v>4855</v>
      </c>
      <c r="F332" s="1">
        <v>46063</v>
      </c>
      <c r="G332" t="str">
        <f>IF(Table3[[#This Row],[Top Parent Account]]="",Table3[[#This Row],[Account Legal Name]],Table3[[#This Row],[Top Parent Account]])</f>
        <v>Quimiver</v>
      </c>
      <c r="H332" s="1"/>
    </row>
    <row r="333" spans="1:8" x14ac:dyDescent="0.35">
      <c r="A333" s="21"/>
      <c r="B333" t="s">
        <v>925</v>
      </c>
      <c r="C333" t="s">
        <v>6</v>
      </c>
      <c r="D333" t="s">
        <v>4569</v>
      </c>
      <c r="F333" s="1">
        <v>46063</v>
      </c>
      <c r="G333" t="str">
        <f>IF(Table3[[#This Row],[Top Parent Account]]="",Table3[[#This Row],[Account Legal Name]],Table3[[#This Row],[Top Parent Account]])</f>
        <v>Ojeda Izajes Gruas y Transportes</v>
      </c>
      <c r="H333" s="1"/>
    </row>
    <row r="334" spans="1:8" x14ac:dyDescent="0.35">
      <c r="A334" s="21"/>
      <c r="B334" t="s">
        <v>25</v>
      </c>
      <c r="C334" t="s">
        <v>6</v>
      </c>
      <c r="D334" t="s">
        <v>4856</v>
      </c>
      <c r="F334" s="1">
        <v>46063</v>
      </c>
      <c r="G334" t="str">
        <f>IF(Table3[[#This Row],[Top Parent Account]]="",Table3[[#This Row],[Account Legal Name]],Table3[[#This Row],[Top Parent Account]])</f>
        <v>Operadora de Viajes y Transportes Turisticos Poblanos</v>
      </c>
      <c r="H334" s="1"/>
    </row>
    <row r="335" spans="1:8" x14ac:dyDescent="0.35">
      <c r="A335" s="21"/>
      <c r="B335" t="s">
        <v>70</v>
      </c>
      <c r="C335" t="s">
        <v>6</v>
      </c>
      <c r="D335" t="s">
        <v>2406</v>
      </c>
      <c r="F335" s="1">
        <v>46063</v>
      </c>
      <c r="G335" t="str">
        <f>IF(Table3[[#This Row],[Top Parent Account]]="",Table3[[#This Row],[Account Legal Name]],Table3[[#This Row],[Top Parent Account]])</f>
        <v>Hospital Hispano Americano</v>
      </c>
      <c r="H335" s="1"/>
    </row>
    <row r="336" spans="1:8" x14ac:dyDescent="0.35">
      <c r="A336" s="21"/>
      <c r="B336" t="s">
        <v>24</v>
      </c>
      <c r="C336" t="s">
        <v>6</v>
      </c>
      <c r="D336" t="s">
        <v>4638</v>
      </c>
      <c r="F336" s="1">
        <v>46063</v>
      </c>
      <c r="G336" t="str">
        <f>IF(Table3[[#This Row],[Top Parent Account]]="",Table3[[#This Row],[Account Legal Name]],Table3[[#This Row],[Top Parent Account]])</f>
        <v>Grupo Denker</v>
      </c>
      <c r="H336" s="1"/>
    </row>
    <row r="337" spans="1:8" x14ac:dyDescent="0.35">
      <c r="A337" s="21"/>
      <c r="B337" t="s">
        <v>39</v>
      </c>
      <c r="C337" t="s">
        <v>4165</v>
      </c>
      <c r="D337" t="s">
        <v>4857</v>
      </c>
      <c r="F337" s="1">
        <v>46063</v>
      </c>
      <c r="G337" t="str">
        <f>IF(Table3[[#This Row],[Top Parent Account]]="",Table3[[#This Row],[Account Legal Name]],Table3[[#This Row],[Top Parent Account]])</f>
        <v>Plasti Envases De Baja California</v>
      </c>
      <c r="H337" s="1"/>
    </row>
    <row r="338" spans="1:8" x14ac:dyDescent="0.35">
      <c r="A338" s="21"/>
      <c r="B338" t="s">
        <v>25</v>
      </c>
      <c r="C338" t="s">
        <v>6</v>
      </c>
      <c r="D338" t="s">
        <v>4858</v>
      </c>
      <c r="F338" s="1">
        <v>46063</v>
      </c>
      <c r="G338" t="str">
        <f>IF(Table3[[#This Row],[Top Parent Account]]="",Table3[[#This Row],[Account Legal Name]],Table3[[#This Row],[Top Parent Account]])</f>
        <v>CORMERCIALIZADORA BALCHE</v>
      </c>
      <c r="H338" s="1"/>
    </row>
    <row r="339" spans="1:8" x14ac:dyDescent="0.35">
      <c r="A339" s="21"/>
      <c r="B339" t="s">
        <v>88</v>
      </c>
      <c r="C339" t="s">
        <v>6</v>
      </c>
      <c r="D339" t="s">
        <v>4859</v>
      </c>
      <c r="F339" s="1">
        <v>46063</v>
      </c>
      <c r="G339" t="str">
        <f>IF(Table3[[#This Row],[Top Parent Account]]="",Table3[[#This Row],[Account Legal Name]],Table3[[#This Row],[Top Parent Account]])</f>
        <v>Carlos Nava Ramírez</v>
      </c>
      <c r="H339" s="1"/>
    </row>
    <row r="340" spans="1:8" x14ac:dyDescent="0.35">
      <c r="A340" s="21"/>
      <c r="B340" t="s">
        <v>121</v>
      </c>
      <c r="C340" t="s">
        <v>6</v>
      </c>
      <c r="D340" t="s">
        <v>4202</v>
      </c>
      <c r="F340" s="1">
        <v>46063</v>
      </c>
      <c r="G340" t="str">
        <f>IF(Table3[[#This Row],[Top Parent Account]]="",Table3[[#This Row],[Account Legal Name]],Table3[[#This Row],[Top Parent Account]])</f>
        <v>Concretos 2H</v>
      </c>
      <c r="H340" s="1"/>
    </row>
    <row r="341" spans="1:8" x14ac:dyDescent="0.35">
      <c r="A341" s="21"/>
      <c r="B341" t="s">
        <v>208</v>
      </c>
      <c r="C341" t="s">
        <v>6</v>
      </c>
      <c r="D341" t="s">
        <v>4860</v>
      </c>
      <c r="F341" s="1">
        <v>46063</v>
      </c>
      <c r="G341" t="str">
        <f>IF(Table3[[#This Row],[Top Parent Account]]="",Table3[[#This Row],[Account Legal Name]],Table3[[#This Row],[Top Parent Account]])</f>
        <v>Itochu México</v>
      </c>
      <c r="H341" s="1"/>
    </row>
    <row r="342" spans="1:8" x14ac:dyDescent="0.35">
      <c r="A342" s="21"/>
      <c r="B342" t="s">
        <v>37</v>
      </c>
      <c r="C342" t="s">
        <v>6</v>
      </c>
      <c r="D342" t="s">
        <v>692</v>
      </c>
      <c r="F342" s="1">
        <v>46063</v>
      </c>
      <c r="G342" t="str">
        <f>IF(Table3[[#This Row],[Top Parent Account]]="",Table3[[#This Row],[Account Legal Name]],Table3[[#This Row],[Top Parent Account]])</f>
        <v>LUXIDA GROUP</v>
      </c>
      <c r="H342" s="1"/>
    </row>
    <row r="343" spans="1:8" x14ac:dyDescent="0.35">
      <c r="A343" s="21"/>
      <c r="B343" t="s">
        <v>39</v>
      </c>
      <c r="C343" t="s">
        <v>4165</v>
      </c>
      <c r="D343" t="s">
        <v>4861</v>
      </c>
      <c r="F343" s="1">
        <v>46063</v>
      </c>
      <c r="G343" t="str">
        <f>IF(Table3[[#This Row],[Top Parent Account]]="",Table3[[#This Row],[Account Legal Name]],Table3[[#This Row],[Top Parent Account]])</f>
        <v>Mexicana Logistics</v>
      </c>
      <c r="H343" s="1"/>
    </row>
    <row r="344" spans="1:8" x14ac:dyDescent="0.35">
      <c r="A344" s="21"/>
      <c r="B344" t="s">
        <v>169</v>
      </c>
      <c r="C344" t="s">
        <v>4765</v>
      </c>
      <c r="D344" t="s">
        <v>1839</v>
      </c>
      <c r="F344" s="1">
        <v>46063</v>
      </c>
      <c r="G344" t="str">
        <f>IF(Table3[[#This Row],[Top Parent Account]]="",Table3[[#This Row],[Account Legal Name]],Table3[[#This Row],[Top Parent Account]])</f>
        <v>Empacadora Therbal</v>
      </c>
      <c r="H344" s="1"/>
    </row>
    <row r="345" spans="1:8" x14ac:dyDescent="0.35">
      <c r="A345" s="21"/>
      <c r="B345" t="s">
        <v>3553</v>
      </c>
      <c r="C345" t="s">
        <v>6</v>
      </c>
      <c r="D345" t="s">
        <v>4862</v>
      </c>
      <c r="F345" s="1">
        <v>46063</v>
      </c>
      <c r="G345" t="str">
        <f>IF(Table3[[#This Row],[Top Parent Account]]="",Table3[[#This Row],[Account Legal Name]],Table3[[#This Row],[Top Parent Account]])</f>
        <v>Syvasa Servicios y Venta de Acero</v>
      </c>
      <c r="H345" s="1"/>
    </row>
    <row r="346" spans="1:8" x14ac:dyDescent="0.35">
      <c r="A346" s="21"/>
      <c r="B346" t="s">
        <v>43</v>
      </c>
      <c r="C346" t="s">
        <v>6</v>
      </c>
      <c r="D346" t="s">
        <v>915</v>
      </c>
      <c r="F346" s="1">
        <v>46063</v>
      </c>
      <c r="G346" t="str">
        <f>IF(Table3[[#This Row],[Top Parent Account]]="",Table3[[#This Row],[Account Legal Name]],Table3[[#This Row],[Top Parent Account]])</f>
        <v>Luca Mining</v>
      </c>
      <c r="H346" s="1"/>
    </row>
    <row r="347" spans="1:8" x14ac:dyDescent="0.35">
      <c r="A347" s="21"/>
      <c r="B347" t="s">
        <v>70</v>
      </c>
      <c r="C347" t="s">
        <v>6</v>
      </c>
      <c r="D347" t="s">
        <v>740</v>
      </c>
      <c r="F347" s="1">
        <v>46063</v>
      </c>
      <c r="G347" t="str">
        <f>IF(Table3[[#This Row],[Top Parent Account]]="",Table3[[#This Row],[Account Legal Name]],Table3[[#This Row],[Top Parent Account]])</f>
        <v>Hospital Almater</v>
      </c>
      <c r="H347" s="1"/>
    </row>
    <row r="348" spans="1:8" x14ac:dyDescent="0.35">
      <c r="A348" s="21"/>
      <c r="B348" t="s">
        <v>280</v>
      </c>
      <c r="C348" t="s">
        <v>6</v>
      </c>
      <c r="D348" t="s">
        <v>4974</v>
      </c>
      <c r="F348" s="1">
        <v>46063</v>
      </c>
      <c r="G348" t="str">
        <f>IF(Table3[[#This Row],[Top Parent Account]]="",Table3[[#This Row],[Account Legal Name]],Table3[[#This Row],[Top Parent Account]])</f>
        <v>AGROSALUD ANIMAL</v>
      </c>
      <c r="H348" s="1"/>
    </row>
    <row r="349" spans="1:8" x14ac:dyDescent="0.35">
      <c r="A349" s="21"/>
      <c r="B349" t="s">
        <v>24</v>
      </c>
      <c r="C349" t="s">
        <v>6</v>
      </c>
      <c r="D349" t="s">
        <v>1678</v>
      </c>
      <c r="F349" s="1">
        <v>46063</v>
      </c>
      <c r="G349" t="str">
        <f>IF(Table3[[#This Row],[Top Parent Account]]="",Table3[[#This Row],[Account Legal Name]],Table3[[#This Row],[Top Parent Account]])</f>
        <v>Grupo Acuícola Mexicano</v>
      </c>
      <c r="H349" s="1"/>
    </row>
    <row r="350" spans="1:8" x14ac:dyDescent="0.35">
      <c r="A350" s="21"/>
      <c r="B350" t="s">
        <v>2912</v>
      </c>
      <c r="C350" t="s">
        <v>6</v>
      </c>
      <c r="D350" t="s">
        <v>4298</v>
      </c>
      <c r="F350" s="1">
        <v>46062</v>
      </c>
      <c r="G350" t="str">
        <f>IF(Table3[[#This Row],[Top Parent Account]]="",Table3[[#This Row],[Account Legal Name]],Table3[[#This Row],[Top Parent Account]])</f>
        <v>Nadro</v>
      </c>
      <c r="H350" s="1"/>
    </row>
    <row r="351" spans="1:8" x14ac:dyDescent="0.35">
      <c r="A351" s="21"/>
      <c r="B351" t="s">
        <v>39</v>
      </c>
      <c r="C351" t="s">
        <v>4863</v>
      </c>
      <c r="D351" t="s">
        <v>1035</v>
      </c>
      <c r="F351" s="1">
        <v>46062</v>
      </c>
      <c r="G351" t="str">
        <f>IF(Table3[[#This Row],[Top Parent Account]]="",Table3[[#This Row],[Account Legal Name]],Table3[[#This Row],[Top Parent Account]])</f>
        <v>Distribuidora De Concretos Mxl</v>
      </c>
      <c r="H351" s="1"/>
    </row>
    <row r="352" spans="1:8" x14ac:dyDescent="0.35">
      <c r="A352" s="21"/>
      <c r="B352" t="s">
        <v>14</v>
      </c>
      <c r="C352" t="s">
        <v>6</v>
      </c>
      <c r="D352" t="s">
        <v>2627</v>
      </c>
      <c r="F352" s="1">
        <v>46062</v>
      </c>
      <c r="G352" t="str">
        <f>IF(Table3[[#This Row],[Top Parent Account]]="",Table3[[#This Row],[Account Legal Name]],Table3[[#This Row],[Top Parent Account]])</f>
        <v>TEQUILA LOS ABUELOS</v>
      </c>
      <c r="H352" s="1"/>
    </row>
    <row r="353" spans="1:8" x14ac:dyDescent="0.35">
      <c r="A353" s="21"/>
      <c r="B353" t="s">
        <v>2912</v>
      </c>
      <c r="C353" t="s">
        <v>6</v>
      </c>
      <c r="D353" t="s">
        <v>299</v>
      </c>
      <c r="F353" s="1">
        <v>46062</v>
      </c>
      <c r="G353" t="str">
        <f>IF(Table3[[#This Row],[Top Parent Account]]="",Table3[[#This Row],[Account Legal Name]],Table3[[#This Row],[Top Parent Account]])</f>
        <v>Jafra Cosmetics</v>
      </c>
      <c r="H353" s="1"/>
    </row>
    <row r="354" spans="1:8" x14ac:dyDescent="0.35">
      <c r="A354" s="21"/>
      <c r="B354" t="s">
        <v>39</v>
      </c>
      <c r="C354" t="s">
        <v>4165</v>
      </c>
      <c r="D354" t="s">
        <v>532</v>
      </c>
      <c r="F354" s="1">
        <v>46062</v>
      </c>
      <c r="G354" t="str">
        <f>IF(Table3[[#This Row],[Top Parent Account]]="",Table3[[#This Row],[Account Legal Name]],Table3[[#This Row],[Top Parent Account]])</f>
        <v>Constructora Cadena</v>
      </c>
      <c r="H354" s="1"/>
    </row>
    <row r="355" spans="1:8" x14ac:dyDescent="0.35">
      <c r="A355" s="21"/>
      <c r="B355" t="s">
        <v>88</v>
      </c>
      <c r="C355" t="s">
        <v>6</v>
      </c>
      <c r="D355" t="s">
        <v>4864</v>
      </c>
      <c r="F355" s="1">
        <v>46062</v>
      </c>
      <c r="G355" t="str">
        <f>IF(Table3[[#This Row],[Top Parent Account]]="",Table3[[#This Row],[Account Legal Name]],Table3[[#This Row],[Top Parent Account]])</f>
        <v>SERVICIOS ADMINISTRATIVOS E INFORMATICOS JAD</v>
      </c>
      <c r="H355" s="1"/>
    </row>
    <row r="356" spans="1:8" x14ac:dyDescent="0.35">
      <c r="A356" s="21"/>
      <c r="B356" t="s">
        <v>28</v>
      </c>
      <c r="C356" t="s">
        <v>6</v>
      </c>
      <c r="D356" t="s">
        <v>4865</v>
      </c>
      <c r="F356" s="1">
        <v>46062</v>
      </c>
      <c r="G356" t="str">
        <f>IF(Table3[[#This Row],[Top Parent Account]]="",Table3[[#This Row],[Account Legal Name]],Table3[[#This Row],[Top Parent Account]])</f>
        <v>DISTRIBUCIONES INDUSTRIALES CUERDA</v>
      </c>
      <c r="H356" s="1"/>
    </row>
    <row r="357" spans="1:8" x14ac:dyDescent="0.35">
      <c r="A357" s="21"/>
      <c r="B357" t="s">
        <v>1006</v>
      </c>
      <c r="C357" t="s">
        <v>6</v>
      </c>
      <c r="D357" t="s">
        <v>5038</v>
      </c>
      <c r="F357" s="1">
        <v>46062</v>
      </c>
      <c r="G357" t="str">
        <f>IF(Table3[[#This Row],[Top Parent Account]]="",Table3[[#This Row],[Account Legal Name]],Table3[[#This Row],[Top Parent Account]])</f>
        <v>Servicios Bonacril</v>
      </c>
      <c r="H357" s="1"/>
    </row>
    <row r="358" spans="1:8" x14ac:dyDescent="0.35">
      <c r="A358" s="21"/>
      <c r="B358" t="s">
        <v>28</v>
      </c>
      <c r="C358" t="s">
        <v>6</v>
      </c>
      <c r="D358" t="s">
        <v>4866</v>
      </c>
      <c r="F358" s="1">
        <v>46062</v>
      </c>
      <c r="G358" t="str">
        <f>IF(Table3[[#This Row],[Top Parent Account]]="",Table3[[#This Row],[Account Legal Name]],Table3[[#This Row],[Top Parent Account]])</f>
        <v>Servicios y Materiales Mineros</v>
      </c>
      <c r="H358" s="1"/>
    </row>
    <row r="359" spans="1:8" x14ac:dyDescent="0.35">
      <c r="A359" s="21"/>
      <c r="B359" t="s">
        <v>739</v>
      </c>
      <c r="C359" t="s">
        <v>4867</v>
      </c>
      <c r="D359" t="s">
        <v>2982</v>
      </c>
      <c r="F359" s="1">
        <v>46062</v>
      </c>
      <c r="G359" t="str">
        <f>IF(Table3[[#This Row],[Top Parent Account]]="",Table3[[#This Row],[Account Legal Name]],Table3[[#This Row],[Top Parent Account]])</f>
        <v>Mexichem</v>
      </c>
      <c r="H359" s="1"/>
    </row>
    <row r="360" spans="1:8" x14ac:dyDescent="0.35">
      <c r="A360" s="21"/>
      <c r="B360" t="s">
        <v>2693</v>
      </c>
      <c r="C360" t="s">
        <v>6</v>
      </c>
      <c r="D360" t="s">
        <v>4975</v>
      </c>
      <c r="F360" s="1">
        <v>46062</v>
      </c>
      <c r="G360" t="str">
        <f>IF(Table3[[#This Row],[Top Parent Account]]="",Table3[[#This Row],[Account Legal Name]],Table3[[#This Row],[Top Parent Account]])</f>
        <v>Empresas Padigon</v>
      </c>
      <c r="H360" s="1"/>
    </row>
    <row r="361" spans="1:8" x14ac:dyDescent="0.35">
      <c r="A361" s="21"/>
      <c r="B361" t="s">
        <v>39</v>
      </c>
      <c r="C361" t="s">
        <v>57</v>
      </c>
      <c r="D361" t="s">
        <v>4868</v>
      </c>
      <c r="F361" s="1">
        <v>46062</v>
      </c>
      <c r="G361" t="str">
        <f>IF(Table3[[#This Row],[Top Parent Account]]="",Table3[[#This Row],[Account Legal Name]],Table3[[#This Row],[Top Parent Account]])</f>
        <v>Concretos PROCECO</v>
      </c>
      <c r="H361" s="1"/>
    </row>
    <row r="362" spans="1:8" x14ac:dyDescent="0.35">
      <c r="A362" s="21"/>
      <c r="B362" t="s">
        <v>3114</v>
      </c>
      <c r="C362" t="s">
        <v>22</v>
      </c>
      <c r="D362" t="s">
        <v>458</v>
      </c>
      <c r="F362" s="1">
        <v>46062</v>
      </c>
      <c r="G362" t="str">
        <f>IF(Table3[[#This Row],[Top Parent Account]]="",Table3[[#This Row],[Account Legal Name]],Table3[[#This Row],[Top Parent Account]])</f>
        <v>Plastirey</v>
      </c>
      <c r="H362" s="1"/>
    </row>
    <row r="363" spans="1:8" x14ac:dyDescent="0.35">
      <c r="A363" s="21"/>
      <c r="B363" t="s">
        <v>32</v>
      </c>
      <c r="C363" t="s">
        <v>6</v>
      </c>
      <c r="D363" t="s">
        <v>4710</v>
      </c>
      <c r="F363" s="1">
        <v>46059</v>
      </c>
      <c r="G363" t="str">
        <f>IF(Table3[[#This Row],[Top Parent Account]]="",Table3[[#This Row],[Account Legal Name]],Table3[[#This Row],[Top Parent Account]])</f>
        <v>Transportes Elola</v>
      </c>
      <c r="H363" s="1"/>
    </row>
    <row r="364" spans="1:8" x14ac:dyDescent="0.35">
      <c r="A364" s="21"/>
      <c r="B364" t="s">
        <v>4696</v>
      </c>
      <c r="C364" t="s">
        <v>6</v>
      </c>
      <c r="D364" t="s">
        <v>4709</v>
      </c>
      <c r="F364" s="1">
        <v>46059</v>
      </c>
      <c r="G364" t="str">
        <f>IF(Table3[[#This Row],[Top Parent Account]]="",Table3[[#This Row],[Account Legal Name]],Table3[[#This Row],[Top Parent Account]])</f>
        <v>Transportes Narcea</v>
      </c>
      <c r="H364" s="1"/>
    </row>
    <row r="365" spans="1:8" x14ac:dyDescent="0.35">
      <c r="A365" s="21"/>
      <c r="B365" t="s">
        <v>12</v>
      </c>
      <c r="C365" t="s">
        <v>6</v>
      </c>
      <c r="D365" t="s">
        <v>1644</v>
      </c>
      <c r="F365" s="1">
        <v>46059</v>
      </c>
      <c r="G365" t="str">
        <f>IF(Table3[[#This Row],[Top Parent Account]]="",Table3[[#This Row],[Account Legal Name]],Table3[[#This Row],[Top Parent Account]])</f>
        <v>Botanas La Lupita</v>
      </c>
      <c r="H365" s="1"/>
    </row>
    <row r="366" spans="1:8" x14ac:dyDescent="0.35">
      <c r="A366" s="21"/>
      <c r="B366" t="s">
        <v>12</v>
      </c>
      <c r="C366" t="s">
        <v>6</v>
      </c>
      <c r="D366" t="s">
        <v>71</v>
      </c>
      <c r="F366" s="1">
        <v>46059</v>
      </c>
      <c r="G366" t="str">
        <f>IF(Table3[[#This Row],[Top Parent Account]]="",Table3[[#This Row],[Account Legal Name]],Table3[[#This Row],[Top Parent Account]])</f>
        <v>Grupo Logra</v>
      </c>
      <c r="H366" s="1"/>
    </row>
    <row r="367" spans="1:8" x14ac:dyDescent="0.35">
      <c r="A367" s="21"/>
      <c r="B367" t="s">
        <v>24</v>
      </c>
      <c r="C367" t="s">
        <v>6</v>
      </c>
      <c r="D367" t="s">
        <v>4707</v>
      </c>
      <c r="F367" s="1">
        <v>46059</v>
      </c>
      <c r="G367" t="str">
        <f>IF(Table3[[#This Row],[Top Parent Account]]="",Table3[[#This Row],[Account Legal Name]],Table3[[#This Row],[Top Parent Account]])</f>
        <v>Industrias De Culiacán</v>
      </c>
      <c r="H367" s="1"/>
    </row>
    <row r="368" spans="1:8" x14ac:dyDescent="0.35">
      <c r="A368" s="21"/>
      <c r="B368" t="s">
        <v>51</v>
      </c>
      <c r="C368" t="s">
        <v>6</v>
      </c>
      <c r="D368" t="s">
        <v>2685</v>
      </c>
      <c r="F368" s="1">
        <v>46059</v>
      </c>
      <c r="G368" t="str">
        <f>IF(Table3[[#This Row],[Top Parent Account]]="",Table3[[#This Row],[Account Legal Name]],Table3[[#This Row],[Top Parent Account]])</f>
        <v>Campo Alegre Alimentos</v>
      </c>
      <c r="H368" s="1"/>
    </row>
    <row r="369" spans="1:8" x14ac:dyDescent="0.35">
      <c r="A369" s="21"/>
      <c r="B369" t="s">
        <v>2658</v>
      </c>
      <c r="C369" t="s">
        <v>6</v>
      </c>
      <c r="D369" t="s">
        <v>4761</v>
      </c>
      <c r="F369" s="1">
        <v>46059</v>
      </c>
      <c r="G369" t="str">
        <f>IF(Table3[[#This Row],[Top Parent Account]]="",Table3[[#This Row],[Account Legal Name]],Table3[[#This Row],[Top Parent Account]])</f>
        <v>Forza Steel</v>
      </c>
      <c r="H369" s="1"/>
    </row>
    <row r="370" spans="1:8" x14ac:dyDescent="0.35">
      <c r="A370" s="21"/>
      <c r="B370" t="s">
        <v>4696</v>
      </c>
      <c r="C370" t="s">
        <v>6</v>
      </c>
      <c r="D370" t="s">
        <v>4760</v>
      </c>
      <c r="F370" s="1">
        <v>46059</v>
      </c>
      <c r="G370" t="str">
        <f>IF(Table3[[#This Row],[Top Parent Account]]="",Table3[[#This Row],[Account Legal Name]],Table3[[#This Row],[Top Parent Account]])</f>
        <v>Comercializadora e Industrializadora Agropecuaria</v>
      </c>
      <c r="H370" s="1"/>
    </row>
    <row r="371" spans="1:8" x14ac:dyDescent="0.35">
      <c r="A371" s="21"/>
      <c r="B371" t="s">
        <v>43</v>
      </c>
      <c r="C371" t="s">
        <v>6</v>
      </c>
      <c r="D371" t="s">
        <v>4762</v>
      </c>
      <c r="F371" s="1">
        <v>46059</v>
      </c>
      <c r="G371" t="str">
        <f>IF(Table3[[#This Row],[Top Parent Account]]="",Table3[[#This Row],[Account Legal Name]],Table3[[#This Row],[Top Parent Account]])</f>
        <v>Shurtape México</v>
      </c>
      <c r="H371" s="1"/>
    </row>
    <row r="372" spans="1:8" x14ac:dyDescent="0.35">
      <c r="A372" s="21"/>
      <c r="B372" t="s">
        <v>739</v>
      </c>
      <c r="C372" t="s">
        <v>6</v>
      </c>
      <c r="D372" t="s">
        <v>370</v>
      </c>
      <c r="F372" s="1">
        <v>46059</v>
      </c>
      <c r="G372" t="str">
        <f>IF(Table3[[#This Row],[Top Parent Account]]="",Table3[[#This Row],[Account Legal Name]],Table3[[#This Row],[Top Parent Account]])</f>
        <v>Grupo Kuo</v>
      </c>
      <c r="H372" s="1"/>
    </row>
    <row r="373" spans="1:8" x14ac:dyDescent="0.35">
      <c r="A373" s="21"/>
      <c r="B373" t="s">
        <v>116</v>
      </c>
      <c r="C373" t="s">
        <v>22</v>
      </c>
      <c r="D373" t="s">
        <v>4763</v>
      </c>
      <c r="F373" s="1">
        <v>46059</v>
      </c>
      <c r="G373" t="str">
        <f>IF(Table3[[#This Row],[Top Parent Account]]="",Table3[[#This Row],[Account Legal Name]],Table3[[#This Row],[Top Parent Account]])</f>
        <v>Corruempaques</v>
      </c>
      <c r="H373" s="1"/>
    </row>
    <row r="374" spans="1:8" x14ac:dyDescent="0.35">
      <c r="A374" s="21"/>
      <c r="B374" t="s">
        <v>12</v>
      </c>
      <c r="C374" t="s">
        <v>6</v>
      </c>
      <c r="D374" t="s">
        <v>416</v>
      </c>
      <c r="F374" s="1">
        <v>46059</v>
      </c>
      <c r="G374" t="str">
        <f>IF(Table3[[#This Row],[Top Parent Account]]="",Table3[[#This Row],[Account Legal Name]],Table3[[#This Row],[Top Parent Account]])</f>
        <v>Promotora Mexicana de Vehículos</v>
      </c>
      <c r="H374" s="1"/>
    </row>
    <row r="375" spans="1:8" x14ac:dyDescent="0.35">
      <c r="A375" s="21"/>
      <c r="B375" t="s">
        <v>84</v>
      </c>
      <c r="C375" t="s">
        <v>193</v>
      </c>
      <c r="D375" t="s">
        <v>2893</v>
      </c>
      <c r="F375" s="1">
        <v>46059</v>
      </c>
      <c r="G375" t="str">
        <f>IF(Table3[[#This Row],[Top Parent Account]]="",Table3[[#This Row],[Account Legal Name]],Table3[[#This Row],[Top Parent Account]])</f>
        <v>TRANSPORTE DE PERSONAL ESPECIALIZADO</v>
      </c>
      <c r="H375" s="1"/>
    </row>
    <row r="376" spans="1:8" x14ac:dyDescent="0.35">
      <c r="A376" s="21"/>
      <c r="B376" t="s">
        <v>280</v>
      </c>
      <c r="C376" t="s">
        <v>6</v>
      </c>
      <c r="D376" t="s">
        <v>3536</v>
      </c>
      <c r="F376" s="1">
        <v>46059</v>
      </c>
      <c r="G376" t="str">
        <f>IF(Table3[[#This Row],[Top Parent Account]]="",Table3[[#This Row],[Account Legal Name]],Table3[[#This Row],[Top Parent Account]])</f>
        <v>AVI G SERCOM</v>
      </c>
      <c r="H376" s="1"/>
    </row>
    <row r="377" spans="1:8" x14ac:dyDescent="0.35">
      <c r="A377" s="21"/>
      <c r="B377" t="s">
        <v>43</v>
      </c>
      <c r="C377" t="s">
        <v>6</v>
      </c>
      <c r="D377" t="s">
        <v>4762</v>
      </c>
      <c r="F377" s="1">
        <v>46059</v>
      </c>
      <c r="G377" t="str">
        <f>IF(Table3[[#This Row],[Top Parent Account]]="",Table3[[#This Row],[Account Legal Name]],Table3[[#This Row],[Top Parent Account]])</f>
        <v>Shurtape México</v>
      </c>
      <c r="H377" s="1"/>
    </row>
    <row r="378" spans="1:8" x14ac:dyDescent="0.35">
      <c r="A378" s="21"/>
      <c r="B378" t="s">
        <v>3092</v>
      </c>
      <c r="C378" t="s">
        <v>6</v>
      </c>
      <c r="D378" t="s">
        <v>4708</v>
      </c>
      <c r="F378" s="1">
        <v>46059</v>
      </c>
      <c r="G378" t="str">
        <f>IF(Table3[[#This Row],[Top Parent Account]]="",Table3[[#This Row],[Account Legal Name]],Table3[[#This Row],[Top Parent Account]])</f>
        <v>Productos Lacteos La Quinta</v>
      </c>
      <c r="H378" s="1"/>
    </row>
    <row r="379" spans="1:8" x14ac:dyDescent="0.35">
      <c r="A379" s="21"/>
      <c r="B379" t="s">
        <v>3628</v>
      </c>
      <c r="C379" t="s">
        <v>6</v>
      </c>
      <c r="D379" t="s">
        <v>1892</v>
      </c>
      <c r="F379" s="1">
        <v>46059</v>
      </c>
      <c r="G379" t="str">
        <f>IF(Table3[[#This Row],[Top Parent Account]]="",Table3[[#This Row],[Account Legal Name]],Table3[[#This Row],[Top Parent Account]])</f>
        <v>F&amp;F AROMATICS</v>
      </c>
      <c r="H379" s="1"/>
    </row>
    <row r="380" spans="1:8" x14ac:dyDescent="0.35">
      <c r="A380" s="21"/>
      <c r="B380" t="s">
        <v>88</v>
      </c>
      <c r="C380" t="s">
        <v>6</v>
      </c>
      <c r="D380" t="s">
        <v>4764</v>
      </c>
      <c r="F380" s="1">
        <v>46059</v>
      </c>
      <c r="G380" t="str">
        <f>IF(Table3[[#This Row],[Top Parent Account]]="",Table3[[#This Row],[Account Legal Name]],Table3[[#This Row],[Top Parent Account]])</f>
        <v>CCR Solutions</v>
      </c>
      <c r="H380" s="1"/>
    </row>
    <row r="381" spans="1:8" x14ac:dyDescent="0.35">
      <c r="A381" s="21"/>
      <c r="B381" t="s">
        <v>28</v>
      </c>
      <c r="C381" t="s">
        <v>6</v>
      </c>
      <c r="D381" t="s">
        <v>1168</v>
      </c>
      <c r="F381" s="1">
        <v>46059</v>
      </c>
      <c r="G381" t="str">
        <f>IF(Table3[[#This Row],[Top Parent Account]]="",Table3[[#This Row],[Account Legal Name]],Table3[[#This Row],[Top Parent Account]])</f>
        <v>Transportes México Laguna</v>
      </c>
      <c r="H381" s="1"/>
    </row>
    <row r="382" spans="1:8" x14ac:dyDescent="0.35">
      <c r="A382" s="21"/>
      <c r="B382" t="s">
        <v>3182</v>
      </c>
      <c r="C382" t="s">
        <v>6</v>
      </c>
      <c r="D382" t="s">
        <v>4554</v>
      </c>
      <c r="F382" s="1">
        <v>46059</v>
      </c>
      <c r="G382" t="str">
        <f>IF(Table3[[#This Row],[Top Parent Account]]="",Table3[[#This Row],[Account Legal Name]],Table3[[#This Row],[Top Parent Account]])</f>
        <v>WR CONTROLS MEXICO</v>
      </c>
      <c r="H382" s="1"/>
    </row>
    <row r="383" spans="1:8" x14ac:dyDescent="0.35">
      <c r="A383" s="21"/>
      <c r="B383" t="s">
        <v>84</v>
      </c>
      <c r="C383" t="s">
        <v>4765</v>
      </c>
      <c r="D383" t="s">
        <v>750</v>
      </c>
      <c r="F383" s="1">
        <v>46059</v>
      </c>
      <c r="G383" t="str">
        <f>IF(Table3[[#This Row],[Top Parent Account]]="",Table3[[#This Row],[Account Legal Name]],Table3[[#This Row],[Top Parent Account]])</f>
        <v>Aleaciones y Metales Industriales de Saltillo</v>
      </c>
      <c r="H383" s="1"/>
    </row>
    <row r="384" spans="1:8" x14ac:dyDescent="0.35">
      <c r="A384" s="21"/>
      <c r="B384" t="s">
        <v>18</v>
      </c>
      <c r="C384" t="s">
        <v>6</v>
      </c>
      <c r="D384" t="s">
        <v>4766</v>
      </c>
      <c r="F384" s="1">
        <v>46059</v>
      </c>
      <c r="G384" t="str">
        <f>IF(Table3[[#This Row],[Top Parent Account]]="",Table3[[#This Row],[Account Legal Name]],Table3[[#This Row],[Top Parent Account]])</f>
        <v>Transportes GMX</v>
      </c>
      <c r="H384" s="1"/>
    </row>
    <row r="385" spans="1:8" x14ac:dyDescent="0.35">
      <c r="A385" s="21"/>
      <c r="B385" t="s">
        <v>88</v>
      </c>
      <c r="C385" t="s">
        <v>6</v>
      </c>
      <c r="D385" t="s">
        <v>4767</v>
      </c>
      <c r="F385" s="1">
        <v>46058</v>
      </c>
      <c r="G385" t="str">
        <f>IF(Table3[[#This Row],[Top Parent Account]]="",Table3[[#This Row],[Account Legal Name]],Table3[[#This Row],[Top Parent Account]])</f>
        <v>Soluciones Hidráulicas Industriales y Mineras</v>
      </c>
      <c r="H385" s="1"/>
    </row>
    <row r="386" spans="1:8" x14ac:dyDescent="0.35">
      <c r="A386" s="21"/>
      <c r="B386" t="s">
        <v>2693</v>
      </c>
      <c r="C386" t="s">
        <v>6</v>
      </c>
      <c r="D386" t="s">
        <v>4768</v>
      </c>
      <c r="F386" s="1">
        <v>46058</v>
      </c>
      <c r="G386" t="str">
        <f>IF(Table3[[#This Row],[Top Parent Account]]="",Table3[[#This Row],[Account Legal Name]],Table3[[#This Row],[Top Parent Account]])</f>
        <v>PRODUCTOS QUIMICOS LA MADRID</v>
      </c>
      <c r="H386" s="1"/>
    </row>
    <row r="387" spans="1:8" x14ac:dyDescent="0.35">
      <c r="A387" s="21"/>
      <c r="B387" t="s">
        <v>12</v>
      </c>
      <c r="C387" t="s">
        <v>6</v>
      </c>
      <c r="D387" t="s">
        <v>4751</v>
      </c>
      <c r="F387" s="1">
        <v>46058</v>
      </c>
      <c r="G387" t="str">
        <f>IF(Table3[[#This Row],[Top Parent Account]]="",Table3[[#This Row],[Account Legal Name]],Table3[[#This Row],[Top Parent Account]])</f>
        <v>Construcciones Moyuc</v>
      </c>
      <c r="H387" s="1"/>
    </row>
    <row r="388" spans="1:8" x14ac:dyDescent="0.35">
      <c r="A388" s="21"/>
      <c r="B388" t="s">
        <v>32</v>
      </c>
      <c r="C388" t="s">
        <v>6</v>
      </c>
      <c r="D388" t="s">
        <v>4769</v>
      </c>
      <c r="F388" s="1">
        <v>46058</v>
      </c>
      <c r="G388" t="str">
        <f>IF(Table3[[#This Row],[Top Parent Account]]="",Table3[[#This Row],[Account Legal Name]],Table3[[#This Row],[Top Parent Account]])</f>
        <v>Nutrical</v>
      </c>
      <c r="H388" s="1"/>
    </row>
    <row r="389" spans="1:8" x14ac:dyDescent="0.35">
      <c r="A389" s="21"/>
      <c r="B389" t="s">
        <v>28</v>
      </c>
      <c r="C389" t="s">
        <v>6</v>
      </c>
      <c r="D389" t="s">
        <v>705</v>
      </c>
      <c r="E389" t="s">
        <v>1168</v>
      </c>
      <c r="F389" s="1">
        <v>46058</v>
      </c>
      <c r="G389" t="str">
        <f>IF(Table3[[#This Row],[Top Parent Account]]="",Table3[[#This Row],[Account Legal Name]],Table3[[#This Row],[Top Parent Account]])</f>
        <v>Transportes México Laguna</v>
      </c>
      <c r="H389" s="1"/>
    </row>
    <row r="390" spans="1:8" x14ac:dyDescent="0.35">
      <c r="A390" s="21"/>
      <c r="B390" t="s">
        <v>3114</v>
      </c>
      <c r="C390" t="s">
        <v>22</v>
      </c>
      <c r="D390" t="s">
        <v>4770</v>
      </c>
      <c r="F390" s="1">
        <v>46058</v>
      </c>
      <c r="G390" t="str">
        <f>IF(Table3[[#This Row],[Top Parent Account]]="",Table3[[#This Row],[Account Legal Name]],Table3[[#This Row],[Top Parent Account]])</f>
        <v>Lamina Desplegada</v>
      </c>
      <c r="H390" s="1"/>
    </row>
    <row r="391" spans="1:8" x14ac:dyDescent="0.35">
      <c r="A391" s="21"/>
      <c r="B391" t="s">
        <v>169</v>
      </c>
      <c r="C391" t="s">
        <v>6</v>
      </c>
      <c r="D391" t="s">
        <v>3806</v>
      </c>
      <c r="F391" s="1">
        <v>46058</v>
      </c>
      <c r="G391" t="str">
        <f>IF(Table3[[#This Row],[Top Parent Account]]="",Table3[[#This Row],[Account Legal Name]],Table3[[#This Row],[Top Parent Account]])</f>
        <v>MADRAX GREEN AUTOMATION</v>
      </c>
      <c r="H391" s="1"/>
    </row>
    <row r="392" spans="1:8" x14ac:dyDescent="0.35">
      <c r="A392" s="21"/>
      <c r="B392" t="s">
        <v>1511</v>
      </c>
      <c r="C392" t="s">
        <v>22</v>
      </c>
      <c r="D392" t="s">
        <v>4128</v>
      </c>
      <c r="F392" s="1">
        <v>46058</v>
      </c>
      <c r="G392" t="str">
        <f>IF(Table3[[#This Row],[Top Parent Account]]="",Table3[[#This Row],[Account Legal Name]],Table3[[#This Row],[Top Parent Account]])</f>
        <v>Corrugados Logo</v>
      </c>
      <c r="H392" s="1"/>
    </row>
    <row r="393" spans="1:8" x14ac:dyDescent="0.35">
      <c r="A393" s="21"/>
      <c r="B393" t="s">
        <v>932</v>
      </c>
      <c r="C393" t="s">
        <v>6</v>
      </c>
      <c r="D393" t="s">
        <v>4771</v>
      </c>
      <c r="F393" s="1">
        <v>46058</v>
      </c>
      <c r="G393" t="str">
        <f>IF(Table3[[#This Row],[Top Parent Account]]="",Table3[[#This Row],[Account Legal Name]],Table3[[#This Row],[Top Parent Account]])</f>
        <v>GC Printing Solutions</v>
      </c>
      <c r="H393" s="1"/>
    </row>
    <row r="394" spans="1:8" x14ac:dyDescent="0.35">
      <c r="A394" s="21"/>
      <c r="B394" t="s">
        <v>207</v>
      </c>
      <c r="C394" t="s">
        <v>6</v>
      </c>
      <c r="D394" t="s">
        <v>4746</v>
      </c>
      <c r="F394" s="1">
        <v>46058</v>
      </c>
      <c r="G394" t="str">
        <f>IF(Table3[[#This Row],[Top Parent Account]]="",Table3[[#This Row],[Account Legal Name]],Table3[[#This Row],[Top Parent Account]])</f>
        <v>Recsolog</v>
      </c>
      <c r="H394" s="1"/>
    </row>
    <row r="395" spans="1:8" x14ac:dyDescent="0.35">
      <c r="A395" s="21"/>
      <c r="B395" t="s">
        <v>23</v>
      </c>
      <c r="C395" t="s">
        <v>6</v>
      </c>
      <c r="D395" t="s">
        <v>3767</v>
      </c>
      <c r="F395" s="1">
        <v>46058</v>
      </c>
      <c r="G395" t="str">
        <f>IF(Table3[[#This Row],[Top Parent Account]]="",Table3[[#This Row],[Account Legal Name]],Table3[[#This Row],[Top Parent Account]])</f>
        <v>Comercializadora del Bajío Sitrak</v>
      </c>
      <c r="H395" s="1"/>
    </row>
    <row r="396" spans="1:8" x14ac:dyDescent="0.35">
      <c r="A396" s="21"/>
      <c r="B396" t="s">
        <v>3182</v>
      </c>
      <c r="C396" t="s">
        <v>22</v>
      </c>
      <c r="D396" t="s">
        <v>96</v>
      </c>
      <c r="F396" s="1">
        <v>46058</v>
      </c>
      <c r="G396" t="str">
        <f>IF(Table3[[#This Row],[Top Parent Account]]="",Table3[[#This Row],[Account Legal Name]],Table3[[#This Row],[Top Parent Account]])</f>
        <v>Prysmian Cables y Sistemas de México</v>
      </c>
      <c r="H396" s="1"/>
    </row>
    <row r="397" spans="1:8" x14ac:dyDescent="0.35">
      <c r="A397" s="21"/>
      <c r="B397" t="s">
        <v>207</v>
      </c>
      <c r="C397" t="s">
        <v>6</v>
      </c>
      <c r="D397" t="s">
        <v>4772</v>
      </c>
      <c r="F397" s="1">
        <v>46058</v>
      </c>
      <c r="G397" t="str">
        <f>IF(Table3[[#This Row],[Top Parent Account]]="",Table3[[#This Row],[Account Legal Name]],Table3[[#This Row],[Top Parent Account]])</f>
        <v>Espumas Omludam</v>
      </c>
      <c r="H397" s="1"/>
    </row>
    <row r="398" spans="1:8" x14ac:dyDescent="0.35">
      <c r="A398" s="21"/>
      <c r="B398" t="s">
        <v>3182</v>
      </c>
      <c r="C398" t="s">
        <v>22</v>
      </c>
      <c r="D398" t="s">
        <v>103</v>
      </c>
      <c r="F398" s="1">
        <v>46058</v>
      </c>
      <c r="G398" t="str">
        <f>IF(Table3[[#This Row],[Top Parent Account]]="",Table3[[#This Row],[Account Legal Name]],Table3[[#This Row],[Top Parent Account]])</f>
        <v>E2E Supply Chain Services</v>
      </c>
      <c r="H398" s="1"/>
    </row>
    <row r="399" spans="1:8" x14ac:dyDescent="0.35">
      <c r="A399" s="21"/>
      <c r="B399" t="s">
        <v>3182</v>
      </c>
      <c r="C399" t="s">
        <v>22</v>
      </c>
      <c r="D399" t="s">
        <v>4774</v>
      </c>
      <c r="F399" s="1">
        <v>46058</v>
      </c>
      <c r="G399" t="str">
        <f>IF(Table3[[#This Row],[Top Parent Account]]="",Table3[[#This Row],[Account Legal Name]],Table3[[#This Row],[Top Parent Account]])</f>
        <v>Aceros inoxidables de toluca</v>
      </c>
      <c r="H399" s="1"/>
    </row>
    <row r="400" spans="1:8" x14ac:dyDescent="0.35">
      <c r="A400" s="21"/>
      <c r="B400" t="s">
        <v>12</v>
      </c>
      <c r="C400" t="s">
        <v>6</v>
      </c>
      <c r="D400" t="s">
        <v>4759</v>
      </c>
      <c r="F400" s="1">
        <v>46058</v>
      </c>
      <c r="G400" t="str">
        <f>IF(Table3[[#This Row],[Top Parent Account]]="",Table3[[#This Row],[Account Legal Name]],Table3[[#This Row],[Top Parent Account]])</f>
        <v>Tecon Concretos</v>
      </c>
      <c r="H400" s="1"/>
    </row>
    <row r="401" spans="1:8" x14ac:dyDescent="0.35">
      <c r="A401" s="21"/>
      <c r="B401" t="s">
        <v>3182</v>
      </c>
      <c r="C401" t="s">
        <v>22</v>
      </c>
      <c r="D401" t="s">
        <v>4775</v>
      </c>
      <c r="F401" s="1">
        <v>46058</v>
      </c>
      <c r="G401" t="str">
        <f>IF(Table3[[#This Row],[Top Parent Account]]="",Table3[[#This Row],[Account Legal Name]],Table3[[#This Row],[Top Parent Account]])</f>
        <v>Grupo Arcor</v>
      </c>
      <c r="H401" s="1"/>
    </row>
    <row r="402" spans="1:8" x14ac:dyDescent="0.35">
      <c r="A402" s="21"/>
      <c r="B402" t="s">
        <v>12</v>
      </c>
      <c r="C402" t="s">
        <v>6</v>
      </c>
      <c r="D402" t="s">
        <v>197</v>
      </c>
      <c r="F402" s="1">
        <v>46058</v>
      </c>
      <c r="G402" t="str">
        <f>IF(Table3[[#This Row],[Top Parent Account]]="",Table3[[#This Row],[Account Legal Name]],Table3[[#This Row],[Top Parent Account]])</f>
        <v>Operadora Exe</v>
      </c>
      <c r="H402" s="1"/>
    </row>
    <row r="403" spans="1:8" x14ac:dyDescent="0.35">
      <c r="A403" s="21"/>
      <c r="B403" t="s">
        <v>208</v>
      </c>
      <c r="C403" t="s">
        <v>6</v>
      </c>
      <c r="D403" t="s">
        <v>4776</v>
      </c>
      <c r="F403" s="1">
        <v>46058</v>
      </c>
      <c r="G403" t="str">
        <f>IF(Table3[[#This Row],[Top Parent Account]]="",Table3[[#This Row],[Account Legal Name]],Table3[[#This Row],[Top Parent Account]])</f>
        <v>grupo equipamientos productivos</v>
      </c>
      <c r="H403" s="1"/>
    </row>
    <row r="404" spans="1:8" x14ac:dyDescent="0.35">
      <c r="A404" s="21"/>
      <c r="B404" t="s">
        <v>23</v>
      </c>
      <c r="C404" t="s">
        <v>6</v>
      </c>
      <c r="D404" t="s">
        <v>4773</v>
      </c>
      <c r="F404" s="1">
        <v>46058</v>
      </c>
      <c r="G404" t="str">
        <f>IF(Table3[[#This Row],[Top Parent Account]]="",Table3[[#This Row],[Account Legal Name]],Table3[[#This Row],[Top Parent Account]])</f>
        <v>Víctor Hugo Cortés Alvarez</v>
      </c>
      <c r="H404" s="1"/>
    </row>
    <row r="405" spans="1:8" x14ac:dyDescent="0.35">
      <c r="A405" s="21"/>
      <c r="B405" t="s">
        <v>970</v>
      </c>
      <c r="C405" t="s">
        <v>6</v>
      </c>
      <c r="D405" t="s">
        <v>4683</v>
      </c>
      <c r="F405" s="1">
        <v>46058</v>
      </c>
      <c r="G405" t="str">
        <f>IF(Table3[[#This Row],[Top Parent Account]]="",Table3[[#This Row],[Account Legal Name]],Table3[[#This Row],[Top Parent Account]])</f>
        <v>Cargo Lift</v>
      </c>
      <c r="H405" s="1"/>
    </row>
    <row r="406" spans="1:8" x14ac:dyDescent="0.35">
      <c r="A406" s="21"/>
      <c r="B406" t="s">
        <v>39</v>
      </c>
      <c r="C406" t="s">
        <v>4165</v>
      </c>
      <c r="D406" t="s">
        <v>4779</v>
      </c>
      <c r="F406" s="1">
        <v>46058</v>
      </c>
      <c r="G406" t="str">
        <f>IF(Table3[[#This Row],[Top Parent Account]]="",Table3[[#This Row],[Account Legal Name]],Table3[[#This Row],[Top Parent Account]])</f>
        <v>Cemex</v>
      </c>
      <c r="H406" s="1"/>
    </row>
    <row r="407" spans="1:8" x14ac:dyDescent="0.35">
      <c r="A407" s="21"/>
      <c r="B407" t="s">
        <v>172</v>
      </c>
      <c r="C407" t="s">
        <v>6</v>
      </c>
      <c r="D407" t="s">
        <v>4777</v>
      </c>
      <c r="F407" s="1">
        <v>46058</v>
      </c>
      <c r="G407" t="str">
        <f>IF(Table3[[#This Row],[Top Parent Account]]="",Table3[[#This Row],[Account Legal Name]],Table3[[#This Row],[Top Parent Account]])</f>
        <v>Maquinas Diesel</v>
      </c>
      <c r="H407" s="1"/>
    </row>
    <row r="408" spans="1:8" x14ac:dyDescent="0.35">
      <c r="A408" s="21"/>
      <c r="B408" t="s">
        <v>932</v>
      </c>
      <c r="C408" t="s">
        <v>6</v>
      </c>
      <c r="D408" t="s">
        <v>2656</v>
      </c>
      <c r="F408" s="1">
        <v>46058</v>
      </c>
      <c r="G408" t="str">
        <f>IF(Table3[[#This Row],[Top Parent Account]]="",Table3[[#This Row],[Account Legal Name]],Table3[[#This Row],[Top Parent Account]])</f>
        <v>Grupo Técnico Impresor</v>
      </c>
      <c r="H408" s="1"/>
    </row>
    <row r="409" spans="1:8" x14ac:dyDescent="0.35">
      <c r="A409" s="21"/>
      <c r="B409" t="s">
        <v>4472</v>
      </c>
      <c r="C409" t="s">
        <v>6</v>
      </c>
      <c r="D409" t="s">
        <v>4553</v>
      </c>
      <c r="F409" s="1">
        <v>46058</v>
      </c>
      <c r="G409" t="str">
        <f>IF(Table3[[#This Row],[Top Parent Account]]="",Table3[[#This Row],[Account Legal Name]],Table3[[#This Row],[Top Parent Account]])</f>
        <v>Riegos Cuauhtemoc</v>
      </c>
      <c r="H409" s="1"/>
    </row>
    <row r="410" spans="1:8" x14ac:dyDescent="0.35">
      <c r="A410" s="21"/>
      <c r="B410" t="s">
        <v>43</v>
      </c>
      <c r="C410" t="s">
        <v>6</v>
      </c>
      <c r="D410" t="s">
        <v>4778</v>
      </c>
      <c r="F410" s="1">
        <v>46058</v>
      </c>
      <c r="G410" t="str">
        <f>IF(Table3[[#This Row],[Top Parent Account]]="",Table3[[#This Row],[Account Legal Name]],Table3[[#This Row],[Top Parent Account]])</f>
        <v>Condulimex</v>
      </c>
      <c r="H410" s="1"/>
    </row>
    <row r="411" spans="1:8" x14ac:dyDescent="0.35">
      <c r="A411" s="21"/>
      <c r="B411" t="s">
        <v>1511</v>
      </c>
      <c r="C411" t="s">
        <v>6</v>
      </c>
      <c r="D411" t="s">
        <v>4780</v>
      </c>
      <c r="F411" s="1">
        <v>46058</v>
      </c>
      <c r="G411" t="str">
        <f>IF(Table3[[#This Row],[Top Parent Account]]="",Table3[[#This Row],[Account Legal Name]],Table3[[#This Row],[Top Parent Account]])</f>
        <v>Sociedad Mexicana de Parrilleros SMP</v>
      </c>
      <c r="H411" s="1"/>
    </row>
    <row r="412" spans="1:8" x14ac:dyDescent="0.35">
      <c r="A412" s="21"/>
      <c r="B412" t="s">
        <v>4472</v>
      </c>
      <c r="C412" t="s">
        <v>6</v>
      </c>
      <c r="D412" t="s">
        <v>3585</v>
      </c>
      <c r="F412" s="1">
        <v>46058</v>
      </c>
      <c r="G412" t="str">
        <f>IF(Table3[[#This Row],[Top Parent Account]]="",Table3[[#This Row],[Account Legal Name]],Table3[[#This Row],[Top Parent Account]])</f>
        <v>PETERS IRRIGATION</v>
      </c>
      <c r="H412" s="1"/>
    </row>
    <row r="413" spans="1:8" x14ac:dyDescent="0.35">
      <c r="A413" s="21"/>
      <c r="B413" t="s">
        <v>4704</v>
      </c>
      <c r="C413" t="s">
        <v>6</v>
      </c>
      <c r="D413" t="s">
        <v>4749</v>
      </c>
      <c r="F413" s="1">
        <v>46058</v>
      </c>
      <c r="G413" t="str">
        <f>IF(Table3[[#This Row],[Top Parent Account]]="",Table3[[#This Row],[Account Legal Name]],Table3[[#This Row],[Top Parent Account]])</f>
        <v>Alimentos Susalia</v>
      </c>
      <c r="H413" s="1"/>
    </row>
    <row r="414" spans="1:8" x14ac:dyDescent="0.35">
      <c r="A414" s="21"/>
      <c r="B414" t="s">
        <v>27</v>
      </c>
      <c r="C414" t="s">
        <v>6</v>
      </c>
      <c r="D414" t="s">
        <v>4782</v>
      </c>
      <c r="F414" s="1">
        <v>46058</v>
      </c>
      <c r="G414" t="str">
        <f>IF(Table3[[#This Row],[Top Parent Account]]="",Table3[[#This Row],[Account Legal Name]],Table3[[#This Row],[Top Parent Account]])</f>
        <v>Grupo Desarrollo Infraestructura</v>
      </c>
      <c r="H414" s="1"/>
    </row>
    <row r="415" spans="1:8" x14ac:dyDescent="0.35">
      <c r="A415" s="21"/>
      <c r="B415" t="s">
        <v>1131</v>
      </c>
      <c r="C415" t="s">
        <v>6</v>
      </c>
      <c r="D415" t="s">
        <v>4783</v>
      </c>
      <c r="F415" s="1">
        <v>46058</v>
      </c>
      <c r="G415" t="str">
        <f>IF(Table3[[#This Row],[Top Parent Account]]="",Table3[[#This Row],[Account Legal Name]],Table3[[#This Row],[Top Parent Account]])</f>
        <v>LARVACORE</v>
      </c>
      <c r="H415" s="1"/>
    </row>
    <row r="416" spans="1:8" x14ac:dyDescent="0.35">
      <c r="A416" s="21"/>
      <c r="B416" t="s">
        <v>28</v>
      </c>
      <c r="C416" t="s">
        <v>6</v>
      </c>
      <c r="D416" t="s">
        <v>4784</v>
      </c>
      <c r="F416" s="1">
        <v>46058</v>
      </c>
      <c r="G416" t="str">
        <f>IF(Table3[[#This Row],[Top Parent Account]]="",Table3[[#This Row],[Account Legal Name]],Table3[[#This Row],[Top Parent Account]])</f>
        <v>Impulsora Industrial EMCO</v>
      </c>
      <c r="H416" s="1"/>
    </row>
    <row r="417" spans="1:8" x14ac:dyDescent="0.35">
      <c r="A417" s="21"/>
      <c r="B417" t="s">
        <v>29</v>
      </c>
      <c r="C417" t="s">
        <v>6</v>
      </c>
      <c r="D417" t="s">
        <v>4785</v>
      </c>
      <c r="F417" s="1">
        <v>46058</v>
      </c>
      <c r="G417" t="str">
        <f>IF(Table3[[#This Row],[Top Parent Account]]="",Table3[[#This Row],[Account Legal Name]],Table3[[#This Row],[Top Parent Account]])</f>
        <v>TAMPOMEX</v>
      </c>
      <c r="H417" s="1"/>
    </row>
    <row r="418" spans="1:8" x14ac:dyDescent="0.35">
      <c r="A418" s="21"/>
      <c r="B418" t="s">
        <v>23</v>
      </c>
      <c r="C418" t="s">
        <v>6</v>
      </c>
      <c r="D418" t="s">
        <v>2163</v>
      </c>
      <c r="F418" s="1">
        <v>46058</v>
      </c>
      <c r="G418" t="str">
        <f>IF(Table3[[#This Row],[Top Parent Account]]="",Table3[[#This Row],[Account Legal Name]],Table3[[#This Row],[Top Parent Account]])</f>
        <v>XICUCO INFRAESTRUCTURA Y CONSTRUCCION</v>
      </c>
      <c r="H418" s="1"/>
    </row>
    <row r="419" spans="1:8" x14ac:dyDescent="0.35">
      <c r="A419" s="21"/>
      <c r="B419" t="s">
        <v>1899</v>
      </c>
      <c r="C419" t="s">
        <v>6</v>
      </c>
      <c r="D419" t="s">
        <v>4781</v>
      </c>
      <c r="F419" s="1">
        <v>46058</v>
      </c>
      <c r="G419" t="str">
        <f>IF(Table3[[#This Row],[Top Parent Account]]="",Table3[[#This Row],[Account Legal Name]],Table3[[#This Row],[Top Parent Account]])</f>
        <v>AUTOTRANSPORTES GAMI</v>
      </c>
      <c r="H419" s="1"/>
    </row>
    <row r="420" spans="1:8" x14ac:dyDescent="0.35">
      <c r="A420" s="21"/>
      <c r="B420" t="s">
        <v>1006</v>
      </c>
      <c r="C420" t="s">
        <v>6</v>
      </c>
      <c r="D420" t="s">
        <v>1007</v>
      </c>
      <c r="F420" s="1">
        <v>46058</v>
      </c>
      <c r="G420" t="str">
        <f>IF(Table3[[#This Row],[Top Parent Account]]="",Table3[[#This Row],[Account Legal Name]],Table3[[#This Row],[Top Parent Account]])</f>
        <v>INDAMEX Industrializadora de Alimentos Mexicanos</v>
      </c>
      <c r="H420" s="1"/>
    </row>
    <row r="421" spans="1:8" x14ac:dyDescent="0.35">
      <c r="A421" s="21"/>
      <c r="B421" t="s">
        <v>70</v>
      </c>
      <c r="C421" t="s">
        <v>6</v>
      </c>
      <c r="D421" t="s">
        <v>517</v>
      </c>
      <c r="F421" s="1">
        <v>46058</v>
      </c>
      <c r="G421" t="str">
        <f>IF(Table3[[#This Row],[Top Parent Account]]="",Table3[[#This Row],[Account Legal Name]],Table3[[#This Row],[Top Parent Account]])</f>
        <v>CBH+ en Innovación Médica</v>
      </c>
      <c r="H421" s="1"/>
    </row>
    <row r="422" spans="1:8" x14ac:dyDescent="0.35">
      <c r="A422" s="21"/>
      <c r="B422" t="s">
        <v>4472</v>
      </c>
      <c r="C422" t="s">
        <v>6</v>
      </c>
      <c r="D422" t="s">
        <v>3994</v>
      </c>
      <c r="F422" s="1">
        <v>46058</v>
      </c>
      <c r="G422" t="str">
        <f>IF(Table3[[#This Row],[Top Parent Account]]="",Table3[[#This Row],[Account Legal Name]],Table3[[#This Row],[Top Parent Account]])</f>
        <v>Grupo Remolques del Norte</v>
      </c>
      <c r="H422" s="1"/>
    </row>
    <row r="423" spans="1:8" x14ac:dyDescent="0.35">
      <c r="A423" s="21"/>
      <c r="B423" t="s">
        <v>925</v>
      </c>
      <c r="C423" t="s">
        <v>6</v>
      </c>
      <c r="D423" t="s">
        <v>4811</v>
      </c>
      <c r="F423" s="1">
        <v>46058</v>
      </c>
      <c r="G423" t="str">
        <f>IF(Table3[[#This Row],[Top Parent Account]]="",Table3[[#This Row],[Account Legal Name]],Table3[[#This Row],[Top Parent Account]])</f>
        <v>ACE TELECOM´F</v>
      </c>
      <c r="H423" s="1"/>
    </row>
    <row r="424" spans="1:8" x14ac:dyDescent="0.35">
      <c r="A424" s="21"/>
      <c r="B424" t="s">
        <v>84</v>
      </c>
      <c r="C424" t="s">
        <v>1424</v>
      </c>
      <c r="D424" t="s">
        <v>4812</v>
      </c>
      <c r="F424" s="1">
        <v>46058</v>
      </c>
      <c r="G424" t="str">
        <f>IF(Table3[[#This Row],[Top Parent Account]]="",Table3[[#This Row],[Account Legal Name]],Table3[[#This Row],[Top Parent Account]])</f>
        <v>BC logistics</v>
      </c>
      <c r="H424" s="1"/>
    </row>
    <row r="425" spans="1:8" x14ac:dyDescent="0.35">
      <c r="A425" s="21"/>
      <c r="B425" t="s">
        <v>18</v>
      </c>
      <c r="C425" t="s">
        <v>6</v>
      </c>
      <c r="D425" t="s">
        <v>3948</v>
      </c>
      <c r="F425" s="1">
        <v>46057</v>
      </c>
      <c r="G425" t="str">
        <f>IF(Table3[[#This Row],[Top Parent Account]]="",Table3[[#This Row],[Account Legal Name]],Table3[[#This Row],[Top Parent Account]])</f>
        <v>COMER MART</v>
      </c>
      <c r="H425" s="1"/>
    </row>
    <row r="426" spans="1:8" x14ac:dyDescent="0.35">
      <c r="A426" s="21"/>
      <c r="B426" t="s">
        <v>208</v>
      </c>
      <c r="C426" t="s">
        <v>6</v>
      </c>
      <c r="D426" t="s">
        <v>4786</v>
      </c>
      <c r="F426" s="1">
        <v>46057</v>
      </c>
      <c r="G426" t="str">
        <f>IF(Table3[[#This Row],[Top Parent Account]]="",Table3[[#This Row],[Account Legal Name]],Table3[[#This Row],[Top Parent Account]])</f>
        <v>Medios Masivos Mexicanos</v>
      </c>
      <c r="H426" s="1"/>
    </row>
    <row r="427" spans="1:8" x14ac:dyDescent="0.35">
      <c r="A427" s="21"/>
      <c r="B427" t="s">
        <v>739</v>
      </c>
      <c r="C427" t="s">
        <v>4813</v>
      </c>
      <c r="D427" t="s">
        <v>1143</v>
      </c>
      <c r="F427" s="1">
        <v>46057</v>
      </c>
      <c r="G427" t="str">
        <f>IF(Table3[[#This Row],[Top Parent Account]]="",Table3[[#This Row],[Account Legal Name]],Table3[[#This Row],[Top Parent Account]])</f>
        <v>Compania De Transportes Nacionales Vim</v>
      </c>
      <c r="H427" s="1"/>
    </row>
    <row r="428" spans="1:8" x14ac:dyDescent="0.35">
      <c r="A428" s="21"/>
      <c r="B428" t="s">
        <v>2658</v>
      </c>
      <c r="C428" t="s">
        <v>6</v>
      </c>
      <c r="D428" t="s">
        <v>1848</v>
      </c>
      <c r="F428" s="1">
        <v>46057</v>
      </c>
      <c r="G428" t="str">
        <f>IF(Table3[[#This Row],[Top Parent Account]]="",Table3[[#This Row],[Account Legal Name]],Table3[[#This Row],[Top Parent Account]])</f>
        <v>Comercializadora Farmacéutica De Chiapas</v>
      </c>
      <c r="H428" s="1"/>
    </row>
    <row r="429" spans="1:8" x14ac:dyDescent="0.35">
      <c r="A429" s="21"/>
      <c r="B429" t="s">
        <v>25</v>
      </c>
      <c r="C429" t="s">
        <v>6</v>
      </c>
      <c r="D429" t="s">
        <v>4757</v>
      </c>
      <c r="E429" t="s">
        <v>4787</v>
      </c>
      <c r="F429" s="1">
        <v>46057</v>
      </c>
      <c r="G429" t="str">
        <f>IF(Table3[[#This Row],[Top Parent Account]]="",Table3[[#This Row],[Account Legal Name]],Table3[[#This Row],[Top Parent Account]])</f>
        <v>Grupo Atah</v>
      </c>
      <c r="H429" s="1"/>
    </row>
    <row r="430" spans="1:8" x14ac:dyDescent="0.35">
      <c r="A430" s="21"/>
      <c r="B430" t="s">
        <v>4696</v>
      </c>
      <c r="C430" t="s">
        <v>6</v>
      </c>
      <c r="D430" t="s">
        <v>4788</v>
      </c>
      <c r="F430" s="1">
        <v>46057</v>
      </c>
      <c r="G430" t="str">
        <f>IF(Table3[[#This Row],[Top Parent Account]]="",Table3[[#This Row],[Account Legal Name]],Table3[[#This Row],[Top Parent Account]])</f>
        <v>MAEDA Logistics</v>
      </c>
      <c r="H430" s="1"/>
    </row>
    <row r="431" spans="1:8" x14ac:dyDescent="0.35">
      <c r="A431" s="21"/>
      <c r="B431" t="s">
        <v>28</v>
      </c>
      <c r="C431" t="s">
        <v>6</v>
      </c>
      <c r="D431" t="s">
        <v>4814</v>
      </c>
      <c r="F431" s="1">
        <v>46057</v>
      </c>
      <c r="G431" t="str">
        <f>IF(Table3[[#This Row],[Top Parent Account]]="",Table3[[#This Row],[Account Legal Name]],Table3[[#This Row],[Top Parent Account]])</f>
        <v>JRC Mining and Construction</v>
      </c>
      <c r="H431" s="1"/>
    </row>
    <row r="432" spans="1:8" x14ac:dyDescent="0.35">
      <c r="A432" s="21"/>
      <c r="B432" t="s">
        <v>32</v>
      </c>
      <c r="C432" t="s">
        <v>6</v>
      </c>
      <c r="D432" t="s">
        <v>953</v>
      </c>
      <c r="F432" s="1">
        <v>46057</v>
      </c>
      <c r="G432" t="str">
        <f>IF(Table3[[#This Row],[Top Parent Account]]="",Table3[[#This Row],[Account Legal Name]],Table3[[#This Row],[Top Parent Account]])</f>
        <v>Kensa Logistics México</v>
      </c>
      <c r="H432" s="1"/>
    </row>
    <row r="433" spans="1:8" x14ac:dyDescent="0.35">
      <c r="A433" s="21"/>
      <c r="B433" t="s">
        <v>3093</v>
      </c>
      <c r="C433" t="s">
        <v>6</v>
      </c>
      <c r="D433" t="s">
        <v>5039</v>
      </c>
      <c r="F433" s="1">
        <v>46057</v>
      </c>
      <c r="G433" t="str">
        <f>IF(Table3[[#This Row],[Top Parent Account]]="",Table3[[#This Row],[Account Legal Name]],Table3[[#This Row],[Top Parent Account]])</f>
        <v>Church and Dwigth</v>
      </c>
      <c r="H433" s="1"/>
    </row>
    <row r="434" spans="1:8" x14ac:dyDescent="0.35">
      <c r="A434" s="21"/>
      <c r="B434" t="s">
        <v>3129</v>
      </c>
      <c r="C434" t="s">
        <v>6</v>
      </c>
      <c r="D434" t="s">
        <v>501</v>
      </c>
      <c r="F434" s="1">
        <v>46057</v>
      </c>
      <c r="G434" t="str">
        <f>IF(Table3[[#This Row],[Top Parent Account]]="",Table3[[#This Row],[Account Legal Name]],Table3[[#This Row],[Top Parent Account]])</f>
        <v>Packsys México</v>
      </c>
      <c r="H434" s="1"/>
    </row>
    <row r="435" spans="1:8" x14ac:dyDescent="0.35">
      <c r="A435" s="21"/>
      <c r="B435" t="s">
        <v>3114</v>
      </c>
      <c r="C435" t="s">
        <v>52</v>
      </c>
      <c r="D435" t="s">
        <v>4758</v>
      </c>
      <c r="E435" t="s">
        <v>2631</v>
      </c>
      <c r="F435" s="1">
        <v>46057</v>
      </c>
      <c r="G435" t="str">
        <f>IF(Table3[[#This Row],[Top Parent Account]]="",Table3[[#This Row],[Account Legal Name]],Table3[[#This Row],[Top Parent Account]])</f>
        <v>Grupo Industrial Fabeva</v>
      </c>
      <c r="H435" s="1"/>
    </row>
    <row r="436" spans="1:8" x14ac:dyDescent="0.35">
      <c r="A436" s="21"/>
      <c r="B436" t="s">
        <v>26</v>
      </c>
      <c r="C436" t="s">
        <v>6</v>
      </c>
      <c r="D436" t="s">
        <v>4754</v>
      </c>
      <c r="E436" t="s">
        <v>4789</v>
      </c>
      <c r="F436" s="1">
        <v>46057</v>
      </c>
      <c r="G436" t="str">
        <f>IF(Table3[[#This Row],[Top Parent Account]]="",Table3[[#This Row],[Account Legal Name]],Table3[[#This Row],[Top Parent Account]])</f>
        <v>Naturasol</v>
      </c>
      <c r="H436" s="1"/>
    </row>
    <row r="437" spans="1:8" x14ac:dyDescent="0.35">
      <c r="A437" s="21"/>
      <c r="B437" t="s">
        <v>23</v>
      </c>
      <c r="C437" t="s">
        <v>6</v>
      </c>
      <c r="D437" t="s">
        <v>4012</v>
      </c>
      <c r="F437" s="1">
        <v>46057</v>
      </c>
      <c r="G437" t="str">
        <f>IF(Table3[[#This Row],[Top Parent Account]]="",Table3[[#This Row],[Account Legal Name]],Table3[[#This Row],[Top Parent Account]])</f>
        <v>PREFABRICADOS DEL CENTRO</v>
      </c>
      <c r="H437" s="1"/>
    </row>
    <row r="438" spans="1:8" x14ac:dyDescent="0.35">
      <c r="A438" s="21"/>
      <c r="B438" t="s">
        <v>14</v>
      </c>
      <c r="C438" t="s">
        <v>6</v>
      </c>
      <c r="D438" t="s">
        <v>4790</v>
      </c>
      <c r="F438" s="1">
        <v>46057</v>
      </c>
      <c r="G438" t="str">
        <f>IF(Table3[[#This Row],[Top Parent Account]]="",Table3[[#This Row],[Account Legal Name]],Table3[[#This Row],[Top Parent Account]])</f>
        <v>Sella?Empaq</v>
      </c>
      <c r="H438" s="1"/>
    </row>
    <row r="439" spans="1:8" x14ac:dyDescent="0.35">
      <c r="A439" s="21"/>
      <c r="B439" t="s">
        <v>970</v>
      </c>
      <c r="C439" t="s">
        <v>6</v>
      </c>
      <c r="D439" t="s">
        <v>200</v>
      </c>
      <c r="F439" s="1">
        <v>46057</v>
      </c>
      <c r="G439" t="str">
        <f>IF(Table3[[#This Row],[Top Parent Account]]="",Table3[[#This Row],[Account Legal Name]],Table3[[#This Row],[Top Parent Account]])</f>
        <v>Grupo Industrial Summa</v>
      </c>
      <c r="H439" s="1"/>
    </row>
    <row r="440" spans="1:8" x14ac:dyDescent="0.35">
      <c r="A440" s="21"/>
      <c r="B440" t="s">
        <v>4696</v>
      </c>
      <c r="C440" t="s">
        <v>6</v>
      </c>
      <c r="D440" t="s">
        <v>4815</v>
      </c>
      <c r="F440" s="1">
        <v>46057</v>
      </c>
      <c r="G440" t="str">
        <f>IF(Table3[[#This Row],[Top Parent Account]]="",Table3[[#This Row],[Account Legal Name]],Table3[[#This Row],[Top Parent Account]])</f>
        <v>MRS Proveedora Industrial</v>
      </c>
      <c r="H440" s="1"/>
    </row>
    <row r="441" spans="1:8" x14ac:dyDescent="0.35">
      <c r="A441" s="21"/>
      <c r="B441" t="s">
        <v>24</v>
      </c>
      <c r="C441" t="s">
        <v>6</v>
      </c>
      <c r="D441" t="s">
        <v>3198</v>
      </c>
      <c r="F441" s="1">
        <v>46057</v>
      </c>
      <c r="G441" t="str">
        <f>IF(Table3[[#This Row],[Top Parent Account]]="",Table3[[#This Row],[Account Legal Name]],Table3[[#This Row],[Top Parent Account]])</f>
        <v>Productos Selectos de Agave</v>
      </c>
      <c r="H441" s="1"/>
    </row>
    <row r="442" spans="1:8" x14ac:dyDescent="0.35">
      <c r="A442" s="21"/>
      <c r="B442" t="s">
        <v>70</v>
      </c>
      <c r="C442" t="s">
        <v>6</v>
      </c>
      <c r="D442" t="s">
        <v>4149</v>
      </c>
      <c r="F442" s="1">
        <v>46057</v>
      </c>
      <c r="G442" t="str">
        <f>IF(Table3[[#This Row],[Top Parent Account]]="",Table3[[#This Row],[Account Legal Name]],Table3[[#This Row],[Top Parent Account]])</f>
        <v>GRUPO RENGA SEGURIDAD PRIVADA</v>
      </c>
      <c r="H442" s="1"/>
    </row>
    <row r="443" spans="1:8" x14ac:dyDescent="0.35">
      <c r="A443" s="21"/>
      <c r="B443" t="s">
        <v>28</v>
      </c>
      <c r="C443" t="s">
        <v>6</v>
      </c>
      <c r="D443" t="s">
        <v>1571</v>
      </c>
      <c r="F443" s="1">
        <v>46057</v>
      </c>
      <c r="G443" t="str">
        <f>IF(Table3[[#This Row],[Top Parent Account]]="",Table3[[#This Row],[Account Legal Name]],Table3[[#This Row],[Top Parent Account]])</f>
        <v>CONSTRUACERO DEL NORTE</v>
      </c>
      <c r="H443" s="1"/>
    </row>
    <row r="444" spans="1:8" x14ac:dyDescent="0.35">
      <c r="A444" s="21"/>
      <c r="B444" t="s">
        <v>14</v>
      </c>
      <c r="C444" t="s">
        <v>6</v>
      </c>
      <c r="D444" t="s">
        <v>5040</v>
      </c>
      <c r="F444" s="1">
        <v>46057</v>
      </c>
      <c r="G444" t="str">
        <f>IF(Table3[[#This Row],[Top Parent Account]]="",Table3[[#This Row],[Account Legal Name]],Table3[[#This Row],[Top Parent Account]])</f>
        <v>Aceros y Perfiles De Aguascalientes</v>
      </c>
      <c r="H444" s="1"/>
    </row>
    <row r="445" spans="1:8" x14ac:dyDescent="0.35">
      <c r="A445" s="21"/>
      <c r="B445" t="s">
        <v>88</v>
      </c>
      <c r="C445" t="s">
        <v>22</v>
      </c>
      <c r="D445" t="s">
        <v>4022</v>
      </c>
      <c r="F445" s="1">
        <v>46057</v>
      </c>
      <c r="G445" t="str">
        <f>IF(Table3[[#This Row],[Top Parent Account]]="",Table3[[#This Row],[Account Legal Name]],Table3[[#This Row],[Top Parent Account]])</f>
        <v>Mining Biotech</v>
      </c>
      <c r="H445" s="1"/>
    </row>
    <row r="446" spans="1:8" x14ac:dyDescent="0.35">
      <c r="A446" s="21"/>
      <c r="B446" t="s">
        <v>14</v>
      </c>
      <c r="C446" t="s">
        <v>6</v>
      </c>
      <c r="D446" t="s">
        <v>1454</v>
      </c>
      <c r="F446" s="1">
        <v>46057</v>
      </c>
      <c r="G446" t="str">
        <f>IF(Table3[[#This Row],[Top Parent Account]]="",Table3[[#This Row],[Account Legal Name]],Table3[[#This Row],[Top Parent Account]])</f>
        <v>Tuercas y Abrazaderas Ensa</v>
      </c>
      <c r="H446" s="1"/>
    </row>
    <row r="447" spans="1:8" x14ac:dyDescent="0.35">
      <c r="A447" s="21"/>
      <c r="B447" t="s">
        <v>1006</v>
      </c>
      <c r="C447" t="s">
        <v>6</v>
      </c>
      <c r="D447" t="s">
        <v>1491</v>
      </c>
      <c r="F447" s="1">
        <v>46057</v>
      </c>
      <c r="G447" t="str">
        <f>IF(Table3[[#This Row],[Top Parent Account]]="",Table3[[#This Row],[Account Legal Name]],Table3[[#This Row],[Top Parent Account]])</f>
        <v>GRUPO MOC</v>
      </c>
      <c r="H447" s="1"/>
    </row>
    <row r="448" spans="1:8" x14ac:dyDescent="0.35">
      <c r="A448" s="21"/>
      <c r="B448" t="s">
        <v>169</v>
      </c>
      <c r="C448" t="s">
        <v>6</v>
      </c>
      <c r="D448" t="s">
        <v>213</v>
      </c>
      <c r="F448" s="1">
        <v>46057</v>
      </c>
      <c r="G448" t="str">
        <f>IF(Table3[[#This Row],[Top Parent Account]]="",Table3[[#This Row],[Account Legal Name]],Table3[[#This Row],[Top Parent Account]])</f>
        <v>Fabrica de Dulces Miguelito</v>
      </c>
      <c r="H448" s="1"/>
    </row>
    <row r="449" spans="1:8" x14ac:dyDescent="0.35">
      <c r="A449" s="21"/>
      <c r="B449" t="s">
        <v>1899</v>
      </c>
      <c r="C449" t="s">
        <v>6</v>
      </c>
      <c r="D449" t="s">
        <v>4792</v>
      </c>
      <c r="F449" s="1">
        <v>46057</v>
      </c>
      <c r="G449" t="str">
        <f>IF(Table3[[#This Row],[Top Parent Account]]="",Table3[[#This Row],[Account Legal Name]],Table3[[#This Row],[Top Parent Account]])</f>
        <v>R &amp; A INDUSTRIAS</v>
      </c>
      <c r="H449" s="1"/>
    </row>
    <row r="450" spans="1:8" x14ac:dyDescent="0.35">
      <c r="A450" s="21"/>
      <c r="B450" t="s">
        <v>169</v>
      </c>
      <c r="C450" t="s">
        <v>6</v>
      </c>
      <c r="D450" t="s">
        <v>213</v>
      </c>
      <c r="F450" s="1">
        <v>46057</v>
      </c>
      <c r="G450" t="str">
        <f>IF(Table3[[#This Row],[Top Parent Account]]="",Table3[[#This Row],[Account Legal Name]],Table3[[#This Row],[Top Parent Account]])</f>
        <v>Fabrica de Dulces Miguelito</v>
      </c>
      <c r="H450" s="1"/>
    </row>
    <row r="451" spans="1:8" x14ac:dyDescent="0.35">
      <c r="A451" s="21"/>
      <c r="B451" t="s">
        <v>172</v>
      </c>
      <c r="C451" t="s">
        <v>6</v>
      </c>
      <c r="D451" t="s">
        <v>4791</v>
      </c>
      <c r="F451" s="1">
        <v>46057</v>
      </c>
      <c r="G451" t="str">
        <f>IF(Table3[[#This Row],[Top Parent Account]]="",Table3[[#This Row],[Account Legal Name]],Table3[[#This Row],[Top Parent Account]])</f>
        <v>Argonaut</v>
      </c>
      <c r="H451" s="1"/>
    </row>
    <row r="452" spans="1:8" x14ac:dyDescent="0.35">
      <c r="A452" s="21"/>
      <c r="B452" t="s">
        <v>2884</v>
      </c>
      <c r="C452" t="s">
        <v>6</v>
      </c>
      <c r="D452" t="s">
        <v>313</v>
      </c>
      <c r="F452" s="1">
        <v>46057</v>
      </c>
      <c r="G452" t="str">
        <f>IF(Table3[[#This Row],[Top Parent Account]]="",Table3[[#This Row],[Account Legal Name]],Table3[[#This Row],[Top Parent Account]])</f>
        <v>Mitsui de México</v>
      </c>
      <c r="H452" s="1"/>
    </row>
    <row r="453" spans="1:8" x14ac:dyDescent="0.35">
      <c r="A453" s="21"/>
      <c r="B453" t="s">
        <v>3553</v>
      </c>
      <c r="C453" t="s">
        <v>6</v>
      </c>
      <c r="D453" t="s">
        <v>4793</v>
      </c>
      <c r="F453" s="1">
        <v>46057</v>
      </c>
      <c r="G453" t="str">
        <f>IF(Table3[[#This Row],[Top Parent Account]]="",Table3[[#This Row],[Account Legal Name]],Table3[[#This Row],[Top Parent Account]])</f>
        <v>SOLUMARK</v>
      </c>
      <c r="H453" s="1"/>
    </row>
    <row r="454" spans="1:8" x14ac:dyDescent="0.35">
      <c r="A454" s="21"/>
      <c r="B454" t="s">
        <v>3182</v>
      </c>
      <c r="C454" t="s">
        <v>6</v>
      </c>
      <c r="D454" t="s">
        <v>1345</v>
      </c>
      <c r="F454" s="1">
        <v>46057</v>
      </c>
      <c r="G454" t="str">
        <f>IF(Table3[[#This Row],[Top Parent Account]]="",Table3[[#This Row],[Account Legal Name]],Table3[[#This Row],[Top Parent Account]])</f>
        <v>Productora y Comercializadora Internacional Mexicana</v>
      </c>
      <c r="H454" s="1"/>
    </row>
    <row r="455" spans="1:8" x14ac:dyDescent="0.35">
      <c r="A455" s="21"/>
      <c r="B455" t="s">
        <v>3092</v>
      </c>
      <c r="C455" t="s">
        <v>6</v>
      </c>
      <c r="D455" t="s">
        <v>3290</v>
      </c>
      <c r="F455" s="1">
        <v>46057</v>
      </c>
      <c r="G455" t="str">
        <f>IF(Table3[[#This Row],[Top Parent Account]]="",Table3[[#This Row],[Account Legal Name]],Table3[[#This Row],[Top Parent Account]])</f>
        <v>Grupo Trigave</v>
      </c>
      <c r="H455" s="1"/>
    </row>
    <row r="456" spans="1:8" x14ac:dyDescent="0.35">
      <c r="A456" s="21"/>
      <c r="B456" t="s">
        <v>207</v>
      </c>
      <c r="C456" t="s">
        <v>6</v>
      </c>
      <c r="D456" t="s">
        <v>2263</v>
      </c>
      <c r="F456" s="1">
        <v>46057</v>
      </c>
      <c r="G456" t="str">
        <f>IF(Table3[[#This Row],[Top Parent Account]]="",Table3[[#This Row],[Account Legal Name]],Table3[[#This Row],[Top Parent Account]])</f>
        <v>La Otra Post, Eventos y Video</v>
      </c>
      <c r="H456" s="1"/>
    </row>
    <row r="457" spans="1:8" x14ac:dyDescent="0.35">
      <c r="A457" s="21"/>
      <c r="B457" t="s">
        <v>1511</v>
      </c>
      <c r="C457" t="s">
        <v>6</v>
      </c>
      <c r="D457" t="s">
        <v>4666</v>
      </c>
      <c r="F457" s="1">
        <v>46057</v>
      </c>
      <c r="G457" t="str">
        <f>IF(Table3[[#This Row],[Top Parent Account]]="",Table3[[#This Row],[Account Legal Name]],Table3[[#This Row],[Top Parent Account]])</f>
        <v>Troquelados y Laminados De Monterrey</v>
      </c>
      <c r="H457" s="1"/>
    </row>
    <row r="458" spans="1:8" x14ac:dyDescent="0.35">
      <c r="A458" s="21"/>
      <c r="B458" t="s">
        <v>3114</v>
      </c>
      <c r="C458" t="s">
        <v>22</v>
      </c>
      <c r="D458" t="s">
        <v>458</v>
      </c>
      <c r="F458" s="1">
        <v>46057</v>
      </c>
      <c r="G458" t="str">
        <f>IF(Table3[[#This Row],[Top Parent Account]]="",Table3[[#This Row],[Account Legal Name]],Table3[[#This Row],[Top Parent Account]])</f>
        <v>Plastirey</v>
      </c>
      <c r="H458" s="1"/>
    </row>
    <row r="459" spans="1:8" x14ac:dyDescent="0.35">
      <c r="A459" s="21"/>
      <c r="B459" t="s">
        <v>207</v>
      </c>
      <c r="C459" t="s">
        <v>6</v>
      </c>
      <c r="D459" t="s">
        <v>3073</v>
      </c>
      <c r="F459" s="1">
        <v>46057</v>
      </c>
      <c r="G459" t="str">
        <f>IF(Table3[[#This Row],[Top Parent Account]]="",Table3[[#This Row],[Account Legal Name]],Table3[[#This Row],[Top Parent Account]])</f>
        <v>Manaf Commerce</v>
      </c>
      <c r="H459" s="1"/>
    </row>
    <row r="460" spans="1:8" x14ac:dyDescent="0.35">
      <c r="A460" s="21"/>
      <c r="B460" t="s">
        <v>23</v>
      </c>
      <c r="C460" t="s">
        <v>6</v>
      </c>
      <c r="D460" t="s">
        <v>4794</v>
      </c>
      <c r="F460" s="1">
        <v>46057</v>
      </c>
      <c r="G460" t="str">
        <f>IF(Table3[[#This Row],[Top Parent Account]]="",Table3[[#This Row],[Account Legal Name]],Table3[[#This Row],[Top Parent Account]])</f>
        <v>AMD Maquinaria</v>
      </c>
      <c r="H460" s="1"/>
    </row>
    <row r="461" spans="1:8" x14ac:dyDescent="0.35">
      <c r="A461" s="21"/>
      <c r="B461" t="s">
        <v>3114</v>
      </c>
      <c r="C461" t="s">
        <v>22</v>
      </c>
      <c r="D461" t="s">
        <v>196</v>
      </c>
      <c r="F461" s="1">
        <v>46057</v>
      </c>
      <c r="G461" t="str">
        <f>IF(Table3[[#This Row],[Top Parent Account]]="",Table3[[#This Row],[Account Legal Name]],Table3[[#This Row],[Top Parent Account]])</f>
        <v>Inyector</v>
      </c>
      <c r="H461" s="1"/>
    </row>
    <row r="462" spans="1:8" x14ac:dyDescent="0.35">
      <c r="A462" s="21"/>
      <c r="B462" t="s">
        <v>2693</v>
      </c>
      <c r="C462" t="s">
        <v>6</v>
      </c>
      <c r="D462" t="s">
        <v>4795</v>
      </c>
      <c r="F462" s="1">
        <v>46057</v>
      </c>
      <c r="G462" t="str">
        <f>IF(Table3[[#This Row],[Top Parent Account]]="",Table3[[#This Row],[Account Legal Name]],Table3[[#This Row],[Top Parent Account]])</f>
        <v>JOSE JUAN PEREZ RUIZ</v>
      </c>
      <c r="H462" s="1"/>
    </row>
    <row r="463" spans="1:8" x14ac:dyDescent="0.35">
      <c r="A463" s="21"/>
      <c r="B463" t="s">
        <v>4696</v>
      </c>
      <c r="C463" t="s">
        <v>6</v>
      </c>
      <c r="D463" t="s">
        <v>4796</v>
      </c>
      <c r="F463" s="1">
        <v>46057</v>
      </c>
      <c r="G463" t="str">
        <f>IF(Table3[[#This Row],[Top Parent Account]]="",Table3[[#This Row],[Account Legal Name]],Table3[[#This Row],[Top Parent Account]])</f>
        <v>PAPELVER</v>
      </c>
      <c r="H463" s="1"/>
    </row>
    <row r="464" spans="1:8" x14ac:dyDescent="0.35">
      <c r="A464" s="21"/>
      <c r="B464" t="s">
        <v>280</v>
      </c>
      <c r="C464" t="s">
        <v>6</v>
      </c>
      <c r="D464" t="s">
        <v>1680</v>
      </c>
      <c r="F464" s="1">
        <v>46057</v>
      </c>
      <c r="G464" t="str">
        <f>IF(Table3[[#This Row],[Top Parent Account]]="",Table3[[#This Row],[Account Legal Name]],Table3[[#This Row],[Top Parent Account]])</f>
        <v>Agrotileno de México</v>
      </c>
      <c r="H464" s="1"/>
    </row>
    <row r="465" spans="1:8" x14ac:dyDescent="0.35">
      <c r="A465" s="21"/>
      <c r="B465" t="s">
        <v>1899</v>
      </c>
      <c r="C465" t="s">
        <v>6</v>
      </c>
      <c r="D465" t="s">
        <v>4550</v>
      </c>
      <c r="F465" s="1">
        <v>46057</v>
      </c>
      <c r="G465" t="str">
        <f>IF(Table3[[#This Row],[Top Parent Account]]="",Table3[[#This Row],[Account Legal Name]],Table3[[#This Row],[Top Parent Account]])</f>
        <v>Veladoras Misticas</v>
      </c>
      <c r="H465" s="1"/>
    </row>
    <row r="466" spans="1:8" x14ac:dyDescent="0.35">
      <c r="A466" s="21"/>
      <c r="B466" t="s">
        <v>3114</v>
      </c>
      <c r="C466" t="s">
        <v>52</v>
      </c>
      <c r="D466" t="s">
        <v>3194</v>
      </c>
      <c r="F466" s="1">
        <v>46057</v>
      </c>
      <c r="G466" t="str">
        <f>IF(Table3[[#This Row],[Top Parent Account]]="",Table3[[#This Row],[Account Legal Name]],Table3[[#This Row],[Top Parent Account]])</f>
        <v>Star Del Norte</v>
      </c>
      <c r="H466" s="1"/>
    </row>
    <row r="467" spans="1:8" x14ac:dyDescent="0.35">
      <c r="A467" s="21"/>
      <c r="B467" t="s">
        <v>1006</v>
      </c>
      <c r="C467" t="s">
        <v>6</v>
      </c>
      <c r="D467" t="s">
        <v>4753</v>
      </c>
      <c r="E467" t="s">
        <v>5041</v>
      </c>
      <c r="F467" s="1">
        <v>46057</v>
      </c>
      <c r="G467" t="str">
        <f>IF(Table3[[#This Row],[Top Parent Account]]="",Table3[[#This Row],[Account Legal Name]],Table3[[#This Row],[Top Parent Account]])</f>
        <v>MONTEVERDE CONGELADOS</v>
      </c>
      <c r="H467" s="1"/>
    </row>
    <row r="468" spans="1:8" x14ac:dyDescent="0.35">
      <c r="A468" s="21"/>
      <c r="B468" t="s">
        <v>25</v>
      </c>
      <c r="C468" t="s">
        <v>6</v>
      </c>
      <c r="D468" t="s">
        <v>2889</v>
      </c>
      <c r="F468" s="1">
        <v>46057</v>
      </c>
      <c r="G468" t="str">
        <f>IF(Table3[[#This Row],[Top Parent Account]]="",Table3[[#This Row],[Account Legal Name]],Table3[[#This Row],[Top Parent Account]])</f>
        <v>GRUPO GONORMA DE MEXICO</v>
      </c>
      <c r="H468" s="1"/>
    </row>
    <row r="469" spans="1:8" x14ac:dyDescent="0.35">
      <c r="A469" s="21"/>
      <c r="B469" t="s">
        <v>2884</v>
      </c>
      <c r="C469" t="s">
        <v>6</v>
      </c>
      <c r="D469" t="s">
        <v>2874</v>
      </c>
      <c r="F469" s="1">
        <v>46057</v>
      </c>
      <c r="G469" t="str">
        <f>IF(Table3[[#This Row],[Top Parent Account]]="",Table3[[#This Row],[Account Legal Name]],Table3[[#This Row],[Top Parent Account]])</f>
        <v>Grupo Logístico Integral</v>
      </c>
      <c r="H469" s="1"/>
    </row>
    <row r="470" spans="1:8" x14ac:dyDescent="0.35">
      <c r="A470" s="21"/>
      <c r="B470" t="s">
        <v>4696</v>
      </c>
      <c r="C470" t="s">
        <v>6</v>
      </c>
      <c r="D470" t="s">
        <v>4797</v>
      </c>
      <c r="F470" s="1">
        <v>46057</v>
      </c>
      <c r="G470" t="str">
        <f>IF(Table3[[#This Row],[Top Parent Account]]="",Table3[[#This Row],[Account Legal Name]],Table3[[#This Row],[Top Parent Account]])</f>
        <v>Representaciones Industria Motrices</v>
      </c>
      <c r="H470" s="1"/>
    </row>
    <row r="471" spans="1:8" x14ac:dyDescent="0.35">
      <c r="A471" s="21"/>
      <c r="B471" t="s">
        <v>3628</v>
      </c>
      <c r="C471" t="s">
        <v>6</v>
      </c>
      <c r="D471" t="s">
        <v>4798</v>
      </c>
      <c r="F471" s="1">
        <v>46056</v>
      </c>
      <c r="G471" t="str">
        <f>IF(Table3[[#This Row],[Top Parent Account]]="",Table3[[#This Row],[Account Legal Name]],Table3[[#This Row],[Top Parent Account]])</f>
        <v>Machined Technology CNC</v>
      </c>
      <c r="H471" s="1"/>
    </row>
    <row r="472" spans="1:8" x14ac:dyDescent="0.35">
      <c r="A472" s="21"/>
      <c r="B472" t="s">
        <v>26</v>
      </c>
      <c r="C472" t="s">
        <v>6</v>
      </c>
      <c r="D472" t="s">
        <v>4747</v>
      </c>
      <c r="F472" s="1">
        <v>46056</v>
      </c>
      <c r="G472" t="str">
        <f>IF(Table3[[#This Row],[Top Parent Account]]="",Table3[[#This Row],[Account Legal Name]],Table3[[#This Row],[Top Parent Account]])</f>
        <v>Jaguar Ingenieros Constructores</v>
      </c>
      <c r="H472" s="1"/>
    </row>
    <row r="473" spans="1:8" x14ac:dyDescent="0.35">
      <c r="A473" s="21"/>
      <c r="B473" t="s">
        <v>77</v>
      </c>
      <c r="C473" t="s">
        <v>6</v>
      </c>
      <c r="D473" t="s">
        <v>486</v>
      </c>
      <c r="F473" s="1">
        <v>46056</v>
      </c>
      <c r="G473" t="str">
        <f>IF(Table3[[#This Row],[Top Parent Account]]="",Table3[[#This Row],[Account Legal Name]],Table3[[#This Row],[Top Parent Account]])</f>
        <v>ASCEND INDUSTRIES</v>
      </c>
      <c r="H473" s="1"/>
    </row>
    <row r="474" spans="1:8" x14ac:dyDescent="0.35">
      <c r="A474" s="21"/>
      <c r="B474" t="s">
        <v>207</v>
      </c>
      <c r="C474" t="s">
        <v>6</v>
      </c>
      <c r="D474" t="s">
        <v>2676</v>
      </c>
      <c r="E474" t="s">
        <v>2677</v>
      </c>
      <c r="F474" s="1">
        <v>46056</v>
      </c>
      <c r="G474" t="str">
        <f>IF(Table3[[#This Row],[Top Parent Account]]="",Table3[[#This Row],[Account Legal Name]],Table3[[#This Row],[Top Parent Account]])</f>
        <v>Selder</v>
      </c>
      <c r="H474" s="1"/>
    </row>
    <row r="475" spans="1:8" x14ac:dyDescent="0.35">
      <c r="A475" s="21"/>
      <c r="B475" t="s">
        <v>3182</v>
      </c>
      <c r="C475" t="s">
        <v>6</v>
      </c>
      <c r="D475" t="s">
        <v>3396</v>
      </c>
      <c r="E475" t="s">
        <v>3397</v>
      </c>
      <c r="F475" s="1">
        <v>46056</v>
      </c>
      <c r="G475" t="str">
        <f>IF(Table3[[#This Row],[Top Parent Account]]="",Table3[[#This Row],[Account Legal Name]],Table3[[#This Row],[Top Parent Account]])</f>
        <v>FarmAmigo</v>
      </c>
      <c r="H475" s="1"/>
    </row>
    <row r="476" spans="1:8" x14ac:dyDescent="0.35">
      <c r="A476" s="21"/>
      <c r="B476" t="s">
        <v>3628</v>
      </c>
      <c r="C476" t="s">
        <v>6</v>
      </c>
      <c r="D476" t="s">
        <v>4641</v>
      </c>
      <c r="F476" s="1">
        <v>46056</v>
      </c>
      <c r="G476" t="str">
        <f>IF(Table3[[#This Row],[Top Parent Account]]="",Table3[[#This Row],[Account Legal Name]],Table3[[#This Row],[Top Parent Account]])</f>
        <v>Industrias Vermont</v>
      </c>
      <c r="H476" s="1"/>
    </row>
    <row r="477" spans="1:8" x14ac:dyDescent="0.35">
      <c r="A477" s="21"/>
      <c r="B477" t="s">
        <v>70</v>
      </c>
      <c r="C477" t="s">
        <v>6</v>
      </c>
      <c r="D477" t="s">
        <v>4748</v>
      </c>
      <c r="F477" s="1">
        <v>46056</v>
      </c>
      <c r="G477" t="str">
        <f>IF(Table3[[#This Row],[Top Parent Account]]="",Table3[[#This Row],[Account Legal Name]],Table3[[#This Row],[Top Parent Account]])</f>
        <v>Hospital Dr. Fausto Dávila Solis</v>
      </c>
      <c r="H477" s="1"/>
    </row>
    <row r="478" spans="1:8" x14ac:dyDescent="0.35">
      <c r="A478" s="21"/>
      <c r="B478" t="s">
        <v>739</v>
      </c>
      <c r="C478" t="s">
        <v>4816</v>
      </c>
      <c r="D478" t="s">
        <v>2982</v>
      </c>
      <c r="F478" s="1">
        <v>46056</v>
      </c>
      <c r="G478" t="str">
        <f>IF(Table3[[#This Row],[Top Parent Account]]="",Table3[[#This Row],[Account Legal Name]],Table3[[#This Row],[Top Parent Account]])</f>
        <v>Mexichem</v>
      </c>
      <c r="H478" s="1"/>
    </row>
    <row r="479" spans="1:8" x14ac:dyDescent="0.35">
      <c r="A479" s="21"/>
      <c r="B479" t="s">
        <v>207</v>
      </c>
      <c r="C479" t="s">
        <v>6</v>
      </c>
      <c r="D479" t="s">
        <v>4752</v>
      </c>
      <c r="F479" s="1">
        <v>46056</v>
      </c>
      <c r="G479" t="str">
        <f>IF(Table3[[#This Row],[Top Parent Account]]="",Table3[[#This Row],[Account Legal Name]],Table3[[#This Row],[Top Parent Account]])</f>
        <v>B&amp;CT Corporation</v>
      </c>
      <c r="H479" s="1"/>
    </row>
    <row r="480" spans="1:8" x14ac:dyDescent="0.35">
      <c r="A480" s="21"/>
      <c r="B480" t="s">
        <v>12</v>
      </c>
      <c r="C480" t="s">
        <v>6</v>
      </c>
      <c r="D480" t="s">
        <v>557</v>
      </c>
      <c r="F480" s="1">
        <v>46056</v>
      </c>
      <c r="G480" t="str">
        <f>IF(Table3[[#This Row],[Top Parent Account]]="",Table3[[#This Row],[Account Legal Name]],Table3[[#This Row],[Top Parent Account]])</f>
        <v>Celulares y Accesorios del Sureste S.A.</v>
      </c>
      <c r="H480" s="1"/>
    </row>
    <row r="481" spans="1:8" x14ac:dyDescent="0.35">
      <c r="A481" s="21"/>
      <c r="B481" t="s">
        <v>2693</v>
      </c>
      <c r="C481" t="s">
        <v>6</v>
      </c>
      <c r="D481" t="s">
        <v>1727</v>
      </c>
      <c r="E481" t="s">
        <v>204</v>
      </c>
      <c r="F481" s="1">
        <v>46056</v>
      </c>
      <c r="G481" t="str">
        <f>IF(Table3[[#This Row],[Top Parent Account]]="",Table3[[#This Row],[Account Legal Name]],Table3[[#This Row],[Top Parent Account]])</f>
        <v>JC MOLDS</v>
      </c>
      <c r="H481" s="1"/>
    </row>
    <row r="482" spans="1:8" x14ac:dyDescent="0.35">
      <c r="A482" s="21"/>
      <c r="B482" t="s">
        <v>3182</v>
      </c>
      <c r="C482" t="s">
        <v>22</v>
      </c>
      <c r="D482" t="s">
        <v>4800</v>
      </c>
      <c r="E482" t="s">
        <v>4801</v>
      </c>
      <c r="F482" s="1">
        <v>46056</v>
      </c>
      <c r="G482" t="str">
        <f>IF(Table3[[#This Row],[Top Parent Account]]="",Table3[[#This Row],[Account Legal Name]],Table3[[#This Row],[Top Parent Account]])</f>
        <v>Briggs</v>
      </c>
      <c r="H482" s="1"/>
    </row>
    <row r="483" spans="1:8" x14ac:dyDescent="0.35">
      <c r="A483" s="21"/>
      <c r="B483" t="s">
        <v>28</v>
      </c>
      <c r="C483" t="s">
        <v>6</v>
      </c>
      <c r="D483" t="s">
        <v>3886</v>
      </c>
      <c r="F483" s="1">
        <v>46056</v>
      </c>
      <c r="G483" t="str">
        <f>IF(Table3[[#This Row],[Top Parent Account]]="",Table3[[#This Row],[Account Legal Name]],Table3[[#This Row],[Top Parent Account]])</f>
        <v>ALFAJARIN</v>
      </c>
      <c r="H483" s="1"/>
    </row>
    <row r="484" spans="1:8" x14ac:dyDescent="0.35">
      <c r="A484" s="21"/>
      <c r="B484" t="s">
        <v>3093</v>
      </c>
      <c r="C484" t="s">
        <v>6</v>
      </c>
      <c r="D484" t="s">
        <v>4802</v>
      </c>
      <c r="F484" s="1">
        <v>46056</v>
      </c>
      <c r="G484" t="str">
        <f>IF(Table3[[#This Row],[Top Parent Account]]="",Table3[[#This Row],[Account Legal Name]],Table3[[#This Row],[Top Parent Account]])</f>
        <v>Fitness Para todos</v>
      </c>
      <c r="H484" s="1"/>
    </row>
    <row r="485" spans="1:8" x14ac:dyDescent="0.35">
      <c r="A485" s="21"/>
      <c r="B485" t="s">
        <v>2693</v>
      </c>
      <c r="C485" t="s">
        <v>6</v>
      </c>
      <c r="D485" t="s">
        <v>3466</v>
      </c>
      <c r="F485" s="1">
        <v>46056</v>
      </c>
      <c r="G485" t="str">
        <f>IF(Table3[[#This Row],[Top Parent Account]]="",Table3[[#This Row],[Account Legal Name]],Table3[[#This Row],[Top Parent Account]])</f>
        <v>Ermo Industrial</v>
      </c>
      <c r="H485" s="1"/>
    </row>
    <row r="486" spans="1:8" x14ac:dyDescent="0.35">
      <c r="A486" s="21"/>
      <c r="B486" t="s">
        <v>2345</v>
      </c>
      <c r="C486" t="s">
        <v>6</v>
      </c>
      <c r="D486" t="s">
        <v>4745</v>
      </c>
      <c r="F486" s="1">
        <v>46056</v>
      </c>
      <c r="G486" t="str">
        <f>IF(Table3[[#This Row],[Top Parent Account]]="",Table3[[#This Row],[Account Legal Name]],Table3[[#This Row],[Top Parent Account]])</f>
        <v>Green Mind</v>
      </c>
      <c r="H486" s="1"/>
    </row>
    <row r="487" spans="1:8" x14ac:dyDescent="0.35">
      <c r="A487" s="21"/>
      <c r="B487" t="s">
        <v>29</v>
      </c>
      <c r="C487" t="s">
        <v>6</v>
      </c>
      <c r="D487" t="s">
        <v>3059</v>
      </c>
      <c r="F487" s="1">
        <v>46056</v>
      </c>
      <c r="G487" t="str">
        <f>IF(Table3[[#This Row],[Top Parent Account]]="",Table3[[#This Row],[Account Legal Name]],Table3[[#This Row],[Top Parent Account]])</f>
        <v>Bopisa</v>
      </c>
      <c r="H487" s="1"/>
    </row>
    <row r="488" spans="1:8" x14ac:dyDescent="0.35">
      <c r="A488" s="21"/>
      <c r="B488" t="s">
        <v>29</v>
      </c>
      <c r="C488" t="s">
        <v>6</v>
      </c>
      <c r="D488" t="s">
        <v>1013</v>
      </c>
      <c r="F488" s="1">
        <v>46056</v>
      </c>
      <c r="G488" t="str">
        <f>IF(Table3[[#This Row],[Top Parent Account]]="",Table3[[#This Row],[Account Legal Name]],Table3[[#This Row],[Top Parent Account]])</f>
        <v>Laminados Extruidos Plásticos</v>
      </c>
      <c r="H488" s="1"/>
    </row>
    <row r="489" spans="1:8" x14ac:dyDescent="0.35">
      <c r="A489" s="21"/>
      <c r="B489" t="s">
        <v>932</v>
      </c>
      <c r="C489" t="s">
        <v>6</v>
      </c>
      <c r="D489" t="s">
        <v>4750</v>
      </c>
      <c r="F489" s="1">
        <v>46056</v>
      </c>
      <c r="G489" t="str">
        <f>IF(Table3[[#This Row],[Top Parent Account]]="",Table3[[#This Row],[Account Legal Name]],Table3[[#This Row],[Top Parent Account]])</f>
        <v>Procefil</v>
      </c>
      <c r="H489" s="1"/>
    </row>
    <row r="490" spans="1:8" x14ac:dyDescent="0.35">
      <c r="A490" s="21"/>
      <c r="B490" t="s">
        <v>24</v>
      </c>
      <c r="C490" t="s">
        <v>6</v>
      </c>
      <c r="D490" t="s">
        <v>623</v>
      </c>
      <c r="E490" t="s">
        <v>624</v>
      </c>
      <c r="F490" s="1">
        <v>46056</v>
      </c>
      <c r="G490" t="str">
        <f>IF(Table3[[#This Row],[Top Parent Account]]="",Table3[[#This Row],[Account Legal Name]],Table3[[#This Row],[Top Parent Account]])</f>
        <v>Grupo Viz</v>
      </c>
      <c r="H490" s="1"/>
    </row>
    <row r="491" spans="1:8" x14ac:dyDescent="0.35">
      <c r="A491" s="21"/>
      <c r="B491" t="s">
        <v>77</v>
      </c>
      <c r="C491" t="s">
        <v>6</v>
      </c>
      <c r="D491" t="s">
        <v>4803</v>
      </c>
      <c r="F491" s="1">
        <v>46056</v>
      </c>
      <c r="G491" t="str">
        <f>IF(Table3[[#This Row],[Top Parent Account]]="",Table3[[#This Row],[Account Legal Name]],Table3[[#This Row],[Top Parent Account]])</f>
        <v>Agroindustrias Deandar de Delicias</v>
      </c>
      <c r="H491" s="1"/>
    </row>
    <row r="492" spans="1:8" x14ac:dyDescent="0.35">
      <c r="A492" s="21"/>
      <c r="B492" t="s">
        <v>3182</v>
      </c>
      <c r="C492" t="s">
        <v>22</v>
      </c>
      <c r="D492" t="s">
        <v>4804</v>
      </c>
      <c r="F492" s="1">
        <v>46056</v>
      </c>
      <c r="G492" t="str">
        <f>IF(Table3[[#This Row],[Top Parent Account]]="",Table3[[#This Row],[Account Legal Name]],Table3[[#This Row],[Top Parent Account]])</f>
        <v>Sulcona</v>
      </c>
      <c r="H492" s="1"/>
    </row>
    <row r="493" spans="1:8" x14ac:dyDescent="0.35">
      <c r="A493" s="21"/>
      <c r="B493" t="s">
        <v>3182</v>
      </c>
      <c r="C493" t="s">
        <v>22</v>
      </c>
      <c r="D493" t="s">
        <v>4805</v>
      </c>
      <c r="F493" s="1">
        <v>46056</v>
      </c>
      <c r="G493" t="str">
        <f>IF(Table3[[#This Row],[Top Parent Account]]="",Table3[[#This Row],[Account Legal Name]],Table3[[#This Row],[Top Parent Account]])</f>
        <v>Polyrob Plastics</v>
      </c>
      <c r="H493" s="1"/>
    </row>
    <row r="494" spans="1:8" x14ac:dyDescent="0.35">
      <c r="A494" s="21"/>
      <c r="B494" t="s">
        <v>3628</v>
      </c>
      <c r="C494" t="s">
        <v>6</v>
      </c>
      <c r="D494" t="s">
        <v>4807</v>
      </c>
      <c r="F494" s="1">
        <v>46056</v>
      </c>
      <c r="G494" t="str">
        <f>IF(Table3[[#This Row],[Top Parent Account]]="",Table3[[#This Row],[Account Legal Name]],Table3[[#This Row],[Top Parent Account]])</f>
        <v>Green Biomass de México</v>
      </c>
      <c r="H494" s="1"/>
    </row>
    <row r="495" spans="1:8" x14ac:dyDescent="0.35">
      <c r="A495" s="21"/>
      <c r="B495" t="s">
        <v>169</v>
      </c>
      <c r="C495" t="s">
        <v>6</v>
      </c>
      <c r="D495" t="s">
        <v>616</v>
      </c>
      <c r="F495" s="1">
        <v>46056</v>
      </c>
      <c r="G495" t="str">
        <f>IF(Table3[[#This Row],[Top Parent Account]]="",Table3[[#This Row],[Account Legal Name]],Table3[[#This Row],[Top Parent Account]])</f>
        <v>Absara Cosmetics</v>
      </c>
      <c r="H495" s="1"/>
    </row>
    <row r="496" spans="1:8" x14ac:dyDescent="0.35">
      <c r="A496" s="21"/>
      <c r="B496" t="s">
        <v>2884</v>
      </c>
      <c r="C496" t="s">
        <v>6</v>
      </c>
      <c r="D496" t="s">
        <v>4806</v>
      </c>
      <c r="F496" s="1">
        <v>46056</v>
      </c>
      <c r="G496" t="str">
        <f>IF(Table3[[#This Row],[Top Parent Account]]="",Table3[[#This Row],[Account Legal Name]],Table3[[#This Row],[Top Parent Account]])</f>
        <v>Hoteles City Express</v>
      </c>
      <c r="H496" s="1"/>
    </row>
    <row r="497" spans="1:8" x14ac:dyDescent="0.35">
      <c r="A497" s="21"/>
      <c r="B497" t="s">
        <v>121</v>
      </c>
      <c r="C497" t="s">
        <v>6</v>
      </c>
      <c r="D497" t="s">
        <v>939</v>
      </c>
      <c r="F497" s="1">
        <v>46056</v>
      </c>
      <c r="G497" t="str">
        <f>IF(Table3[[#This Row],[Top Parent Account]]="",Table3[[#This Row],[Account Legal Name]],Table3[[#This Row],[Top Parent Account]])</f>
        <v>AGRO SOIL DE MEXICO</v>
      </c>
      <c r="H497" s="1"/>
    </row>
    <row r="498" spans="1:8" x14ac:dyDescent="0.35">
      <c r="A498" s="21"/>
      <c r="B498" t="s">
        <v>77</v>
      </c>
      <c r="C498" t="s">
        <v>6</v>
      </c>
      <c r="D498" t="s">
        <v>4755</v>
      </c>
      <c r="F498" s="1">
        <v>46056</v>
      </c>
      <c r="G498" t="str">
        <f>IF(Table3[[#This Row],[Top Parent Account]]="",Table3[[#This Row],[Account Legal Name]],Table3[[#This Row],[Top Parent Account]])</f>
        <v>Agropecuaria Don Chema</v>
      </c>
      <c r="H498" s="1"/>
    </row>
    <row r="499" spans="1:8" x14ac:dyDescent="0.35">
      <c r="A499" s="21"/>
      <c r="B499" t="s">
        <v>208</v>
      </c>
      <c r="C499" t="s">
        <v>6</v>
      </c>
      <c r="D499" t="s">
        <v>4808</v>
      </c>
      <c r="F499" s="1">
        <v>46056</v>
      </c>
      <c r="G499" t="str">
        <f>IF(Table3[[#This Row],[Top Parent Account]]="",Table3[[#This Row],[Account Legal Name]],Table3[[#This Row],[Top Parent Account]])</f>
        <v>Rescorp Concepts</v>
      </c>
      <c r="H499" s="1"/>
    </row>
    <row r="500" spans="1:8" x14ac:dyDescent="0.35">
      <c r="A500" s="21"/>
      <c r="B500" t="s">
        <v>1511</v>
      </c>
      <c r="C500" t="s">
        <v>6</v>
      </c>
      <c r="D500" t="s">
        <v>3123</v>
      </c>
      <c r="F500" s="1">
        <v>46056</v>
      </c>
      <c r="G500" t="str">
        <f>IF(Table3[[#This Row],[Top Parent Account]]="",Table3[[#This Row],[Account Legal Name]],Table3[[#This Row],[Top Parent Account]])</f>
        <v>Ladrillera Mecanizada</v>
      </c>
      <c r="H500" s="1"/>
    </row>
    <row r="501" spans="1:8" x14ac:dyDescent="0.35">
      <c r="A501" s="21"/>
      <c r="B501" t="s">
        <v>24</v>
      </c>
      <c r="C501" t="s">
        <v>6</v>
      </c>
      <c r="D501" t="s">
        <v>2704</v>
      </c>
      <c r="E501" t="s">
        <v>1482</v>
      </c>
      <c r="F501" s="1">
        <v>46056</v>
      </c>
      <c r="G501" t="str">
        <f>IF(Table3[[#This Row],[Top Parent Account]]="",Table3[[#This Row],[Account Legal Name]],Table3[[#This Row],[Top Parent Account]])</f>
        <v>Naturesweet Invernaderos</v>
      </c>
      <c r="H501" s="1"/>
    </row>
    <row r="502" spans="1:8" x14ac:dyDescent="0.35">
      <c r="A502" s="21"/>
      <c r="B502" t="s">
        <v>1511</v>
      </c>
      <c r="C502" t="s">
        <v>6</v>
      </c>
      <c r="D502" t="s">
        <v>3173</v>
      </c>
      <c r="F502" s="1">
        <v>46055</v>
      </c>
      <c r="G502" t="str">
        <f>IF(Table3[[#This Row],[Top Parent Account]]="",Table3[[#This Row],[Account Legal Name]],Table3[[#This Row],[Top Parent Account]])</f>
        <v>Toreo Motors</v>
      </c>
      <c r="H502" s="1"/>
    </row>
    <row r="503" spans="1:8" x14ac:dyDescent="0.35">
      <c r="A503" s="21"/>
      <c r="B503" t="s">
        <v>970</v>
      </c>
      <c r="C503" t="s">
        <v>6</v>
      </c>
      <c r="D503" t="s">
        <v>4744</v>
      </c>
      <c r="F503" s="1">
        <v>46052</v>
      </c>
      <c r="G503" t="str">
        <f>IF(Table3[[#This Row],[Top Parent Account]]="",Table3[[#This Row],[Account Legal Name]],Table3[[#This Row],[Top Parent Account]])</f>
        <v>Operadora Omx</v>
      </c>
      <c r="H503" s="1"/>
    </row>
    <row r="504" spans="1:8" x14ac:dyDescent="0.35">
      <c r="A504" s="21"/>
      <c r="B504" t="s">
        <v>18</v>
      </c>
      <c r="C504" t="s">
        <v>6</v>
      </c>
      <c r="D504" t="s">
        <v>4871</v>
      </c>
      <c r="F504" s="1">
        <v>46052</v>
      </c>
      <c r="G504" t="str">
        <f>IF(Table3[[#This Row],[Top Parent Account]]="",Table3[[#This Row],[Account Legal Name]],Table3[[#This Row],[Top Parent Account]])</f>
        <v>SERVICIOS AMBIENTALES INTERNACIONALES</v>
      </c>
      <c r="H504" s="1"/>
    </row>
    <row r="505" spans="1:8" x14ac:dyDescent="0.35">
      <c r="A505" s="21"/>
      <c r="B505" t="s">
        <v>25</v>
      </c>
      <c r="C505" t="s">
        <v>6</v>
      </c>
      <c r="D505" t="s">
        <v>4872</v>
      </c>
      <c r="F505" s="1">
        <v>46052</v>
      </c>
      <c r="G505" t="str">
        <f>IF(Table3[[#This Row],[Top Parent Account]]="",Table3[[#This Row],[Account Legal Name]],Table3[[#This Row],[Top Parent Account]])</f>
        <v>Transportes Garcias Trucking</v>
      </c>
      <c r="H505" s="1"/>
    </row>
    <row r="506" spans="1:8" x14ac:dyDescent="0.35">
      <c r="A506" s="21"/>
      <c r="B506" t="s">
        <v>25</v>
      </c>
      <c r="C506" t="s">
        <v>6</v>
      </c>
      <c r="D506" t="s">
        <v>3212</v>
      </c>
      <c r="F506" s="1">
        <v>46052</v>
      </c>
      <c r="G506" t="str">
        <f>IF(Table3[[#This Row],[Top Parent Account]]="",Table3[[#This Row],[Account Legal Name]],Table3[[#This Row],[Top Parent Account]])</f>
        <v>Proyectos Nacionales de Transporte</v>
      </c>
      <c r="H506" s="1"/>
    </row>
    <row r="507" spans="1:8" x14ac:dyDescent="0.35">
      <c r="A507" s="21"/>
      <c r="B507" t="s">
        <v>25</v>
      </c>
      <c r="C507" t="s">
        <v>6</v>
      </c>
      <c r="D507" t="s">
        <v>2015</v>
      </c>
      <c r="F507" s="1">
        <v>46052</v>
      </c>
      <c r="G507" t="str">
        <f>IF(Table3[[#This Row],[Top Parent Account]]="",Table3[[#This Row],[Account Legal Name]],Table3[[#This Row],[Top Parent Account]])</f>
        <v>Condelmex</v>
      </c>
      <c r="H507" s="1"/>
    </row>
    <row r="508" spans="1:8" x14ac:dyDescent="0.35">
      <c r="A508" s="21"/>
      <c r="B508" t="s">
        <v>28</v>
      </c>
      <c r="C508" t="s">
        <v>6</v>
      </c>
      <c r="D508" t="s">
        <v>3762</v>
      </c>
      <c r="F508" s="1">
        <v>46052</v>
      </c>
      <c r="G508" t="str">
        <f>IF(Table3[[#This Row],[Top Parent Account]]="",Table3[[#This Row],[Account Legal Name]],Table3[[#This Row],[Top Parent Account]])</f>
        <v>Distribuidora Industrial Del Norte</v>
      </c>
      <c r="H508" s="1"/>
    </row>
    <row r="509" spans="1:8" x14ac:dyDescent="0.35">
      <c r="A509" s="21"/>
      <c r="B509" t="s">
        <v>739</v>
      </c>
      <c r="C509" t="s">
        <v>4873</v>
      </c>
      <c r="D509" t="s">
        <v>2982</v>
      </c>
      <c r="F509" s="1">
        <v>46052</v>
      </c>
      <c r="G509" t="str">
        <f>IF(Table3[[#This Row],[Top Parent Account]]="",Table3[[#This Row],[Account Legal Name]],Table3[[#This Row],[Top Parent Account]])</f>
        <v>Mexichem</v>
      </c>
      <c r="H509" s="1"/>
    </row>
    <row r="510" spans="1:8" x14ac:dyDescent="0.35">
      <c r="A510" s="21"/>
      <c r="B510" t="s">
        <v>207</v>
      </c>
      <c r="C510" t="s">
        <v>6</v>
      </c>
      <c r="D510" t="s">
        <v>3819</v>
      </c>
      <c r="F510" s="1">
        <v>46052</v>
      </c>
      <c r="G510" t="str">
        <f>IF(Table3[[#This Row],[Top Parent Account]]="",Table3[[#This Row],[Account Legal Name]],Table3[[#This Row],[Top Parent Account]])</f>
        <v>Comermares</v>
      </c>
      <c r="H510" s="1"/>
    </row>
    <row r="511" spans="1:8" x14ac:dyDescent="0.35">
      <c r="A511" s="21"/>
      <c r="B511" t="s">
        <v>77</v>
      </c>
      <c r="C511" t="s">
        <v>6</v>
      </c>
      <c r="D511" t="s">
        <v>4874</v>
      </c>
      <c r="F511" s="1">
        <v>46052</v>
      </c>
      <c r="G511" t="str">
        <f>IF(Table3[[#This Row],[Top Parent Account]]="",Table3[[#This Row],[Account Legal Name]],Table3[[#This Row],[Top Parent Account]])</f>
        <v>Productos Lacteos Los Pinos</v>
      </c>
      <c r="H511" s="1"/>
    </row>
    <row r="512" spans="1:8" x14ac:dyDescent="0.35">
      <c r="A512" s="21"/>
      <c r="B512" t="s">
        <v>970</v>
      </c>
      <c r="C512" t="s">
        <v>6</v>
      </c>
      <c r="D512" t="s">
        <v>176</v>
      </c>
      <c r="F512" s="1">
        <v>46052</v>
      </c>
      <c r="G512" t="str">
        <f>IF(Table3[[#This Row],[Top Parent Account]]="",Table3[[#This Row],[Account Legal Name]],Table3[[#This Row],[Top Parent Account]])</f>
        <v>Plazteca</v>
      </c>
      <c r="H512" s="1"/>
    </row>
    <row r="513" spans="1:8" x14ac:dyDescent="0.35">
      <c r="A513" s="21"/>
      <c r="B513" t="s">
        <v>172</v>
      </c>
      <c r="C513" t="s">
        <v>6</v>
      </c>
      <c r="D513" t="s">
        <v>4875</v>
      </c>
      <c r="F513" s="1">
        <v>46052</v>
      </c>
      <c r="G513" t="str">
        <f>IF(Table3[[#This Row],[Top Parent Account]]="",Table3[[#This Row],[Account Legal Name]],Table3[[#This Row],[Top Parent Account]])</f>
        <v>Pinta Element</v>
      </c>
      <c r="H513" s="1"/>
    </row>
    <row r="514" spans="1:8" x14ac:dyDescent="0.35">
      <c r="A514" s="21"/>
      <c r="B514" t="s">
        <v>1511</v>
      </c>
      <c r="C514" t="s">
        <v>6</v>
      </c>
      <c r="D514" t="s">
        <v>1913</v>
      </c>
      <c r="F514" s="1">
        <v>46052</v>
      </c>
      <c r="G514" t="str">
        <f>IF(Table3[[#This Row],[Top Parent Account]]="",Table3[[#This Row],[Account Legal Name]],Table3[[#This Row],[Top Parent Account]])</f>
        <v>SALERI MEXICO</v>
      </c>
      <c r="H514" s="1"/>
    </row>
    <row r="515" spans="1:8" x14ac:dyDescent="0.35">
      <c r="A515" s="21"/>
      <c r="B515" t="s">
        <v>88</v>
      </c>
      <c r="C515" t="s">
        <v>6</v>
      </c>
      <c r="D515" t="s">
        <v>4876</v>
      </c>
      <c r="E515" t="s">
        <v>1645</v>
      </c>
      <c r="F515" s="1">
        <v>46052</v>
      </c>
      <c r="G515" t="str">
        <f>IF(Table3[[#This Row],[Top Parent Account]]="",Table3[[#This Row],[Account Legal Name]],Table3[[#This Row],[Top Parent Account]])</f>
        <v>MINTCSA</v>
      </c>
      <c r="H515" s="1"/>
    </row>
    <row r="516" spans="1:8" x14ac:dyDescent="0.35">
      <c r="A516" s="21"/>
      <c r="B516" t="s">
        <v>3628</v>
      </c>
      <c r="C516" t="s">
        <v>6</v>
      </c>
      <c r="D516" t="s">
        <v>1892</v>
      </c>
      <c r="F516" s="1">
        <v>46052</v>
      </c>
      <c r="G516" t="str">
        <f>IF(Table3[[#This Row],[Top Parent Account]]="",Table3[[#This Row],[Account Legal Name]],Table3[[#This Row],[Top Parent Account]])</f>
        <v>F&amp;F AROMATICS</v>
      </c>
      <c r="H516" s="1"/>
    </row>
    <row r="517" spans="1:8" x14ac:dyDescent="0.35">
      <c r="A517" s="21"/>
      <c r="B517" t="s">
        <v>3114</v>
      </c>
      <c r="C517" t="s">
        <v>22</v>
      </c>
      <c r="D517" t="s">
        <v>4877</v>
      </c>
      <c r="F517" s="1">
        <v>46052</v>
      </c>
      <c r="G517" t="str">
        <f>IF(Table3[[#This Row],[Top Parent Account]]="",Table3[[#This Row],[Account Legal Name]],Table3[[#This Row],[Top Parent Account]])</f>
        <v>CONSTRUCCIONES Y MAQUINARIA SEF</v>
      </c>
      <c r="H517" s="1"/>
    </row>
    <row r="518" spans="1:8" x14ac:dyDescent="0.35">
      <c r="A518" s="21"/>
      <c r="B518" t="s">
        <v>2658</v>
      </c>
      <c r="C518" t="s">
        <v>6</v>
      </c>
      <c r="D518" t="s">
        <v>4878</v>
      </c>
      <c r="F518" s="1">
        <v>46052</v>
      </c>
      <c r="G518" t="str">
        <f>IF(Table3[[#This Row],[Top Parent Account]]="",Table3[[#This Row],[Account Legal Name]],Table3[[#This Row],[Top Parent Account]])</f>
        <v>Especies Alimenticias Del Golfo</v>
      </c>
      <c r="H518" s="1"/>
    </row>
    <row r="519" spans="1:8" x14ac:dyDescent="0.35">
      <c r="A519" s="21"/>
      <c r="B519" t="s">
        <v>2658</v>
      </c>
      <c r="C519" t="s">
        <v>6</v>
      </c>
      <c r="D519" t="s">
        <v>4879</v>
      </c>
      <c r="F519" s="1">
        <v>46052</v>
      </c>
      <c r="G519" t="str">
        <f>IF(Table3[[#This Row],[Top Parent Account]]="",Table3[[#This Row],[Account Legal Name]],Table3[[#This Row],[Top Parent Account]])</f>
        <v>RIC Energy</v>
      </c>
      <c r="H519" s="1"/>
    </row>
    <row r="520" spans="1:8" x14ac:dyDescent="0.35">
      <c r="A520" s="21"/>
      <c r="B520" t="s">
        <v>121</v>
      </c>
      <c r="C520" t="s">
        <v>6</v>
      </c>
      <c r="D520" t="s">
        <v>4880</v>
      </c>
      <c r="F520" s="1">
        <v>46052</v>
      </c>
      <c r="G520" t="str">
        <f>IF(Table3[[#This Row],[Top Parent Account]]="",Table3[[#This Row],[Account Legal Name]],Table3[[#This Row],[Top Parent Account]])</f>
        <v>RGR CONCRETOS</v>
      </c>
      <c r="H520" s="1"/>
    </row>
    <row r="521" spans="1:8" x14ac:dyDescent="0.35">
      <c r="A521" s="21"/>
      <c r="B521" t="s">
        <v>84</v>
      </c>
      <c r="C521" t="s">
        <v>3213</v>
      </c>
      <c r="D521" t="s">
        <v>1475</v>
      </c>
      <c r="E521" t="s">
        <v>571</v>
      </c>
      <c r="F521" s="1">
        <v>46052</v>
      </c>
      <c r="G521" t="str">
        <f>IF(Table3[[#This Row],[Top Parent Account]]="",Table3[[#This Row],[Account Legal Name]],Table3[[#This Row],[Top Parent Account]])</f>
        <v>Autotransportes Tufesa</v>
      </c>
      <c r="H521" s="1"/>
    </row>
    <row r="522" spans="1:8" x14ac:dyDescent="0.35">
      <c r="A522" s="21"/>
      <c r="B522" t="s">
        <v>84</v>
      </c>
      <c r="C522" t="s">
        <v>2022</v>
      </c>
      <c r="D522" t="s">
        <v>4881</v>
      </c>
      <c r="E522" t="s">
        <v>4882</v>
      </c>
      <c r="F522" s="1">
        <v>46052</v>
      </c>
      <c r="G522" t="str">
        <f>IF(Table3[[#This Row],[Top Parent Account]]="",Table3[[#This Row],[Account Legal Name]],Table3[[#This Row],[Top Parent Account]])</f>
        <v>Administración de Servicios de Alojamiento</v>
      </c>
      <c r="H522" s="1"/>
    </row>
    <row r="523" spans="1:8" x14ac:dyDescent="0.35">
      <c r="A523" s="21"/>
      <c r="B523" t="s">
        <v>84</v>
      </c>
      <c r="C523" t="s">
        <v>4883</v>
      </c>
      <c r="D523" t="s">
        <v>3116</v>
      </c>
      <c r="E523" t="s">
        <v>4110</v>
      </c>
      <c r="F523" s="1">
        <v>46052</v>
      </c>
      <c r="G523" t="str">
        <f>IF(Table3[[#This Row],[Top Parent Account]]="",Table3[[#This Row],[Account Legal Name]],Table3[[#This Row],[Top Parent Account]])</f>
        <v>Aleciones Y Metales Industriales</v>
      </c>
      <c r="H523" s="1"/>
    </row>
    <row r="524" spans="1:8" x14ac:dyDescent="0.35">
      <c r="A524" s="21"/>
      <c r="B524" t="s">
        <v>1131</v>
      </c>
      <c r="C524" t="s">
        <v>6</v>
      </c>
      <c r="D524" t="s">
        <v>4884</v>
      </c>
      <c r="F524" s="1">
        <v>46051</v>
      </c>
      <c r="G524" t="str">
        <f>IF(Table3[[#This Row],[Top Parent Account]]="",Table3[[#This Row],[Account Legal Name]],Table3[[#This Row],[Top Parent Account]])</f>
        <v>Maquilas Farmacéuticas, S.A. de C.V.</v>
      </c>
      <c r="H524" s="1"/>
    </row>
    <row r="525" spans="1:8" x14ac:dyDescent="0.35">
      <c r="A525" s="21"/>
      <c r="B525" t="s">
        <v>3182</v>
      </c>
      <c r="C525" t="s">
        <v>22</v>
      </c>
      <c r="D525" t="s">
        <v>4885</v>
      </c>
      <c r="F525" s="1">
        <v>46051</v>
      </c>
      <c r="G525" t="str">
        <f>IF(Table3[[#This Row],[Top Parent Account]]="",Table3[[#This Row],[Account Legal Name]],Table3[[#This Row],[Top Parent Account]])</f>
        <v>Dinamica Automotriz de México</v>
      </c>
      <c r="H525" s="1"/>
    </row>
    <row r="526" spans="1:8" x14ac:dyDescent="0.35">
      <c r="A526" s="21"/>
      <c r="B526" t="s">
        <v>84</v>
      </c>
      <c r="C526" t="s">
        <v>3213</v>
      </c>
      <c r="D526" t="s">
        <v>571</v>
      </c>
      <c r="F526" s="1">
        <v>46051</v>
      </c>
      <c r="G526" t="str">
        <f>IF(Table3[[#This Row],[Top Parent Account]]="",Table3[[#This Row],[Account Legal Name]],Table3[[#This Row],[Top Parent Account]])</f>
        <v>Autotransportes Tufesa</v>
      </c>
      <c r="H526" s="1"/>
    </row>
    <row r="527" spans="1:8" x14ac:dyDescent="0.35">
      <c r="A527" s="21"/>
      <c r="B527" t="s">
        <v>4704</v>
      </c>
      <c r="C527" t="s">
        <v>6</v>
      </c>
      <c r="D527" t="s">
        <v>4886</v>
      </c>
      <c r="F527" s="1">
        <v>46051</v>
      </c>
      <c r="G527" t="str">
        <f>IF(Table3[[#This Row],[Top Parent Account]]="",Table3[[#This Row],[Account Legal Name]],Table3[[#This Row],[Top Parent Account]])</f>
        <v>Energia para la vida Mexico Solar</v>
      </c>
      <c r="H527" s="1"/>
    </row>
    <row r="528" spans="1:8" x14ac:dyDescent="0.35">
      <c r="A528" s="21"/>
      <c r="B528" t="s">
        <v>2693</v>
      </c>
      <c r="C528" t="s">
        <v>6</v>
      </c>
      <c r="D528" t="s">
        <v>4887</v>
      </c>
      <c r="F528" s="1">
        <v>46051</v>
      </c>
      <c r="G528" t="str">
        <f>IF(Table3[[#This Row],[Top Parent Account]]="",Table3[[#This Row],[Account Legal Name]],Table3[[#This Row],[Top Parent Account]])</f>
        <v>Encontrack</v>
      </c>
      <c r="H528" s="1"/>
    </row>
    <row r="529" spans="1:8" x14ac:dyDescent="0.35">
      <c r="A529" s="21"/>
      <c r="B529" t="s">
        <v>3114</v>
      </c>
      <c r="C529" t="s">
        <v>52</v>
      </c>
      <c r="D529" t="s">
        <v>3989</v>
      </c>
      <c r="F529" s="1">
        <v>46051</v>
      </c>
      <c r="G529" t="str">
        <f>IF(Table3[[#This Row],[Top Parent Account]]="",Table3[[#This Row],[Account Legal Name]],Table3[[#This Row],[Top Parent Account]])</f>
        <v>Artigraf</v>
      </c>
      <c r="H529" s="1"/>
    </row>
    <row r="530" spans="1:8" x14ac:dyDescent="0.35">
      <c r="A530" s="21"/>
      <c r="B530" t="s">
        <v>88</v>
      </c>
      <c r="C530" t="s">
        <v>6</v>
      </c>
      <c r="D530" t="s">
        <v>4888</v>
      </c>
      <c r="F530" s="1">
        <v>46051</v>
      </c>
      <c r="G530" t="str">
        <f>IF(Table3[[#This Row],[Top Parent Account]]="",Table3[[#This Row],[Account Legal Name]],Table3[[#This Row],[Top Parent Account]])</f>
        <v>Virginia Salas Vargas</v>
      </c>
      <c r="H530" s="1"/>
    </row>
    <row r="531" spans="1:8" x14ac:dyDescent="0.35">
      <c r="A531" s="21"/>
      <c r="B531" t="s">
        <v>208</v>
      </c>
      <c r="C531" t="s">
        <v>6</v>
      </c>
      <c r="D531" t="s">
        <v>4889</v>
      </c>
      <c r="F531" s="1">
        <v>46051</v>
      </c>
      <c r="G531" t="str">
        <f>IF(Table3[[#This Row],[Top Parent Account]]="",Table3[[#This Row],[Account Legal Name]],Table3[[#This Row],[Top Parent Account]])</f>
        <v>AZUCAR Y CACAO</v>
      </c>
      <c r="H531" s="1"/>
    </row>
    <row r="532" spans="1:8" x14ac:dyDescent="0.35">
      <c r="A532" s="21"/>
      <c r="B532" t="s">
        <v>208</v>
      </c>
      <c r="C532" t="s">
        <v>6</v>
      </c>
      <c r="D532" t="s">
        <v>4890</v>
      </c>
      <c r="E532" t="s">
        <v>4556</v>
      </c>
      <c r="F532" s="1">
        <v>46051</v>
      </c>
      <c r="G532" t="str">
        <f>IF(Table3[[#This Row],[Top Parent Account]]="",Table3[[#This Row],[Account Legal Name]],Table3[[#This Row],[Top Parent Account]])</f>
        <v>Envases Everest de Plastico</v>
      </c>
      <c r="H532" s="1"/>
    </row>
    <row r="533" spans="1:8" x14ac:dyDescent="0.35">
      <c r="A533" s="21"/>
      <c r="B533" t="s">
        <v>2658</v>
      </c>
      <c r="C533" t="s">
        <v>6</v>
      </c>
      <c r="D533" t="s">
        <v>4891</v>
      </c>
      <c r="F533" s="1">
        <v>46051</v>
      </c>
      <c r="G533" t="str">
        <f>IF(Table3[[#This Row],[Top Parent Account]]="",Table3[[#This Row],[Account Legal Name]],Table3[[#This Row],[Top Parent Account]])</f>
        <v>Corsa Transportes</v>
      </c>
      <c r="H533" s="1"/>
    </row>
    <row r="534" spans="1:8" x14ac:dyDescent="0.35">
      <c r="A534" s="21"/>
      <c r="B534" t="s">
        <v>2658</v>
      </c>
      <c r="C534" t="s">
        <v>6</v>
      </c>
      <c r="D534" t="s">
        <v>4892</v>
      </c>
      <c r="F534" s="1">
        <v>46051</v>
      </c>
      <c r="G534" t="str">
        <f>IF(Table3[[#This Row],[Top Parent Account]]="",Table3[[#This Row],[Account Legal Name]],Table3[[#This Row],[Top Parent Account]])</f>
        <v>CENTRO COMERCIAL GUAJARDO</v>
      </c>
      <c r="H534" s="1"/>
    </row>
    <row r="535" spans="1:8" x14ac:dyDescent="0.35">
      <c r="A535" s="21"/>
      <c r="B535" t="s">
        <v>970</v>
      </c>
      <c r="C535" t="s">
        <v>6</v>
      </c>
      <c r="D535" t="s">
        <v>221</v>
      </c>
      <c r="F535" s="1">
        <v>46051</v>
      </c>
      <c r="G535" t="str">
        <f>IF(Table3[[#This Row],[Top Parent Account]]="",Table3[[#This Row],[Account Legal Name]],Table3[[#This Row],[Top Parent Account]])</f>
        <v>Internacional Quimica De Cobre</v>
      </c>
      <c r="H535" s="1"/>
    </row>
    <row r="536" spans="1:8" x14ac:dyDescent="0.35">
      <c r="A536" s="21"/>
      <c r="B536" t="s">
        <v>121</v>
      </c>
      <c r="C536" t="s">
        <v>6</v>
      </c>
      <c r="D536" t="s">
        <v>1807</v>
      </c>
      <c r="F536" s="1">
        <v>46051</v>
      </c>
      <c r="G536" t="str">
        <f>IF(Table3[[#This Row],[Top Parent Account]]="",Table3[[#This Row],[Account Legal Name]],Table3[[#This Row],[Top Parent Account]])</f>
        <v>comercializadora de perfumes originales</v>
      </c>
      <c r="H536" s="1"/>
    </row>
    <row r="537" spans="1:8" x14ac:dyDescent="0.35">
      <c r="A537" s="21"/>
      <c r="B537" t="s">
        <v>2693</v>
      </c>
      <c r="C537" t="s">
        <v>6</v>
      </c>
      <c r="D537" t="s">
        <v>3845</v>
      </c>
      <c r="F537" s="1">
        <v>46051</v>
      </c>
      <c r="G537" t="str">
        <f>IF(Table3[[#This Row],[Top Parent Account]]="",Table3[[#This Row],[Account Legal Name]],Table3[[#This Row],[Top Parent Account]])</f>
        <v>COFFEE MATTERS</v>
      </c>
      <c r="H537" s="1"/>
    </row>
    <row r="538" spans="1:8" x14ac:dyDescent="0.35">
      <c r="A538" s="21"/>
      <c r="B538" t="s">
        <v>70</v>
      </c>
      <c r="C538" t="s">
        <v>6</v>
      </c>
      <c r="D538" t="s">
        <v>4893</v>
      </c>
      <c r="F538" s="1">
        <v>46051</v>
      </c>
      <c r="G538" t="str">
        <f>IF(Table3[[#This Row],[Top Parent Account]]="",Table3[[#This Row],[Account Legal Name]],Table3[[#This Row],[Top Parent Account]])</f>
        <v>Sala Uno Salud</v>
      </c>
      <c r="H538" s="1"/>
    </row>
    <row r="539" spans="1:8" x14ac:dyDescent="0.35">
      <c r="A539" s="21"/>
      <c r="B539" t="s">
        <v>207</v>
      </c>
      <c r="C539" t="s">
        <v>6</v>
      </c>
      <c r="D539" t="s">
        <v>909</v>
      </c>
      <c r="F539" s="1">
        <v>46051</v>
      </c>
      <c r="G539" t="str">
        <f>IF(Table3[[#This Row],[Top Parent Account]]="",Table3[[#This Row],[Account Legal Name]],Table3[[#This Row],[Top Parent Account]])</f>
        <v>ESCAPARATES Y DISPLAYS DE MÉXICO S.A. DE C.V.</v>
      </c>
      <c r="H539" s="1"/>
    </row>
    <row r="540" spans="1:8" x14ac:dyDescent="0.35">
      <c r="A540" s="21"/>
      <c r="B540" t="s">
        <v>2658</v>
      </c>
      <c r="C540" t="s">
        <v>6</v>
      </c>
      <c r="D540" t="s">
        <v>4894</v>
      </c>
      <c r="F540" s="1">
        <v>46051</v>
      </c>
      <c r="G540" t="str">
        <f>IF(Table3[[#This Row],[Top Parent Account]]="",Table3[[#This Row],[Account Legal Name]],Table3[[#This Row],[Top Parent Account]])</f>
        <v>Amp Contratistas Eléctricos</v>
      </c>
      <c r="H540" s="1"/>
    </row>
    <row r="541" spans="1:8" x14ac:dyDescent="0.35">
      <c r="A541" s="21"/>
      <c r="B541" t="s">
        <v>207</v>
      </c>
      <c r="C541" t="s">
        <v>6</v>
      </c>
      <c r="D541" t="s">
        <v>1219</v>
      </c>
      <c r="F541" s="1">
        <v>46051</v>
      </c>
      <c r="G541" t="str">
        <f>IF(Table3[[#This Row],[Top Parent Account]]="",Table3[[#This Row],[Account Legal Name]],Table3[[#This Row],[Top Parent Account]])</f>
        <v>Sustenta Polymers</v>
      </c>
      <c r="H541" s="1"/>
    </row>
    <row r="542" spans="1:8" x14ac:dyDescent="0.35">
      <c r="A542" s="21"/>
      <c r="B542" t="s">
        <v>169</v>
      </c>
      <c r="C542" t="s">
        <v>6</v>
      </c>
      <c r="D542" t="s">
        <v>2166</v>
      </c>
      <c r="F542" s="1">
        <v>46051</v>
      </c>
      <c r="G542" t="str">
        <f>IF(Table3[[#This Row],[Top Parent Account]]="",Table3[[#This Row],[Account Legal Name]],Table3[[#This Row],[Top Parent Account]])</f>
        <v>Congelados Alysa</v>
      </c>
      <c r="H542" s="1"/>
    </row>
    <row r="543" spans="1:8" x14ac:dyDescent="0.35">
      <c r="A543" s="21"/>
      <c r="B543" t="s">
        <v>14</v>
      </c>
      <c r="C543" t="s">
        <v>6</v>
      </c>
      <c r="D543" t="s">
        <v>728</v>
      </c>
      <c r="F543" s="1">
        <v>46051</v>
      </c>
      <c r="G543" t="str">
        <f>IF(Table3[[#This Row],[Top Parent Account]]="",Table3[[#This Row],[Account Legal Name]],Table3[[#This Row],[Top Parent Account]])</f>
        <v>Keymax Comercializadora</v>
      </c>
      <c r="H543" s="1"/>
    </row>
    <row r="544" spans="1:8" x14ac:dyDescent="0.35">
      <c r="A544" s="21"/>
      <c r="B544" t="s">
        <v>37</v>
      </c>
      <c r="C544" t="s">
        <v>6</v>
      </c>
      <c r="D544" t="s">
        <v>1489</v>
      </c>
      <c r="F544" s="1">
        <v>46051</v>
      </c>
      <c r="G544" t="str">
        <f>IF(Table3[[#This Row],[Top Parent Account]]="",Table3[[#This Row],[Account Legal Name]],Table3[[#This Row],[Top Parent Account]])</f>
        <v>Recicladora Cypa</v>
      </c>
      <c r="H544" s="1"/>
    </row>
    <row r="545" spans="1:8" x14ac:dyDescent="0.35">
      <c r="A545" s="21"/>
      <c r="B545" t="s">
        <v>169</v>
      </c>
      <c r="C545" t="s">
        <v>6</v>
      </c>
      <c r="D545" t="s">
        <v>4895</v>
      </c>
      <c r="F545" s="1">
        <v>46051</v>
      </c>
      <c r="G545" t="str">
        <f>IF(Table3[[#This Row],[Top Parent Account]]="",Table3[[#This Row],[Account Legal Name]],Table3[[#This Row],[Top Parent Account]])</f>
        <v>DISTRIBUIDORA DE FORRAJES Y SEMILLAS RAMIREZ</v>
      </c>
      <c r="H545" s="1"/>
    </row>
    <row r="546" spans="1:8" x14ac:dyDescent="0.35">
      <c r="A546" s="21"/>
      <c r="B546" t="s">
        <v>4704</v>
      </c>
      <c r="C546" t="s">
        <v>6</v>
      </c>
      <c r="D546" t="s">
        <v>944</v>
      </c>
      <c r="F546" s="1">
        <v>46051</v>
      </c>
      <c r="G546" t="str">
        <f>IF(Table3[[#This Row],[Top Parent Account]]="",Table3[[#This Row],[Account Legal Name]],Table3[[#This Row],[Top Parent Account]])</f>
        <v>Industrias Corrubox</v>
      </c>
      <c r="H546" s="1"/>
    </row>
    <row r="547" spans="1:8" x14ac:dyDescent="0.35">
      <c r="A547" s="21"/>
      <c r="B547" t="s">
        <v>1511</v>
      </c>
      <c r="C547" t="s">
        <v>6</v>
      </c>
      <c r="D547" t="s">
        <v>3173</v>
      </c>
      <c r="F547" s="1">
        <v>46051</v>
      </c>
      <c r="G547" t="str">
        <f>IF(Table3[[#This Row],[Top Parent Account]]="",Table3[[#This Row],[Account Legal Name]],Table3[[#This Row],[Top Parent Account]])</f>
        <v>Toreo Motors</v>
      </c>
      <c r="H547" s="1"/>
    </row>
    <row r="548" spans="1:8" x14ac:dyDescent="0.35">
      <c r="A548" s="21"/>
      <c r="B548" t="s">
        <v>84</v>
      </c>
      <c r="C548" t="s">
        <v>4896</v>
      </c>
      <c r="D548" t="s">
        <v>655</v>
      </c>
      <c r="E548" t="s">
        <v>660</v>
      </c>
      <c r="F548" s="1">
        <v>46051</v>
      </c>
      <c r="G548" t="str">
        <f>IF(Table3[[#This Row],[Top Parent Account]]="",Table3[[#This Row],[Account Legal Name]],Table3[[#This Row],[Top Parent Account]])</f>
        <v>Sociedad Ecologica Mexicana del Norte</v>
      </c>
      <c r="H548" s="1"/>
    </row>
    <row r="549" spans="1:8" x14ac:dyDescent="0.35">
      <c r="A549" s="21"/>
      <c r="B549" t="s">
        <v>3093</v>
      </c>
      <c r="C549" t="s">
        <v>22</v>
      </c>
      <c r="D549" t="s">
        <v>4032</v>
      </c>
      <c r="F549" s="1">
        <v>46051</v>
      </c>
      <c r="G549" t="str">
        <f>IF(Table3[[#This Row],[Top Parent Account]]="",Table3[[#This Row],[Account Legal Name]],Table3[[#This Row],[Top Parent Account]])</f>
        <v>Concretos Sustentables Mexicanos</v>
      </c>
      <c r="H549" s="1"/>
    </row>
    <row r="550" spans="1:8" x14ac:dyDescent="0.35">
      <c r="A550" s="21"/>
      <c r="B550" t="s">
        <v>280</v>
      </c>
      <c r="C550" t="s">
        <v>6</v>
      </c>
      <c r="D550" t="s">
        <v>4897</v>
      </c>
      <c r="F550" s="1">
        <v>46051</v>
      </c>
      <c r="G550" t="str">
        <f>IF(Table3[[#This Row],[Top Parent Account]]="",Table3[[#This Row],[Account Legal Name]],Table3[[#This Row],[Top Parent Account]])</f>
        <v>Integradora del bajio</v>
      </c>
      <c r="H550" s="1"/>
    </row>
    <row r="551" spans="1:8" x14ac:dyDescent="0.35">
      <c r="A551" s="21"/>
      <c r="B551" t="s">
        <v>23</v>
      </c>
      <c r="C551" t="s">
        <v>6</v>
      </c>
      <c r="D551" t="s">
        <v>4898</v>
      </c>
      <c r="F551" s="1">
        <v>46051</v>
      </c>
      <c r="G551" t="str">
        <f>IF(Table3[[#This Row],[Top Parent Account]]="",Table3[[#This Row],[Account Legal Name]],Table3[[#This Row],[Top Parent Account]])</f>
        <v>OPEN GATE LOGISTICS</v>
      </c>
      <c r="H551" s="1"/>
    </row>
    <row r="552" spans="1:8" x14ac:dyDescent="0.35">
      <c r="A552" s="21"/>
      <c r="B552" t="s">
        <v>84</v>
      </c>
      <c r="C552" t="s">
        <v>1184</v>
      </c>
      <c r="D552" t="s">
        <v>4899</v>
      </c>
      <c r="F552" s="1">
        <v>46051</v>
      </c>
      <c r="G552" t="str">
        <f>IF(Table3[[#This Row],[Top Parent Account]]="",Table3[[#This Row],[Account Legal Name]],Table3[[#This Row],[Top Parent Account]])</f>
        <v>Construccion Y Servicios Integrales Sigma</v>
      </c>
      <c r="H552" s="1"/>
    </row>
    <row r="553" spans="1:8" x14ac:dyDescent="0.35">
      <c r="A553" s="21"/>
      <c r="B553" t="s">
        <v>18</v>
      </c>
      <c r="C553" t="s">
        <v>6</v>
      </c>
      <c r="D553" t="s">
        <v>2393</v>
      </c>
      <c r="F553" s="1">
        <v>46051</v>
      </c>
      <c r="G553" t="str">
        <f>IF(Table3[[#This Row],[Top Parent Account]]="",Table3[[#This Row],[Account Legal Name]],Table3[[#This Row],[Top Parent Account]])</f>
        <v>Maquinados AEME</v>
      </c>
      <c r="H553" s="1"/>
    </row>
    <row r="554" spans="1:8" x14ac:dyDescent="0.35">
      <c r="A554" s="21"/>
      <c r="B554" t="s">
        <v>925</v>
      </c>
      <c r="C554" t="s">
        <v>6</v>
      </c>
      <c r="D554" t="s">
        <v>3228</v>
      </c>
      <c r="F554" s="1">
        <v>46051</v>
      </c>
      <c r="G554" t="str">
        <f>IF(Table3[[#This Row],[Top Parent Account]]="",Table3[[#This Row],[Account Legal Name]],Table3[[#This Row],[Top Parent Account]])</f>
        <v>BELUGA DE MÉXICO</v>
      </c>
      <c r="H554" s="1"/>
    </row>
    <row r="555" spans="1:8" x14ac:dyDescent="0.35">
      <c r="A555" s="21"/>
      <c r="B555" t="s">
        <v>23</v>
      </c>
      <c r="C555" t="s">
        <v>6</v>
      </c>
      <c r="D555" t="s">
        <v>4900</v>
      </c>
      <c r="F555" s="1">
        <v>46051</v>
      </c>
      <c r="G555" t="str">
        <f>IF(Table3[[#This Row],[Top Parent Account]]="",Table3[[#This Row],[Account Legal Name]],Table3[[#This Row],[Top Parent Account]])</f>
        <v>Aceros Maquinados</v>
      </c>
      <c r="H555" s="1"/>
    </row>
    <row r="556" spans="1:8" x14ac:dyDescent="0.35">
      <c r="A556" s="21"/>
      <c r="B556" t="s">
        <v>4472</v>
      </c>
      <c r="C556" t="s">
        <v>6</v>
      </c>
      <c r="D556" t="s">
        <v>4901</v>
      </c>
      <c r="F556" s="1">
        <v>46051</v>
      </c>
      <c r="G556" t="str">
        <f>IF(Table3[[#This Row],[Top Parent Account]]="",Table3[[#This Row],[Account Legal Name]],Table3[[#This Row],[Top Parent Account]])</f>
        <v>JITS SERVICIOS INDUSTRIALES</v>
      </c>
      <c r="H556" s="1"/>
    </row>
    <row r="557" spans="1:8" x14ac:dyDescent="0.35">
      <c r="A557" s="21"/>
      <c r="B557" t="s">
        <v>39</v>
      </c>
      <c r="C557" t="s">
        <v>4902</v>
      </c>
      <c r="D557" t="s">
        <v>4903</v>
      </c>
      <c r="F557" s="1">
        <v>46051</v>
      </c>
      <c r="G557" t="str">
        <f>IF(Table3[[#This Row],[Top Parent Account]]="",Table3[[#This Row],[Account Legal Name]],Table3[[#This Row],[Top Parent Account]])</f>
        <v>Special Rental</v>
      </c>
      <c r="H557" s="1"/>
    </row>
    <row r="558" spans="1:8" x14ac:dyDescent="0.35">
      <c r="A558" s="21"/>
      <c r="B558" t="s">
        <v>1006</v>
      </c>
      <c r="C558" t="s">
        <v>6</v>
      </c>
      <c r="D558" t="s">
        <v>1007</v>
      </c>
      <c r="F558" s="1">
        <v>46051</v>
      </c>
      <c r="G558" t="str">
        <f>IF(Table3[[#This Row],[Top Parent Account]]="",Table3[[#This Row],[Account Legal Name]],Table3[[#This Row],[Top Parent Account]])</f>
        <v>INDAMEX Industrializadora de Alimentos Mexicanos</v>
      </c>
      <c r="H558" s="1"/>
    </row>
    <row r="559" spans="1:8" x14ac:dyDescent="0.35">
      <c r="A559" s="21"/>
      <c r="B559" t="s">
        <v>2693</v>
      </c>
      <c r="C559" t="s">
        <v>6</v>
      </c>
      <c r="D559" t="s">
        <v>4904</v>
      </c>
      <c r="E559" t="s">
        <v>3023</v>
      </c>
      <c r="F559" s="1">
        <v>46050</v>
      </c>
      <c r="G559" t="str">
        <f>IF(Table3[[#This Row],[Top Parent Account]]="",Table3[[#This Row],[Account Legal Name]],Table3[[#This Row],[Top Parent Account]])</f>
        <v>Ecro Capital</v>
      </c>
      <c r="H559" s="1"/>
    </row>
    <row r="560" spans="1:8" x14ac:dyDescent="0.35">
      <c r="A560" s="21"/>
      <c r="B560" t="s">
        <v>970</v>
      </c>
      <c r="C560" t="s">
        <v>6</v>
      </c>
      <c r="D560" t="s">
        <v>4705</v>
      </c>
      <c r="F560" s="1">
        <v>46050</v>
      </c>
      <c r="G560" t="str">
        <f>IF(Table3[[#This Row],[Top Parent Account]]="",Table3[[#This Row],[Account Legal Name]],Table3[[#This Row],[Top Parent Account]])</f>
        <v>Natura</v>
      </c>
      <c r="H560" s="1"/>
    </row>
    <row r="561" spans="1:8" x14ac:dyDescent="0.35">
      <c r="A561" s="21"/>
      <c r="B561" t="s">
        <v>3182</v>
      </c>
      <c r="C561" t="s">
        <v>22</v>
      </c>
      <c r="D561" t="s">
        <v>4905</v>
      </c>
      <c r="E561" t="s">
        <v>4906</v>
      </c>
      <c r="F561" s="1">
        <v>46050</v>
      </c>
      <c r="G561" t="str">
        <f>IF(Table3[[#This Row],[Top Parent Account]]="",Table3[[#This Row],[Account Legal Name]],Table3[[#This Row],[Top Parent Account]])</f>
        <v>Grupo Comercial Chedraui</v>
      </c>
      <c r="H561" s="1"/>
    </row>
    <row r="562" spans="1:8" x14ac:dyDescent="0.35">
      <c r="A562" s="21"/>
      <c r="B562" t="s">
        <v>925</v>
      </c>
      <c r="C562" t="s">
        <v>6</v>
      </c>
      <c r="D562" t="s">
        <v>4907</v>
      </c>
      <c r="F562" s="1">
        <v>46050</v>
      </c>
      <c r="G562" t="str">
        <f>IF(Table3[[#This Row],[Top Parent Account]]="",Table3[[#This Row],[Account Legal Name]],Table3[[#This Row],[Top Parent Account]])</f>
        <v>Gapelli Ingredients</v>
      </c>
      <c r="H562" s="1"/>
    </row>
    <row r="563" spans="1:8" x14ac:dyDescent="0.35">
      <c r="A563" s="21"/>
      <c r="B563" t="s">
        <v>925</v>
      </c>
      <c r="C563" t="s">
        <v>6</v>
      </c>
      <c r="D563" t="s">
        <v>4908</v>
      </c>
      <c r="F563" s="1">
        <v>46050</v>
      </c>
      <c r="G563" t="str">
        <f>IF(Table3[[#This Row],[Top Parent Account]]="",Table3[[#This Row],[Account Legal Name]],Table3[[#This Row],[Top Parent Account]])</f>
        <v>Grupo Uretanos Flexibles</v>
      </c>
      <c r="H563" s="1"/>
    </row>
    <row r="564" spans="1:8" x14ac:dyDescent="0.35">
      <c r="A564" s="21"/>
      <c r="B564" t="s">
        <v>121</v>
      </c>
      <c r="C564" t="s">
        <v>6</v>
      </c>
      <c r="D564" t="s">
        <v>4909</v>
      </c>
      <c r="F564" s="1">
        <v>46050</v>
      </c>
      <c r="G564" t="str">
        <f>IF(Table3[[#This Row],[Top Parent Account]]="",Table3[[#This Row],[Account Legal Name]],Table3[[#This Row],[Top Parent Account]])</f>
        <v>Manjarrez Impresores</v>
      </c>
      <c r="H564" s="1"/>
    </row>
    <row r="565" spans="1:8" x14ac:dyDescent="0.35">
      <c r="A565" s="21"/>
      <c r="B565" t="s">
        <v>18</v>
      </c>
      <c r="C565" t="s">
        <v>6</v>
      </c>
      <c r="D565" t="s">
        <v>854</v>
      </c>
      <c r="F565" s="1">
        <v>46050</v>
      </c>
      <c r="G565" t="str">
        <f>IF(Table3[[#This Row],[Top Parent Account]]="",Table3[[#This Row],[Account Legal Name]],Table3[[#This Row],[Top Parent Account]])</f>
        <v>Fisacero</v>
      </c>
      <c r="H565" s="1"/>
    </row>
    <row r="566" spans="1:8" x14ac:dyDescent="0.35">
      <c r="A566" s="21"/>
      <c r="B566" t="s">
        <v>18</v>
      </c>
      <c r="C566" t="s">
        <v>6</v>
      </c>
      <c r="D566" t="s">
        <v>4910</v>
      </c>
      <c r="F566" s="1">
        <v>46050</v>
      </c>
      <c r="G566" t="str">
        <f>IF(Table3[[#This Row],[Top Parent Account]]="",Table3[[#This Row],[Account Legal Name]],Table3[[#This Row],[Top Parent Account]])</f>
        <v>HEHM LOGISTICA</v>
      </c>
      <c r="H566" s="1"/>
    </row>
    <row r="567" spans="1:8" x14ac:dyDescent="0.35">
      <c r="A567" s="21"/>
      <c r="B567" t="s">
        <v>23</v>
      </c>
      <c r="C567" t="s">
        <v>6</v>
      </c>
      <c r="D567" t="s">
        <v>4912</v>
      </c>
      <c r="F567" s="1">
        <v>46050</v>
      </c>
      <c r="G567" t="str">
        <f>IF(Table3[[#This Row],[Top Parent Account]]="",Table3[[#This Row],[Account Legal Name]],Table3[[#This Row],[Top Parent Account]])</f>
        <v>INYECPLASTIC QUERETARO</v>
      </c>
      <c r="H567" s="1"/>
    </row>
    <row r="568" spans="1:8" x14ac:dyDescent="0.35">
      <c r="A568" s="21"/>
      <c r="B568" t="s">
        <v>70</v>
      </c>
      <c r="C568" t="s">
        <v>6</v>
      </c>
      <c r="D568" t="s">
        <v>4911</v>
      </c>
      <c r="F568" s="1">
        <v>46050</v>
      </c>
      <c r="G568" t="str">
        <f>IF(Table3[[#This Row],[Top Parent Account]]="",Table3[[#This Row],[Account Legal Name]],Table3[[#This Row],[Top Parent Account]])</f>
        <v>Centro De Especialidades Medicas Del Sureste</v>
      </c>
      <c r="H568" s="1"/>
    </row>
    <row r="569" spans="1:8" x14ac:dyDescent="0.35">
      <c r="A569" s="21"/>
      <c r="B569" t="s">
        <v>1131</v>
      </c>
      <c r="C569" t="s">
        <v>6</v>
      </c>
      <c r="D569" t="s">
        <v>4281</v>
      </c>
      <c r="F569" s="1">
        <v>46050</v>
      </c>
      <c r="G569" t="str">
        <f>IF(Table3[[#This Row],[Top Parent Account]]="",Table3[[#This Row],[Account Legal Name]],Table3[[#This Row],[Top Parent Account]])</f>
        <v>Efigroup</v>
      </c>
      <c r="H569" s="1"/>
    </row>
    <row r="570" spans="1:8" x14ac:dyDescent="0.35">
      <c r="A570" s="21"/>
      <c r="B570" t="s">
        <v>3114</v>
      </c>
      <c r="C570" t="s">
        <v>6</v>
      </c>
      <c r="D570" t="s">
        <v>196</v>
      </c>
      <c r="F570" s="1">
        <v>46050</v>
      </c>
      <c r="G570" t="str">
        <f>IF(Table3[[#This Row],[Top Parent Account]]="",Table3[[#This Row],[Account Legal Name]],Table3[[#This Row],[Top Parent Account]])</f>
        <v>Inyector</v>
      </c>
      <c r="H570" s="1"/>
    </row>
    <row r="571" spans="1:8" x14ac:dyDescent="0.35">
      <c r="A571" s="21"/>
      <c r="B571" t="s">
        <v>169</v>
      </c>
      <c r="C571" t="s">
        <v>6</v>
      </c>
      <c r="D571" t="s">
        <v>3583</v>
      </c>
      <c r="F571" s="1">
        <v>46050</v>
      </c>
      <c r="G571" t="str">
        <f>IF(Table3[[#This Row],[Top Parent Account]]="",Table3[[#This Row],[Account Legal Name]],Table3[[#This Row],[Top Parent Account]])</f>
        <v>Balmoro</v>
      </c>
      <c r="H571" s="1"/>
    </row>
    <row r="572" spans="1:8" x14ac:dyDescent="0.35">
      <c r="A572" s="21"/>
      <c r="B572" t="s">
        <v>27</v>
      </c>
      <c r="C572" t="s">
        <v>6</v>
      </c>
      <c r="D572" t="s">
        <v>1523</v>
      </c>
      <c r="F572" s="1">
        <v>46050</v>
      </c>
      <c r="G572" t="str">
        <f>IF(Table3[[#This Row],[Top Parent Account]]="",Table3[[#This Row],[Account Legal Name]],Table3[[#This Row],[Top Parent Account]])</f>
        <v>Muebles Placencia</v>
      </c>
      <c r="H572" s="1"/>
    </row>
    <row r="573" spans="1:8" x14ac:dyDescent="0.35">
      <c r="A573" s="21"/>
      <c r="B573" t="s">
        <v>18</v>
      </c>
      <c r="C573" t="s">
        <v>22</v>
      </c>
      <c r="D573" t="s">
        <v>854</v>
      </c>
      <c r="F573" s="1">
        <v>46050</v>
      </c>
      <c r="G573" t="str">
        <f>IF(Table3[[#This Row],[Top Parent Account]]="",Table3[[#This Row],[Account Legal Name]],Table3[[#This Row],[Top Parent Account]])</f>
        <v>Fisacero</v>
      </c>
      <c r="H573" s="1"/>
    </row>
    <row r="574" spans="1:8" x14ac:dyDescent="0.35">
      <c r="A574" s="21"/>
      <c r="B574" t="s">
        <v>14</v>
      </c>
      <c r="C574" t="s">
        <v>6</v>
      </c>
      <c r="D574" t="s">
        <v>4706</v>
      </c>
      <c r="F574" s="1">
        <v>46050</v>
      </c>
      <c r="G574" t="str">
        <f>IF(Table3[[#This Row],[Top Parent Account]]="",Table3[[#This Row],[Account Legal Name]],Table3[[#This Row],[Top Parent Account]])</f>
        <v>Alzata Ur</v>
      </c>
      <c r="H574" s="1"/>
    </row>
    <row r="575" spans="1:8" x14ac:dyDescent="0.35">
      <c r="A575" s="21"/>
      <c r="B575" t="s">
        <v>970</v>
      </c>
      <c r="C575" t="s">
        <v>6</v>
      </c>
      <c r="D575" t="s">
        <v>2463</v>
      </c>
      <c r="F575" s="1">
        <v>46050</v>
      </c>
      <c r="G575" t="str">
        <f>IF(Table3[[#This Row],[Top Parent Account]]="",Table3[[#This Row],[Account Legal Name]],Table3[[#This Row],[Top Parent Account]])</f>
        <v>Anfora International</v>
      </c>
      <c r="H575" s="1"/>
    </row>
    <row r="576" spans="1:8" x14ac:dyDescent="0.35">
      <c r="A576" s="21"/>
      <c r="B576" t="s">
        <v>1006</v>
      </c>
      <c r="C576" t="s">
        <v>6</v>
      </c>
      <c r="D576" t="s">
        <v>4282</v>
      </c>
      <c r="F576" s="1">
        <v>46050</v>
      </c>
      <c r="G576" t="str">
        <f>IF(Table3[[#This Row],[Top Parent Account]]="",Table3[[#This Row],[Account Legal Name]],Table3[[#This Row],[Top Parent Account]])</f>
        <v>ELITE FARMS</v>
      </c>
      <c r="H576" s="1"/>
    </row>
    <row r="577" spans="1:8" x14ac:dyDescent="0.35">
      <c r="A577" s="21"/>
      <c r="B577" t="s">
        <v>4696</v>
      </c>
      <c r="C577" t="s">
        <v>6</v>
      </c>
      <c r="D577" t="s">
        <v>4913</v>
      </c>
      <c r="F577" s="1">
        <v>46050</v>
      </c>
      <c r="G577" t="str">
        <f>IF(Table3[[#This Row],[Top Parent Account]]="",Table3[[#This Row],[Account Legal Name]],Table3[[#This Row],[Top Parent Account]])</f>
        <v>Mexicana de Maderas</v>
      </c>
      <c r="H577" s="1"/>
    </row>
    <row r="578" spans="1:8" x14ac:dyDescent="0.35">
      <c r="A578" s="21"/>
      <c r="B578" t="s">
        <v>24</v>
      </c>
      <c r="C578" t="s">
        <v>6</v>
      </c>
      <c r="D578" t="s">
        <v>4914</v>
      </c>
      <c r="F578" s="1">
        <v>46050</v>
      </c>
      <c r="G578" t="str">
        <f>IF(Table3[[#This Row],[Top Parent Account]]="",Table3[[#This Row],[Account Legal Name]],Table3[[#This Row],[Top Parent Account]])</f>
        <v>High Lumen</v>
      </c>
      <c r="H578" s="1"/>
    </row>
    <row r="579" spans="1:8" x14ac:dyDescent="0.35">
      <c r="A579" s="21"/>
      <c r="B579" t="s">
        <v>25</v>
      </c>
      <c r="C579" t="s">
        <v>6</v>
      </c>
      <c r="D579" t="s">
        <v>2100</v>
      </c>
      <c r="F579" s="1">
        <v>46050</v>
      </c>
      <c r="G579" t="str">
        <f>IF(Table3[[#This Row],[Top Parent Account]]="",Table3[[#This Row],[Account Legal Name]],Table3[[#This Row],[Top Parent Account]])</f>
        <v>CENTRO PRODUCTOR AGRICOLA EL CHAPOTEADERO</v>
      </c>
      <c r="H579" s="1"/>
    </row>
    <row r="580" spans="1:8" x14ac:dyDescent="0.35">
      <c r="A580" s="21"/>
      <c r="B580" t="s">
        <v>25</v>
      </c>
      <c r="C580" t="s">
        <v>6</v>
      </c>
      <c r="D580" t="s">
        <v>4915</v>
      </c>
      <c r="F580" s="1">
        <v>46050</v>
      </c>
      <c r="G580" t="str">
        <f>IF(Table3[[#This Row],[Top Parent Account]]="",Table3[[#This Row],[Account Legal Name]],Table3[[#This Row],[Top Parent Account]])</f>
        <v>Innovacion Logika En Transporte</v>
      </c>
      <c r="H580" s="1"/>
    </row>
    <row r="581" spans="1:8" x14ac:dyDescent="0.35">
      <c r="A581" s="21"/>
      <c r="B581" t="s">
        <v>25</v>
      </c>
      <c r="C581" t="s">
        <v>6</v>
      </c>
      <c r="D581" t="s">
        <v>1189</v>
      </c>
      <c r="F581" s="1">
        <v>46050</v>
      </c>
      <c r="G581" t="str">
        <f>IF(Table3[[#This Row],[Top Parent Account]]="",Table3[[#This Row],[Account Legal Name]],Table3[[#This Row],[Top Parent Account]])</f>
        <v>Vsl Corporation México</v>
      </c>
      <c r="H581" s="1"/>
    </row>
    <row r="582" spans="1:8" x14ac:dyDescent="0.35">
      <c r="A582" s="21"/>
      <c r="B582" t="s">
        <v>25</v>
      </c>
      <c r="C582" t="s">
        <v>6</v>
      </c>
      <c r="D582" t="s">
        <v>502</v>
      </c>
      <c r="F582" s="1">
        <v>46050</v>
      </c>
      <c r="G582" t="str">
        <f>IF(Table3[[#This Row],[Top Parent Account]]="",Table3[[#This Row],[Account Legal Name]],Table3[[#This Row],[Top Parent Account]])</f>
        <v>Transportes Valbo</v>
      </c>
      <c r="H582" s="1"/>
    </row>
    <row r="583" spans="1:8" x14ac:dyDescent="0.35">
      <c r="A583" s="21"/>
      <c r="B583" t="s">
        <v>70</v>
      </c>
      <c r="C583" t="s">
        <v>6</v>
      </c>
      <c r="D583" t="s">
        <v>4916</v>
      </c>
      <c r="E583" t="s">
        <v>4917</v>
      </c>
      <c r="F583" s="1">
        <v>46050</v>
      </c>
      <c r="G583" t="str">
        <f>IF(Table3[[#This Row],[Top Parent Account]]="",Table3[[#This Row],[Account Legal Name]],Table3[[#This Row],[Top Parent Account]])</f>
        <v>Instituto Médico Panamericano</v>
      </c>
      <c r="H583" s="1"/>
    </row>
    <row r="584" spans="1:8" x14ac:dyDescent="0.35">
      <c r="A584" s="21"/>
      <c r="B584" t="s">
        <v>121</v>
      </c>
      <c r="C584" t="s">
        <v>22</v>
      </c>
      <c r="D584" t="s">
        <v>835</v>
      </c>
      <c r="F584" s="1">
        <v>46050</v>
      </c>
      <c r="G584" t="str">
        <f>IF(Table3[[#This Row],[Top Parent Account]]="",Table3[[#This Row],[Account Legal Name]],Table3[[#This Row],[Top Parent Account]])</f>
        <v>Desarrolladora de Energía Global</v>
      </c>
      <c r="H584" s="1"/>
    </row>
    <row r="585" spans="1:8" x14ac:dyDescent="0.35">
      <c r="A585" s="21"/>
      <c r="B585" t="s">
        <v>88</v>
      </c>
      <c r="C585" t="s">
        <v>6</v>
      </c>
      <c r="D585" t="s">
        <v>819</v>
      </c>
      <c r="F585" s="1">
        <v>46050</v>
      </c>
      <c r="G585" t="str">
        <f>IF(Table3[[#This Row],[Top Parent Account]]="",Table3[[#This Row],[Account Legal Name]],Table3[[#This Row],[Top Parent Account]])</f>
        <v>GRUPO PAPER GREEN</v>
      </c>
      <c r="H585" s="1"/>
    </row>
    <row r="586" spans="1:8" x14ac:dyDescent="0.35">
      <c r="A586" s="21"/>
      <c r="B586" t="s">
        <v>18</v>
      </c>
      <c r="C586" t="s">
        <v>6</v>
      </c>
      <c r="D586" t="s">
        <v>4918</v>
      </c>
      <c r="F586" s="1">
        <v>46050</v>
      </c>
      <c r="G586" t="str">
        <f>IF(Table3[[#This Row],[Top Parent Account]]="",Table3[[#This Row],[Account Legal Name]],Table3[[#This Row],[Top Parent Account]])</f>
        <v>Grupo Linoreste</v>
      </c>
      <c r="H586" s="1"/>
    </row>
    <row r="587" spans="1:8" x14ac:dyDescent="0.35">
      <c r="A587" s="21"/>
      <c r="B587" t="s">
        <v>70</v>
      </c>
      <c r="C587" t="s">
        <v>6</v>
      </c>
      <c r="D587" t="s">
        <v>2304</v>
      </c>
      <c r="F587" s="1">
        <v>46050</v>
      </c>
      <c r="G587" t="str">
        <f>IF(Table3[[#This Row],[Top Parent Account]]="",Table3[[#This Row],[Account Legal Name]],Table3[[#This Row],[Top Parent Account]])</f>
        <v>Centro Oncologico Privado</v>
      </c>
      <c r="H587" s="1"/>
    </row>
    <row r="588" spans="1:8" x14ac:dyDescent="0.35">
      <c r="A588" s="21"/>
      <c r="B588" t="s">
        <v>1006</v>
      </c>
      <c r="C588" t="s">
        <v>6</v>
      </c>
      <c r="D588" t="s">
        <v>2155</v>
      </c>
      <c r="E588" t="s">
        <v>2141</v>
      </c>
      <c r="F588" s="1">
        <v>46050</v>
      </c>
      <c r="G588" t="str">
        <f>IF(Table3[[#This Row],[Top Parent Account]]="",Table3[[#This Row],[Account Legal Name]],Table3[[#This Row],[Top Parent Account]])</f>
        <v>Refacciones y Servicio Automotriz Denisse</v>
      </c>
      <c r="H588" s="1"/>
    </row>
    <row r="589" spans="1:8" x14ac:dyDescent="0.35">
      <c r="A589" s="21"/>
      <c r="B589" t="s">
        <v>116</v>
      </c>
      <c r="C589" t="s">
        <v>6</v>
      </c>
      <c r="D589" t="s">
        <v>978</v>
      </c>
      <c r="E589" t="s">
        <v>979</v>
      </c>
      <c r="F589" s="1">
        <v>46050</v>
      </c>
      <c r="G589" t="str">
        <f>IF(Table3[[#This Row],[Top Parent Account]]="",Table3[[#This Row],[Account Legal Name]],Table3[[#This Row],[Top Parent Account]])</f>
        <v>Centro de Cirugía Avanzada Siglo XXI</v>
      </c>
      <c r="H589" s="1"/>
    </row>
    <row r="590" spans="1:8" x14ac:dyDescent="0.35">
      <c r="A590" s="21"/>
      <c r="B590" t="s">
        <v>24</v>
      </c>
      <c r="C590" t="s">
        <v>6</v>
      </c>
      <c r="D590" t="s">
        <v>4707</v>
      </c>
      <c r="F590" s="1">
        <v>46050</v>
      </c>
      <c r="G590" t="str">
        <f>IF(Table3[[#This Row],[Top Parent Account]]="",Table3[[#This Row],[Account Legal Name]],Table3[[#This Row],[Top Parent Account]])</f>
        <v>Industrias De Culiacán</v>
      </c>
      <c r="H590" s="1"/>
    </row>
    <row r="591" spans="1:8" x14ac:dyDescent="0.35">
      <c r="A591" s="21"/>
      <c r="B591" t="s">
        <v>77</v>
      </c>
      <c r="C591" t="s">
        <v>6</v>
      </c>
      <c r="D591" t="s">
        <v>4919</v>
      </c>
      <c r="F591" s="1">
        <v>46050</v>
      </c>
      <c r="G591" t="str">
        <f>IF(Table3[[#This Row],[Top Parent Account]]="",Table3[[#This Row],[Account Legal Name]],Table3[[#This Row],[Top Parent Account]])</f>
        <v>PACE INDUSTRIES DE CHIHUAHUA II</v>
      </c>
      <c r="H591" s="1"/>
    </row>
    <row r="592" spans="1:8" x14ac:dyDescent="0.35">
      <c r="A592" s="21"/>
      <c r="B592" t="s">
        <v>172</v>
      </c>
      <c r="C592" t="s">
        <v>6</v>
      </c>
      <c r="D592" t="s">
        <v>866</v>
      </c>
      <c r="F592" s="1">
        <v>46049</v>
      </c>
      <c r="G592" t="str">
        <f>IF(Table3[[#This Row],[Top Parent Account]]="",Table3[[#This Row],[Account Legal Name]],Table3[[#This Row],[Top Parent Account]])</f>
        <v>Compañia Impresora Especializada</v>
      </c>
      <c r="H592" s="1"/>
    </row>
    <row r="593" spans="1:8" x14ac:dyDescent="0.35">
      <c r="A593" s="21"/>
      <c r="B593" t="s">
        <v>3092</v>
      </c>
      <c r="C593" t="s">
        <v>6</v>
      </c>
      <c r="D593" t="s">
        <v>4708</v>
      </c>
      <c r="F593" s="1">
        <v>46049</v>
      </c>
      <c r="G593" t="str">
        <f>IF(Table3[[#This Row],[Top Parent Account]]="",Table3[[#This Row],[Account Legal Name]],Table3[[#This Row],[Top Parent Account]])</f>
        <v>Productos Lacteos La Quinta</v>
      </c>
      <c r="H593" s="1"/>
    </row>
    <row r="594" spans="1:8" x14ac:dyDescent="0.35">
      <c r="A594" s="21"/>
      <c r="B594" t="s">
        <v>26</v>
      </c>
      <c r="C594" t="s">
        <v>6</v>
      </c>
      <c r="D594" t="s">
        <v>534</v>
      </c>
      <c r="F594" s="1">
        <v>46049</v>
      </c>
      <c r="G594" t="str">
        <f>IF(Table3[[#This Row],[Top Parent Account]]="",Table3[[#This Row],[Account Legal Name]],Table3[[#This Row],[Top Parent Account]])</f>
        <v>Dragados y Urbanizaciones Siglo 21</v>
      </c>
      <c r="H594" s="1"/>
    </row>
    <row r="595" spans="1:8" x14ac:dyDescent="0.35">
      <c r="A595" s="21"/>
      <c r="B595" t="s">
        <v>3182</v>
      </c>
      <c r="C595" t="s">
        <v>22</v>
      </c>
      <c r="D595" t="s">
        <v>1490</v>
      </c>
      <c r="F595" s="1">
        <v>46049</v>
      </c>
      <c r="G595" t="str">
        <f>IF(Table3[[#This Row],[Top Parent Account]]="",Table3[[#This Row],[Account Legal Name]],Table3[[#This Row],[Top Parent Account]])</f>
        <v>Transporte y Logistica Buzmyr de México</v>
      </c>
      <c r="H595" s="1"/>
    </row>
    <row r="596" spans="1:8" x14ac:dyDescent="0.35">
      <c r="A596" s="21"/>
      <c r="B596" t="s">
        <v>4696</v>
      </c>
      <c r="C596" t="s">
        <v>6</v>
      </c>
      <c r="D596" t="s">
        <v>4709</v>
      </c>
      <c r="F596" s="1">
        <v>46049</v>
      </c>
      <c r="G596" t="str">
        <f>IF(Table3[[#This Row],[Top Parent Account]]="",Table3[[#This Row],[Account Legal Name]],Table3[[#This Row],[Top Parent Account]])</f>
        <v>Transportes Narcea</v>
      </c>
      <c r="H596" s="1"/>
    </row>
    <row r="597" spans="1:8" x14ac:dyDescent="0.35">
      <c r="A597" s="21"/>
      <c r="B597" t="s">
        <v>4704</v>
      </c>
      <c r="C597" t="s">
        <v>6</v>
      </c>
      <c r="D597" t="s">
        <v>4920</v>
      </c>
      <c r="F597" s="1">
        <v>46049</v>
      </c>
      <c r="G597" t="str">
        <f>IF(Table3[[#This Row],[Top Parent Account]]="",Table3[[#This Row],[Account Legal Name]],Table3[[#This Row],[Top Parent Account]])</f>
        <v>Termigas</v>
      </c>
      <c r="H597" s="1"/>
    </row>
    <row r="598" spans="1:8" x14ac:dyDescent="0.35">
      <c r="A598" s="21"/>
      <c r="B598" t="s">
        <v>18</v>
      </c>
      <c r="C598" t="s">
        <v>6</v>
      </c>
      <c r="D598" t="s">
        <v>647</v>
      </c>
      <c r="F598" s="1">
        <v>46049</v>
      </c>
      <c r="G598" t="str">
        <f>IF(Table3[[#This Row],[Top Parent Account]]="",Table3[[#This Row],[Account Legal Name]],Table3[[#This Row],[Top Parent Account]])</f>
        <v>Montajes e Ingenierias  Sultana</v>
      </c>
      <c r="H598" s="1"/>
    </row>
    <row r="599" spans="1:8" x14ac:dyDescent="0.35">
      <c r="A599" s="21"/>
      <c r="B599" t="s">
        <v>1899</v>
      </c>
      <c r="C599" t="s">
        <v>6</v>
      </c>
      <c r="D599" t="s">
        <v>4921</v>
      </c>
      <c r="F599" s="1">
        <v>46049</v>
      </c>
      <c r="G599" t="str">
        <f>IF(Table3[[#This Row],[Top Parent Account]]="",Table3[[#This Row],[Account Legal Name]],Table3[[#This Row],[Top Parent Account]])</f>
        <v>GRUPO CARGOQUIN</v>
      </c>
      <c r="H599" s="1"/>
    </row>
    <row r="600" spans="1:8" x14ac:dyDescent="0.35">
      <c r="A600" s="21"/>
      <c r="B600" t="s">
        <v>739</v>
      </c>
      <c r="C600" t="s">
        <v>4922</v>
      </c>
      <c r="D600" t="s">
        <v>2982</v>
      </c>
      <c r="F600" s="1">
        <v>46049</v>
      </c>
      <c r="G600" t="str">
        <f>IF(Table3[[#This Row],[Top Parent Account]]="",Table3[[#This Row],[Account Legal Name]],Table3[[#This Row],[Top Parent Account]])</f>
        <v>Mexichem</v>
      </c>
      <c r="H600" s="1"/>
    </row>
    <row r="601" spans="1:8" x14ac:dyDescent="0.35">
      <c r="A601" s="21"/>
      <c r="B601" t="s">
        <v>280</v>
      </c>
      <c r="C601" t="s">
        <v>6</v>
      </c>
      <c r="D601" t="s">
        <v>4923</v>
      </c>
      <c r="F601" s="1">
        <v>46049</v>
      </c>
      <c r="G601" t="str">
        <f>IF(Table3[[#This Row],[Top Parent Account]]="",Table3[[#This Row],[Account Legal Name]],Table3[[#This Row],[Top Parent Account]])</f>
        <v>ACCESSA LOGISTICS</v>
      </c>
      <c r="H601" s="1"/>
    </row>
    <row r="602" spans="1:8" x14ac:dyDescent="0.35">
      <c r="A602" s="21"/>
      <c r="B602" t="s">
        <v>43</v>
      </c>
      <c r="C602" t="s">
        <v>6</v>
      </c>
      <c r="D602" t="s">
        <v>4924</v>
      </c>
      <c r="F602" s="1">
        <v>46049</v>
      </c>
      <c r="G602" t="str">
        <f>IF(Table3[[#This Row],[Top Parent Account]]="",Table3[[#This Row],[Account Legal Name]],Table3[[#This Row],[Top Parent Account]])</f>
        <v>Grupo La Michoacana</v>
      </c>
      <c r="H602" s="1"/>
    </row>
    <row r="603" spans="1:8" x14ac:dyDescent="0.35">
      <c r="A603" s="21"/>
      <c r="B603" t="s">
        <v>43</v>
      </c>
      <c r="C603" t="s">
        <v>6</v>
      </c>
      <c r="D603" t="s">
        <v>4161</v>
      </c>
      <c r="F603" s="1">
        <v>46049</v>
      </c>
      <c r="G603" t="str">
        <f>IF(Table3[[#This Row],[Top Parent Account]]="",Table3[[#This Row],[Account Legal Name]],Table3[[#This Row],[Top Parent Account]])</f>
        <v>TRANSPORTE LUXURY</v>
      </c>
      <c r="H603" s="1"/>
    </row>
    <row r="604" spans="1:8" x14ac:dyDescent="0.35">
      <c r="A604" s="21"/>
      <c r="B604" t="s">
        <v>4696</v>
      </c>
      <c r="C604" t="s">
        <v>6</v>
      </c>
      <c r="D604" t="s">
        <v>4925</v>
      </c>
      <c r="F604" s="1">
        <v>46049</v>
      </c>
      <c r="G604" t="str">
        <f>IF(Table3[[#This Row],[Top Parent Account]]="",Table3[[#This Row],[Account Legal Name]],Table3[[#This Row],[Top Parent Account]])</f>
        <v>Grupo Constructo</v>
      </c>
      <c r="H604" s="1"/>
    </row>
    <row r="605" spans="1:8" x14ac:dyDescent="0.35">
      <c r="A605" s="21"/>
      <c r="B605" t="s">
        <v>3114</v>
      </c>
      <c r="C605" t="s">
        <v>52</v>
      </c>
      <c r="D605" t="s">
        <v>4214</v>
      </c>
      <c r="F605" s="1">
        <v>46049</v>
      </c>
      <c r="G605" t="str">
        <f>IF(Table3[[#This Row],[Top Parent Account]]="",Table3[[#This Row],[Account Legal Name]],Table3[[#This Row],[Top Parent Account]])</f>
        <v>Fábrica de Hielo Apodaca</v>
      </c>
      <c r="H605" s="1"/>
    </row>
    <row r="606" spans="1:8" x14ac:dyDescent="0.35">
      <c r="A606" s="21"/>
      <c r="B606" t="s">
        <v>77</v>
      </c>
      <c r="C606" t="s">
        <v>6</v>
      </c>
      <c r="D606" t="s">
        <v>4926</v>
      </c>
      <c r="F606" s="1">
        <v>46049</v>
      </c>
      <c r="G606" t="str">
        <f>IF(Table3[[#This Row],[Top Parent Account]]="",Table3[[#This Row],[Account Legal Name]],Table3[[#This Row],[Top Parent Account]])</f>
        <v>CONSOLIDATED MEDICAL EQUIPMENT COMPANY</v>
      </c>
      <c r="H606" s="1"/>
    </row>
    <row r="607" spans="1:8" x14ac:dyDescent="0.35">
      <c r="A607" s="21"/>
      <c r="B607" t="s">
        <v>3182</v>
      </c>
      <c r="C607" t="s">
        <v>22</v>
      </c>
      <c r="D607" t="s">
        <v>4348</v>
      </c>
      <c r="F607" s="1">
        <v>46049</v>
      </c>
      <c r="G607" t="str">
        <f>IF(Table3[[#This Row],[Top Parent Account]]="",Table3[[#This Row],[Account Legal Name]],Table3[[#This Row],[Top Parent Account]])</f>
        <v>Peliculas Utiles</v>
      </c>
      <c r="H607" s="1"/>
    </row>
    <row r="608" spans="1:8" x14ac:dyDescent="0.35">
      <c r="A608" s="21"/>
      <c r="B608" t="s">
        <v>280</v>
      </c>
      <c r="C608" t="s">
        <v>6</v>
      </c>
      <c r="D608" t="s">
        <v>4927</v>
      </c>
      <c r="F608" s="1">
        <v>46049</v>
      </c>
      <c r="G608" t="str">
        <f>IF(Table3[[#This Row],[Top Parent Account]]="",Table3[[#This Row],[Account Legal Name]],Table3[[#This Row],[Top Parent Account]])</f>
        <v>GRUPO CORPORATIVO INTERNACIONAL ESPECIALIZADO</v>
      </c>
      <c r="H608" s="1"/>
    </row>
    <row r="609" spans="1:8" x14ac:dyDescent="0.35">
      <c r="A609" s="21"/>
      <c r="B609" t="s">
        <v>29</v>
      </c>
      <c r="C609" t="s">
        <v>6</v>
      </c>
      <c r="D609" t="s">
        <v>4928</v>
      </c>
      <c r="F609" s="1">
        <v>46049</v>
      </c>
      <c r="G609" t="str">
        <f>IF(Table3[[#This Row],[Top Parent Account]]="",Table3[[#This Row],[Account Legal Name]],Table3[[#This Row],[Top Parent Account]])</f>
        <v>Industrias Plásticas Michel</v>
      </c>
      <c r="H609" s="1"/>
    </row>
    <row r="610" spans="1:8" x14ac:dyDescent="0.35">
      <c r="A610" s="21"/>
      <c r="B610" t="s">
        <v>77</v>
      </c>
      <c r="C610" t="s">
        <v>6</v>
      </c>
      <c r="D610" t="s">
        <v>4929</v>
      </c>
      <c r="F610" s="1">
        <v>46049</v>
      </c>
      <c r="G610" t="str">
        <f>IF(Table3[[#This Row],[Top Parent Account]]="",Table3[[#This Row],[Account Legal Name]],Table3[[#This Row],[Top Parent Account]])</f>
        <v>Cessna México</v>
      </c>
      <c r="H610" s="1"/>
    </row>
    <row r="611" spans="1:8" x14ac:dyDescent="0.35">
      <c r="A611" s="21"/>
      <c r="B611" t="s">
        <v>1511</v>
      </c>
      <c r="C611" t="s">
        <v>6</v>
      </c>
      <c r="D611" t="s">
        <v>3559</v>
      </c>
      <c r="F611" s="1">
        <v>46049</v>
      </c>
      <c r="G611" t="str">
        <f>IF(Table3[[#This Row],[Top Parent Account]]="",Table3[[#This Row],[Account Legal Name]],Table3[[#This Row],[Top Parent Account]])</f>
        <v>Premaco Asfaltos Básicos</v>
      </c>
      <c r="H611" s="1"/>
    </row>
    <row r="612" spans="1:8" x14ac:dyDescent="0.35">
      <c r="A612" s="21"/>
      <c r="B612" t="s">
        <v>3114</v>
      </c>
      <c r="C612" t="s">
        <v>52</v>
      </c>
      <c r="D612" t="s">
        <v>436</v>
      </c>
      <c r="F612" s="1">
        <v>46049</v>
      </c>
      <c r="G612" t="str">
        <f>IF(Table3[[#This Row],[Top Parent Account]]="",Table3[[#This Row],[Account Legal Name]],Table3[[#This Row],[Top Parent Account]])</f>
        <v>Plastiexports</v>
      </c>
      <c r="H612" s="1"/>
    </row>
    <row r="613" spans="1:8" x14ac:dyDescent="0.35">
      <c r="A613" s="21"/>
      <c r="B613" t="s">
        <v>4696</v>
      </c>
      <c r="C613" t="s">
        <v>6</v>
      </c>
      <c r="D613" t="s">
        <v>4697</v>
      </c>
      <c r="F613" s="1">
        <v>46049</v>
      </c>
      <c r="G613" t="str">
        <f>IF(Table3[[#This Row],[Top Parent Account]]="",Table3[[#This Row],[Account Legal Name]],Table3[[#This Row],[Top Parent Account]])</f>
        <v>Autotransportes Especializados Gama</v>
      </c>
      <c r="H613" s="1"/>
    </row>
    <row r="614" spans="1:8" x14ac:dyDescent="0.35">
      <c r="A614" s="21"/>
      <c r="B614" t="s">
        <v>925</v>
      </c>
      <c r="C614" t="s">
        <v>6</v>
      </c>
      <c r="D614" t="s">
        <v>4256</v>
      </c>
      <c r="F614" s="1">
        <v>46049</v>
      </c>
      <c r="G614" t="str">
        <f>IF(Table3[[#This Row],[Top Parent Account]]="",Table3[[#This Row],[Account Legal Name]],Table3[[#This Row],[Top Parent Account]])</f>
        <v>Azelis</v>
      </c>
      <c r="H614" s="1"/>
    </row>
    <row r="615" spans="1:8" x14ac:dyDescent="0.35">
      <c r="A615" s="21"/>
      <c r="B615" t="s">
        <v>2884</v>
      </c>
      <c r="C615" t="s">
        <v>6</v>
      </c>
      <c r="D615" t="s">
        <v>4930</v>
      </c>
      <c r="F615" s="1">
        <v>46049</v>
      </c>
      <c r="G615" t="str">
        <f>IF(Table3[[#This Row],[Top Parent Account]]="",Table3[[#This Row],[Account Legal Name]],Table3[[#This Row],[Top Parent Account]])</f>
        <v>ODEM INTERNACIONAL S.A DE C.V.</v>
      </c>
      <c r="H615" s="1"/>
    </row>
    <row r="616" spans="1:8" x14ac:dyDescent="0.35">
      <c r="A616" s="21"/>
      <c r="B616" t="s">
        <v>43</v>
      </c>
      <c r="C616" t="s">
        <v>6</v>
      </c>
      <c r="D616" t="s">
        <v>1633</v>
      </c>
      <c r="F616" s="1">
        <v>46049</v>
      </c>
      <c r="G616" t="str">
        <f>IF(Table3[[#This Row],[Top Parent Account]]="",Table3[[#This Row],[Account Legal Name]],Table3[[#This Row],[Top Parent Account]])</f>
        <v>Transportes Jego</v>
      </c>
      <c r="H616" s="1"/>
    </row>
    <row r="617" spans="1:8" x14ac:dyDescent="0.35">
      <c r="A617" s="21"/>
      <c r="B617" t="s">
        <v>14</v>
      </c>
      <c r="C617" t="s">
        <v>6</v>
      </c>
      <c r="D617" t="s">
        <v>3359</v>
      </c>
      <c r="F617" s="1">
        <v>46049</v>
      </c>
      <c r="G617" t="str">
        <f>IF(Table3[[#This Row],[Top Parent Account]]="",Table3[[#This Row],[Account Legal Name]],Table3[[#This Row],[Top Parent Account]])</f>
        <v>Dasavena Gourmet</v>
      </c>
      <c r="H617" s="1"/>
    </row>
    <row r="618" spans="1:8" x14ac:dyDescent="0.35">
      <c r="A618" s="21"/>
      <c r="B618" t="s">
        <v>3114</v>
      </c>
      <c r="C618" t="s">
        <v>6</v>
      </c>
      <c r="D618" t="s">
        <v>1261</v>
      </c>
      <c r="F618" s="1">
        <v>46049</v>
      </c>
      <c r="G618" t="str">
        <f>IF(Table3[[#This Row],[Top Parent Account]]="",Table3[[#This Row],[Account Legal Name]],Table3[[#This Row],[Top Parent Account]])</f>
        <v>Nava Hermanos</v>
      </c>
      <c r="H618" s="1"/>
    </row>
    <row r="619" spans="1:8" x14ac:dyDescent="0.35">
      <c r="A619" s="21"/>
      <c r="B619" t="s">
        <v>77</v>
      </c>
      <c r="C619" t="s">
        <v>6</v>
      </c>
      <c r="D619" t="s">
        <v>3990</v>
      </c>
      <c r="F619" s="1">
        <v>46049</v>
      </c>
      <c r="G619" t="str">
        <f>IF(Table3[[#This Row],[Top Parent Account]]="",Table3[[#This Row],[Account Legal Name]],Table3[[#This Row],[Top Parent Account]])</f>
        <v>Continental contitech de chihuahua</v>
      </c>
      <c r="H619" s="1"/>
    </row>
    <row r="620" spans="1:8" x14ac:dyDescent="0.35">
      <c r="A620" s="21"/>
      <c r="B620" t="s">
        <v>1006</v>
      </c>
      <c r="C620" t="s">
        <v>6</v>
      </c>
      <c r="D620" t="s">
        <v>824</v>
      </c>
      <c r="E620" t="s">
        <v>817</v>
      </c>
      <c r="F620" s="1">
        <v>46049</v>
      </c>
      <c r="G620" t="str">
        <f>IF(Table3[[#This Row],[Top Parent Account]]="",Table3[[#This Row],[Account Legal Name]],Table3[[#This Row],[Top Parent Account]])</f>
        <v>GRUPO CIMA</v>
      </c>
      <c r="H620" s="1"/>
    </row>
    <row r="621" spans="1:8" x14ac:dyDescent="0.35">
      <c r="A621" s="21"/>
      <c r="B621" t="s">
        <v>2693</v>
      </c>
      <c r="C621" t="s">
        <v>6</v>
      </c>
      <c r="D621" t="s">
        <v>4660</v>
      </c>
      <c r="F621" s="1">
        <v>46049</v>
      </c>
      <c r="G621" t="str">
        <f>IF(Table3[[#This Row],[Top Parent Account]]="",Table3[[#This Row],[Account Legal Name]],Table3[[#This Row],[Top Parent Account]])</f>
        <v>CLUB ALEMÁN DE MÉXICO</v>
      </c>
      <c r="H621" s="1"/>
    </row>
    <row r="622" spans="1:8" x14ac:dyDescent="0.35">
      <c r="A622" s="21"/>
      <c r="B622" t="s">
        <v>925</v>
      </c>
      <c r="C622" t="s">
        <v>6</v>
      </c>
      <c r="D622" t="s">
        <v>826</v>
      </c>
      <c r="F622" s="1">
        <v>46049</v>
      </c>
      <c r="G622" t="str">
        <f>IF(Table3[[#This Row],[Top Parent Account]]="",Table3[[#This Row],[Account Legal Name]],Table3[[#This Row],[Top Parent Account]])</f>
        <v>ELASTOMEROS TAZA</v>
      </c>
      <c r="H622" s="1"/>
    </row>
    <row r="623" spans="1:8" x14ac:dyDescent="0.35">
      <c r="A623" s="21"/>
      <c r="B623" t="s">
        <v>3129</v>
      </c>
      <c r="C623" t="s">
        <v>6</v>
      </c>
      <c r="D623" t="s">
        <v>4931</v>
      </c>
      <c r="F623" s="1">
        <v>46048</v>
      </c>
      <c r="G623" t="str">
        <f>IF(Table3[[#This Row],[Top Parent Account]]="",Table3[[#This Row],[Account Legal Name]],Table3[[#This Row],[Top Parent Account]])</f>
        <v>Vimar Construcciones</v>
      </c>
      <c r="H623" s="1"/>
    </row>
    <row r="624" spans="1:8" x14ac:dyDescent="0.35">
      <c r="A624" s="21"/>
      <c r="B624" t="s">
        <v>4696</v>
      </c>
      <c r="C624" t="s">
        <v>22</v>
      </c>
      <c r="D624" t="s">
        <v>4932</v>
      </c>
      <c r="F624" s="1">
        <v>46048</v>
      </c>
      <c r="G624" t="str">
        <f>IF(Table3[[#This Row],[Top Parent Account]]="",Table3[[#This Row],[Account Legal Name]],Table3[[#This Row],[Top Parent Account]])</f>
        <v>LUTSA Transportes</v>
      </c>
      <c r="H624" s="1"/>
    </row>
    <row r="625" spans="1:8" x14ac:dyDescent="0.35">
      <c r="A625" s="21"/>
      <c r="B625" t="s">
        <v>2693</v>
      </c>
      <c r="C625" t="s">
        <v>6</v>
      </c>
      <c r="D625" t="s">
        <v>1727</v>
      </c>
      <c r="E625" t="s">
        <v>204</v>
      </c>
      <c r="F625" s="1">
        <v>46048</v>
      </c>
      <c r="G625" t="str">
        <f>IF(Table3[[#This Row],[Top Parent Account]]="",Table3[[#This Row],[Account Legal Name]],Table3[[#This Row],[Top Parent Account]])</f>
        <v>JC MOLDS</v>
      </c>
      <c r="H625" s="1"/>
    </row>
    <row r="626" spans="1:8" x14ac:dyDescent="0.35">
      <c r="A626" s="21"/>
      <c r="B626" t="s">
        <v>4696</v>
      </c>
      <c r="C626" t="s">
        <v>6</v>
      </c>
      <c r="D626" t="s">
        <v>4933</v>
      </c>
      <c r="F626" s="1">
        <v>46048</v>
      </c>
      <c r="G626" t="str">
        <f>IF(Table3[[#This Row],[Top Parent Account]]="",Table3[[#This Row],[Account Legal Name]],Table3[[#This Row],[Top Parent Account]])</f>
        <v>DESARROLLADORA DE INGENIERIA CONSTRUCCION Y SUMINISTRO DE AGREGADOS PETREOS SERVICIOS AMBIENTALES Y PORTUARIOS</v>
      </c>
      <c r="H626" s="1"/>
    </row>
    <row r="627" spans="1:8" x14ac:dyDescent="0.35">
      <c r="A627" s="21"/>
      <c r="B627" t="s">
        <v>3093</v>
      </c>
      <c r="C627" t="s">
        <v>6</v>
      </c>
      <c r="D627" t="s">
        <v>124</v>
      </c>
      <c r="F627" s="1">
        <v>46048</v>
      </c>
      <c r="G627" t="str">
        <f>IF(Table3[[#This Row],[Top Parent Account]]="",Table3[[#This Row],[Account Legal Name]],Table3[[#This Row],[Top Parent Account]])</f>
        <v>Envases Universales</v>
      </c>
      <c r="H627" s="1"/>
    </row>
    <row r="628" spans="1:8" x14ac:dyDescent="0.35">
      <c r="A628" s="21"/>
      <c r="B628" t="s">
        <v>2912</v>
      </c>
      <c r="C628" t="s">
        <v>6</v>
      </c>
      <c r="D628" t="s">
        <v>4934</v>
      </c>
      <c r="F628" s="1">
        <v>46048</v>
      </c>
      <c r="G628" t="str">
        <f>IF(Table3[[#This Row],[Top Parent Account]]="",Table3[[#This Row],[Account Legal Name]],Table3[[#This Row],[Top Parent Account]])</f>
        <v>Performance Air</v>
      </c>
      <c r="H628" s="1"/>
    </row>
    <row r="629" spans="1:8" x14ac:dyDescent="0.35">
      <c r="A629" s="21"/>
      <c r="B629" t="s">
        <v>88</v>
      </c>
      <c r="C629" t="s">
        <v>6</v>
      </c>
      <c r="D629" t="s">
        <v>4935</v>
      </c>
      <c r="F629" s="1">
        <v>46048</v>
      </c>
      <c r="G629" t="str">
        <f>IF(Table3[[#This Row],[Top Parent Account]]="",Table3[[#This Row],[Account Legal Name]],Table3[[#This Row],[Top Parent Account]])</f>
        <v>GRUPO BLANCO FERTICAMPO</v>
      </c>
      <c r="H629" s="1"/>
    </row>
    <row r="630" spans="1:8" x14ac:dyDescent="0.35">
      <c r="A630" s="21"/>
      <c r="B630" t="s">
        <v>3092</v>
      </c>
      <c r="C630" t="s">
        <v>6</v>
      </c>
      <c r="D630" t="s">
        <v>4624</v>
      </c>
      <c r="F630" s="1">
        <v>46048</v>
      </c>
      <c r="G630" t="str">
        <f>IF(Table3[[#This Row],[Top Parent Account]]="",Table3[[#This Row],[Account Legal Name]],Table3[[#This Row],[Top Parent Account]])</f>
        <v>Comercializadora TMY</v>
      </c>
      <c r="H630" s="1"/>
    </row>
    <row r="631" spans="1:8" x14ac:dyDescent="0.35">
      <c r="A631" s="21"/>
      <c r="B631" t="s">
        <v>32</v>
      </c>
      <c r="C631" t="s">
        <v>6</v>
      </c>
      <c r="D631" t="s">
        <v>4710</v>
      </c>
      <c r="F631" s="1">
        <v>46048</v>
      </c>
      <c r="G631" t="str">
        <f>IF(Table3[[#This Row],[Top Parent Account]]="",Table3[[#This Row],[Account Legal Name]],Table3[[#This Row],[Top Parent Account]])</f>
        <v>Transportes Elola</v>
      </c>
      <c r="H631" s="1"/>
    </row>
    <row r="632" spans="1:8" x14ac:dyDescent="0.35">
      <c r="A632" s="21"/>
      <c r="B632" t="s">
        <v>4696</v>
      </c>
      <c r="C632" t="s">
        <v>6</v>
      </c>
      <c r="D632" t="s">
        <v>4936</v>
      </c>
      <c r="F632" s="1">
        <v>46048</v>
      </c>
      <c r="G632" t="str">
        <f>IF(Table3[[#This Row],[Top Parent Account]]="",Table3[[#This Row],[Account Legal Name]],Table3[[#This Row],[Top Parent Account]])</f>
        <v>Vasanta comunicaciones</v>
      </c>
      <c r="H632" s="1"/>
    </row>
    <row r="633" spans="1:8" x14ac:dyDescent="0.35">
      <c r="A633" s="21"/>
      <c r="B633" t="s">
        <v>88</v>
      </c>
      <c r="C633" t="s">
        <v>6</v>
      </c>
      <c r="D633" t="s">
        <v>4937</v>
      </c>
      <c r="F633" s="1">
        <v>46048</v>
      </c>
      <c r="G633" t="str">
        <f>IF(Table3[[#This Row],[Top Parent Account]]="",Table3[[#This Row],[Account Legal Name]],Table3[[#This Row],[Top Parent Account]])</f>
        <v>Jorge Luis Díaz Jasso</v>
      </c>
      <c r="H633" s="1"/>
    </row>
    <row r="634" spans="1:8" x14ac:dyDescent="0.35">
      <c r="A634" s="21"/>
      <c r="B634" t="s">
        <v>18</v>
      </c>
      <c r="C634" t="s">
        <v>6</v>
      </c>
      <c r="D634" t="s">
        <v>1951</v>
      </c>
      <c r="F634" s="1">
        <v>46048</v>
      </c>
      <c r="G634" t="str">
        <f>IF(Table3[[#This Row],[Top Parent Account]]="",Table3[[#This Row],[Account Legal Name]],Table3[[#This Row],[Top Parent Account]])</f>
        <v>Transportes Aguila De Oro</v>
      </c>
      <c r="H634" s="1"/>
    </row>
    <row r="635" spans="1:8" x14ac:dyDescent="0.35">
      <c r="A635" s="21"/>
      <c r="B635" t="s">
        <v>88</v>
      </c>
      <c r="C635" t="s">
        <v>6</v>
      </c>
      <c r="D635" t="s">
        <v>4938</v>
      </c>
      <c r="F635" s="1">
        <v>46048</v>
      </c>
      <c r="G635" t="str">
        <f>IF(Table3[[#This Row],[Top Parent Account]]="",Table3[[#This Row],[Account Legal Name]],Table3[[#This Row],[Top Parent Account]])</f>
        <v>Fletes Santa Lucía</v>
      </c>
      <c r="H635" s="1"/>
    </row>
    <row r="636" spans="1:8" x14ac:dyDescent="0.35">
      <c r="A636" s="21"/>
      <c r="B636" t="s">
        <v>116</v>
      </c>
      <c r="C636" t="s">
        <v>22</v>
      </c>
      <c r="D636" t="s">
        <v>638</v>
      </c>
      <c r="F636" s="1">
        <v>46048</v>
      </c>
      <c r="G636" t="str">
        <f>IF(Table3[[#This Row],[Top Parent Account]]="",Table3[[#This Row],[Account Legal Name]],Table3[[#This Row],[Top Parent Account]])</f>
        <v>Natural de Alimentos</v>
      </c>
      <c r="H636" s="1"/>
    </row>
    <row r="637" spans="1:8" x14ac:dyDescent="0.35">
      <c r="A637" s="21"/>
      <c r="B637" t="s">
        <v>208</v>
      </c>
      <c r="C637" t="s">
        <v>22</v>
      </c>
      <c r="D637" t="s">
        <v>4860</v>
      </c>
      <c r="F637" s="1">
        <v>46048</v>
      </c>
      <c r="G637" t="str">
        <f>IF(Table3[[#This Row],[Top Parent Account]]="",Table3[[#This Row],[Account Legal Name]],Table3[[#This Row],[Top Parent Account]])</f>
        <v>Itochu México</v>
      </c>
      <c r="H637" s="1"/>
    </row>
    <row r="638" spans="1:8" x14ac:dyDescent="0.35">
      <c r="A638" s="21"/>
      <c r="B638" t="s">
        <v>3553</v>
      </c>
      <c r="C638" t="s">
        <v>6</v>
      </c>
      <c r="D638" t="s">
        <v>4740</v>
      </c>
      <c r="F638" s="1">
        <v>46044</v>
      </c>
      <c r="G638" t="str">
        <f>IF(Table3[[#This Row],[Top Parent Account]]="",Table3[[#This Row],[Account Legal Name]],Table3[[#This Row],[Top Parent Account]])</f>
        <v>CUBBO</v>
      </c>
      <c r="H638" s="1"/>
    </row>
    <row r="639" spans="1:8" x14ac:dyDescent="0.35">
      <c r="A639" s="21"/>
      <c r="B639" t="s">
        <v>970</v>
      </c>
      <c r="C639" t="s">
        <v>6</v>
      </c>
      <c r="D639" t="s">
        <v>4683</v>
      </c>
      <c r="F639" s="1">
        <v>46044</v>
      </c>
      <c r="G639" t="str">
        <f>IF(Table3[[#This Row],[Top Parent Account]]="",Table3[[#This Row],[Account Legal Name]],Table3[[#This Row],[Top Parent Account]])</f>
        <v>Cargo Lift</v>
      </c>
      <c r="H639" s="1"/>
    </row>
    <row r="640" spans="1:8" x14ac:dyDescent="0.35">
      <c r="A640" s="21"/>
      <c r="B640" t="s">
        <v>3628</v>
      </c>
      <c r="C640" t="s">
        <v>6</v>
      </c>
      <c r="D640" t="s">
        <v>1749</v>
      </c>
      <c r="F640" s="1">
        <v>46042</v>
      </c>
      <c r="G640" t="str">
        <f>IF(Table3[[#This Row],[Top Parent Account]]="",Table3[[#This Row],[Account Legal Name]],Table3[[#This Row],[Top Parent Account]])</f>
        <v>Técnica Industrial Miranda</v>
      </c>
      <c r="H640" s="1"/>
    </row>
    <row r="641" spans="1:8" x14ac:dyDescent="0.35">
      <c r="A641" s="21"/>
      <c r="B641" t="s">
        <v>970</v>
      </c>
      <c r="C641" t="s">
        <v>6</v>
      </c>
      <c r="D641" t="s">
        <v>4683</v>
      </c>
      <c r="F641" s="1">
        <v>46042</v>
      </c>
      <c r="G641" t="str">
        <f>IF(Table3[[#This Row],[Top Parent Account]]="",Table3[[#This Row],[Account Legal Name]],Table3[[#This Row],[Top Parent Account]])</f>
        <v>Cargo Lift</v>
      </c>
      <c r="H641" s="1"/>
    </row>
    <row r="642" spans="1:8" x14ac:dyDescent="0.35">
      <c r="A642" s="21"/>
      <c r="B642" t="s">
        <v>3628</v>
      </c>
      <c r="C642" t="s">
        <v>6</v>
      </c>
      <c r="D642" t="s">
        <v>1460</v>
      </c>
      <c r="F642" s="1">
        <v>46041</v>
      </c>
      <c r="G642" t="str">
        <f>IF(Table3[[#This Row],[Top Parent Account]]="",Table3[[#This Row],[Account Legal Name]],Table3[[#This Row],[Top Parent Account]])</f>
        <v>Garibaldi México</v>
      </c>
      <c r="H642" s="1"/>
    </row>
    <row r="643" spans="1:8" x14ac:dyDescent="0.35">
      <c r="A643" s="21"/>
      <c r="B643" t="s">
        <v>169</v>
      </c>
      <c r="C643" t="s">
        <v>6</v>
      </c>
      <c r="D643" t="s">
        <v>2973</v>
      </c>
      <c r="F643" s="1">
        <v>46041</v>
      </c>
      <c r="G643" t="str">
        <f>IF(Table3[[#This Row],[Top Parent Account]]="",Table3[[#This Row],[Account Legal Name]],Table3[[#This Row],[Top Parent Account]])</f>
        <v>SYNELMEX</v>
      </c>
      <c r="H643" s="1"/>
    </row>
    <row r="644" spans="1:8" x14ac:dyDescent="0.35">
      <c r="A644" s="21"/>
      <c r="B644" t="s">
        <v>4704</v>
      </c>
      <c r="C644" t="s">
        <v>6</v>
      </c>
      <c r="D644" t="s">
        <v>4741</v>
      </c>
      <c r="F644" s="1">
        <v>46041</v>
      </c>
      <c r="G644" t="str">
        <f>IF(Table3[[#This Row],[Top Parent Account]]="",Table3[[#This Row],[Account Legal Name]],Table3[[#This Row],[Top Parent Account]])</f>
        <v>Kaizen Freight</v>
      </c>
      <c r="H644" s="1"/>
    </row>
    <row r="645" spans="1:8" x14ac:dyDescent="0.35">
      <c r="A645" s="21"/>
      <c r="B645" t="s">
        <v>208</v>
      </c>
      <c r="C645" t="s">
        <v>6</v>
      </c>
      <c r="D645" t="s">
        <v>4684</v>
      </c>
      <c r="F645" s="1">
        <v>46041</v>
      </c>
      <c r="G645" t="str">
        <f>IF(Table3[[#This Row],[Top Parent Account]]="",Table3[[#This Row],[Account Legal Name]],Table3[[#This Row],[Top Parent Account]])</f>
        <v>Servnet Mexico</v>
      </c>
      <c r="H645" s="1"/>
    </row>
    <row r="646" spans="1:8" x14ac:dyDescent="0.35">
      <c r="A646" s="21"/>
      <c r="B646" t="s">
        <v>37</v>
      </c>
      <c r="C646" t="s">
        <v>6</v>
      </c>
      <c r="D646" t="s">
        <v>4742</v>
      </c>
      <c r="F646" s="1">
        <v>46041</v>
      </c>
      <c r="G646" t="str">
        <f>IF(Table3[[#This Row],[Top Parent Account]]="",Table3[[#This Row],[Account Legal Name]],Table3[[#This Row],[Top Parent Account]])</f>
        <v>Aeromarítima</v>
      </c>
      <c r="H646" s="1"/>
    </row>
    <row r="647" spans="1:8" x14ac:dyDescent="0.35">
      <c r="A647" s="21"/>
      <c r="B647" t="s">
        <v>3628</v>
      </c>
      <c r="C647" t="s">
        <v>6</v>
      </c>
      <c r="D647" t="s">
        <v>4686</v>
      </c>
      <c r="F647" s="1">
        <v>46041</v>
      </c>
      <c r="G647" t="str">
        <f>IF(Table3[[#This Row],[Top Parent Account]]="",Table3[[#This Row],[Account Legal Name]],Table3[[#This Row],[Top Parent Account]])</f>
        <v>STARCORR DE MEXICO</v>
      </c>
      <c r="H647" s="1"/>
    </row>
    <row r="648" spans="1:8" x14ac:dyDescent="0.35">
      <c r="A648" s="21"/>
      <c r="B648" t="s">
        <v>1131</v>
      </c>
      <c r="C648" t="s">
        <v>6</v>
      </c>
      <c r="D648" t="s">
        <v>1118</v>
      </c>
      <c r="F648" s="1">
        <v>46041</v>
      </c>
      <c r="G648" t="str">
        <f>IF(Table3[[#This Row],[Top Parent Account]]="",Table3[[#This Row],[Account Legal Name]],Table3[[#This Row],[Top Parent Account]])</f>
        <v>Microcart</v>
      </c>
      <c r="H648" s="1"/>
    </row>
    <row r="649" spans="1:8" x14ac:dyDescent="0.35">
      <c r="A649" s="21"/>
      <c r="B649" t="s">
        <v>121</v>
      </c>
      <c r="C649" t="s">
        <v>6</v>
      </c>
      <c r="D649" t="s">
        <v>4685</v>
      </c>
      <c r="F649" s="1">
        <v>46041</v>
      </c>
      <c r="G649" t="str">
        <f>IF(Table3[[#This Row],[Top Parent Account]]="",Table3[[#This Row],[Account Legal Name]],Table3[[#This Row],[Top Parent Account]])</f>
        <v>Casler Alimentos</v>
      </c>
      <c r="H649" s="1"/>
    </row>
    <row r="650" spans="1:8" x14ac:dyDescent="0.35">
      <c r="A650" s="21"/>
      <c r="B650" t="s">
        <v>739</v>
      </c>
      <c r="C650" t="s">
        <v>4687</v>
      </c>
      <c r="D650" t="s">
        <v>4688</v>
      </c>
      <c r="F650" s="1">
        <v>46041</v>
      </c>
      <c r="G650" t="str">
        <f>IF(Table3[[#This Row],[Top Parent Account]]="",Table3[[#This Row],[Account Legal Name]],Table3[[#This Row],[Top Parent Account]])</f>
        <v>Grupo Gayosso</v>
      </c>
      <c r="H650" s="1"/>
    </row>
    <row r="651" spans="1:8" x14ac:dyDescent="0.35">
      <c r="A651" s="21"/>
      <c r="B651" t="s">
        <v>169</v>
      </c>
      <c r="C651" t="s">
        <v>6</v>
      </c>
      <c r="D651" t="s">
        <v>4689</v>
      </c>
      <c r="F651" s="1">
        <v>46041</v>
      </c>
      <c r="G651" t="str">
        <f>IF(Table3[[#This Row],[Top Parent Account]]="",Table3[[#This Row],[Account Legal Name]],Table3[[#This Row],[Top Parent Account]])</f>
        <v>WIPOTEC MEXICO</v>
      </c>
      <c r="H651" s="1"/>
    </row>
    <row r="652" spans="1:8" x14ac:dyDescent="0.35">
      <c r="A652" s="21"/>
      <c r="B652" t="s">
        <v>1131</v>
      </c>
      <c r="C652" t="s">
        <v>6</v>
      </c>
      <c r="D652" t="s">
        <v>4690</v>
      </c>
      <c r="F652" s="1">
        <v>46041</v>
      </c>
      <c r="G652" t="str">
        <f>IF(Table3[[#This Row],[Top Parent Account]]="",Table3[[#This Row],[Account Legal Name]],Table3[[#This Row],[Top Parent Account]])</f>
        <v>AGRICENTER</v>
      </c>
      <c r="H652" s="1"/>
    </row>
    <row r="653" spans="1:8" x14ac:dyDescent="0.35">
      <c r="A653" s="21"/>
      <c r="B653" t="s">
        <v>121</v>
      </c>
      <c r="C653" t="s">
        <v>6</v>
      </c>
      <c r="D653" t="s">
        <v>4691</v>
      </c>
      <c r="F653" s="1">
        <v>46041</v>
      </c>
      <c r="G653" t="str">
        <f>IF(Table3[[#This Row],[Top Parent Account]]="",Table3[[#This Row],[Account Legal Name]],Table3[[#This Row],[Top Parent Account]])</f>
        <v>Obras y agregados Jaquez</v>
      </c>
      <c r="H653" s="1"/>
    </row>
    <row r="654" spans="1:8" x14ac:dyDescent="0.35">
      <c r="A654" s="21"/>
      <c r="B654" t="s">
        <v>2884</v>
      </c>
      <c r="C654" t="s">
        <v>6</v>
      </c>
      <c r="D654" t="s">
        <v>4692</v>
      </c>
      <c r="F654" s="1">
        <v>46041</v>
      </c>
      <c r="G654" t="str">
        <f>IF(Table3[[#This Row],[Top Parent Account]]="",Table3[[#This Row],[Account Legal Name]],Table3[[#This Row],[Top Parent Account]])</f>
        <v>Hugo Boss De México</v>
      </c>
      <c r="H654" s="1"/>
    </row>
    <row r="655" spans="1:8" x14ac:dyDescent="0.35">
      <c r="A655" s="21"/>
      <c r="B655" t="s">
        <v>26</v>
      </c>
      <c r="C655" t="s">
        <v>6</v>
      </c>
      <c r="D655" t="s">
        <v>3811</v>
      </c>
      <c r="F655" s="1">
        <v>46041</v>
      </c>
      <c r="G655" t="str">
        <f>IF(Table3[[#This Row],[Top Parent Account]]="",Table3[[#This Row],[Account Legal Name]],Table3[[#This Row],[Top Parent Account]])</f>
        <v>Lester</v>
      </c>
      <c r="H655" s="1"/>
    </row>
    <row r="656" spans="1:8" x14ac:dyDescent="0.35">
      <c r="A656" s="21"/>
      <c r="B656" t="s">
        <v>970</v>
      </c>
      <c r="C656" t="s">
        <v>6</v>
      </c>
      <c r="D656" t="s">
        <v>658</v>
      </c>
      <c r="F656" s="1">
        <v>46041</v>
      </c>
      <c r="G656" t="str">
        <f>IF(Table3[[#This Row],[Top Parent Account]]="",Table3[[#This Row],[Account Legal Name]],Table3[[#This Row],[Top Parent Account]])</f>
        <v>SUPER FLAMA</v>
      </c>
      <c r="H656" s="1"/>
    </row>
    <row r="657" spans="1:8" x14ac:dyDescent="0.35">
      <c r="A657" s="21"/>
      <c r="B657" t="s">
        <v>3628</v>
      </c>
      <c r="C657" t="s">
        <v>6</v>
      </c>
      <c r="D657" t="s">
        <v>4693</v>
      </c>
      <c r="E657" t="s">
        <v>4694</v>
      </c>
      <c r="F657" s="1">
        <v>46041</v>
      </c>
      <c r="G657" t="str">
        <f>IF(Table3[[#This Row],[Top Parent Account]]="",Table3[[#This Row],[Account Legal Name]],Table3[[#This Row],[Top Parent Account]])</f>
        <v>Techniplas</v>
      </c>
      <c r="H657" s="1"/>
    </row>
    <row r="658" spans="1:8" x14ac:dyDescent="0.35">
      <c r="A658" s="21"/>
      <c r="B658" t="s">
        <v>169</v>
      </c>
      <c r="C658" t="s">
        <v>6</v>
      </c>
      <c r="D658" t="s">
        <v>4695</v>
      </c>
      <c r="F658" s="1">
        <v>46041</v>
      </c>
      <c r="G658" t="str">
        <f>IF(Table3[[#This Row],[Top Parent Account]]="",Table3[[#This Row],[Account Legal Name]],Table3[[#This Row],[Top Parent Account]])</f>
        <v>Red Inter comunicaciones</v>
      </c>
      <c r="H658" s="1"/>
    </row>
    <row r="659" spans="1:8" x14ac:dyDescent="0.35">
      <c r="A659" s="21"/>
      <c r="B659" t="s">
        <v>3628</v>
      </c>
      <c r="C659" t="s">
        <v>6</v>
      </c>
      <c r="D659" t="s">
        <v>4694</v>
      </c>
      <c r="F659" s="1">
        <v>46041</v>
      </c>
      <c r="G659" t="str">
        <f>IF(Table3[[#This Row],[Top Parent Account]]="",Table3[[#This Row],[Account Legal Name]],Table3[[#This Row],[Top Parent Account]])</f>
        <v>Techniplas</v>
      </c>
      <c r="H659" s="1"/>
    </row>
    <row r="660" spans="1:8" x14ac:dyDescent="0.35">
      <c r="A660" s="21"/>
      <c r="B660" t="s">
        <v>4696</v>
      </c>
      <c r="C660" t="s">
        <v>6</v>
      </c>
      <c r="D660" t="s">
        <v>4697</v>
      </c>
      <c r="F660" s="1">
        <v>46041</v>
      </c>
      <c r="G660" t="str">
        <f>IF(Table3[[#This Row],[Top Parent Account]]="",Table3[[#This Row],[Account Legal Name]],Table3[[#This Row],[Top Parent Account]])</f>
        <v>Autotransportes Especializados Gama</v>
      </c>
      <c r="H660" s="1"/>
    </row>
    <row r="661" spans="1:8" x14ac:dyDescent="0.35">
      <c r="A661" s="21"/>
      <c r="B661" t="s">
        <v>3628</v>
      </c>
      <c r="C661" t="s">
        <v>6</v>
      </c>
      <c r="D661" t="s">
        <v>4694</v>
      </c>
      <c r="F661" s="1">
        <v>46041</v>
      </c>
      <c r="G661" t="str">
        <f>IF(Table3[[#This Row],[Top Parent Account]]="",Table3[[#This Row],[Account Legal Name]],Table3[[#This Row],[Top Parent Account]])</f>
        <v>Techniplas</v>
      </c>
      <c r="H661" s="1"/>
    </row>
    <row r="662" spans="1:8" x14ac:dyDescent="0.35">
      <c r="A662" s="21"/>
      <c r="B662" t="s">
        <v>88</v>
      </c>
      <c r="C662" t="s">
        <v>6</v>
      </c>
      <c r="D662" t="s">
        <v>4698</v>
      </c>
      <c r="F662" s="1">
        <v>46041</v>
      </c>
      <c r="G662" t="str">
        <f>IF(Table3[[#This Row],[Top Parent Account]]="",Table3[[#This Row],[Account Legal Name]],Table3[[#This Row],[Top Parent Account]])</f>
        <v>Garoval Comercializadora</v>
      </c>
      <c r="H662" s="1"/>
    </row>
    <row r="663" spans="1:8" x14ac:dyDescent="0.35">
      <c r="A663" s="21"/>
      <c r="B663" t="s">
        <v>2693</v>
      </c>
      <c r="C663" t="s">
        <v>6</v>
      </c>
      <c r="D663" t="s">
        <v>521</v>
      </c>
      <c r="F663" s="1">
        <v>46039</v>
      </c>
      <c r="G663" t="str">
        <f>IF(Table3[[#This Row],[Top Parent Account]]="",Table3[[#This Row],[Account Legal Name]],Table3[[#This Row],[Top Parent Account]])</f>
        <v>IMPORTACIÓN DE MAQUINARIA PESADA DE ORIENTE</v>
      </c>
      <c r="H663" s="1"/>
    </row>
    <row r="664" spans="1:8" x14ac:dyDescent="0.35">
      <c r="A664" s="21"/>
      <c r="B664" t="s">
        <v>932</v>
      </c>
      <c r="C664" t="s">
        <v>6</v>
      </c>
      <c r="D664" t="s">
        <v>3222</v>
      </c>
      <c r="F664" s="1">
        <v>46038</v>
      </c>
      <c r="G664" t="str">
        <f>IF(Table3[[#This Row],[Top Parent Account]]="",Table3[[#This Row],[Account Legal Name]],Table3[[#This Row],[Top Parent Account]])</f>
        <v>Megaluminio Servicios</v>
      </c>
      <c r="H664" s="1"/>
    </row>
    <row r="665" spans="1:8" x14ac:dyDescent="0.35">
      <c r="A665" s="21"/>
      <c r="B665" t="s">
        <v>1131</v>
      </c>
      <c r="C665" t="s">
        <v>6</v>
      </c>
      <c r="D665" t="s">
        <v>4701</v>
      </c>
      <c r="F665" s="1">
        <v>46038</v>
      </c>
      <c r="G665" t="str">
        <f>IF(Table3[[#This Row],[Top Parent Account]]="",Table3[[#This Row],[Account Legal Name]],Table3[[#This Row],[Top Parent Account]])</f>
        <v>AE Accesorios Extremos</v>
      </c>
      <c r="H665" s="1"/>
    </row>
    <row r="666" spans="1:8" x14ac:dyDescent="0.35">
      <c r="A666" s="21"/>
      <c r="B666" t="s">
        <v>12</v>
      </c>
      <c r="C666" t="s">
        <v>6</v>
      </c>
      <c r="D666" t="s">
        <v>557</v>
      </c>
      <c r="F666" s="1">
        <v>46038</v>
      </c>
      <c r="G666" t="str">
        <f>IF(Table3[[#This Row],[Top Parent Account]]="",Table3[[#This Row],[Account Legal Name]],Table3[[#This Row],[Top Parent Account]])</f>
        <v>Celulares y Accesorios del Sureste S.A.</v>
      </c>
      <c r="H666" s="1"/>
    </row>
    <row r="667" spans="1:8" x14ac:dyDescent="0.35">
      <c r="A667" s="21"/>
      <c r="B667" t="s">
        <v>12</v>
      </c>
      <c r="C667" t="s">
        <v>6</v>
      </c>
      <c r="D667" t="s">
        <v>413</v>
      </c>
      <c r="F667" s="1">
        <v>46038</v>
      </c>
      <c r="G667" t="str">
        <f>IF(Table3[[#This Row],[Top Parent Account]]="",Table3[[#This Row],[Account Legal Name]],Table3[[#This Row],[Top Parent Account]])</f>
        <v>econoflete fletes y mudanzas</v>
      </c>
      <c r="H667" s="1"/>
    </row>
    <row r="668" spans="1:8" x14ac:dyDescent="0.35">
      <c r="A668" s="21"/>
      <c r="B668" t="s">
        <v>28</v>
      </c>
      <c r="C668" t="s">
        <v>6</v>
      </c>
      <c r="D668" t="s">
        <v>899</v>
      </c>
      <c r="F668" s="1">
        <v>46038</v>
      </c>
      <c r="G668" t="str">
        <f>IF(Table3[[#This Row],[Top Parent Account]]="",Table3[[#This Row],[Account Legal Name]],Table3[[#This Row],[Top Parent Account]])</f>
        <v>GRUAS Y TRANSPORTES RENTERIA</v>
      </c>
      <c r="H668" s="1"/>
    </row>
    <row r="669" spans="1:8" x14ac:dyDescent="0.35">
      <c r="A669" s="21"/>
      <c r="B669" t="s">
        <v>121</v>
      </c>
      <c r="C669" t="s">
        <v>6</v>
      </c>
      <c r="D669" t="s">
        <v>232</v>
      </c>
      <c r="F669" s="1">
        <v>46038</v>
      </c>
      <c r="G669" t="str">
        <f>IF(Table3[[#This Row],[Top Parent Account]]="",Table3[[#This Row],[Account Legal Name]],Table3[[#This Row],[Top Parent Account]])</f>
        <v>Aro Asfaltos y Riegos de Occidente</v>
      </c>
      <c r="H669" s="1"/>
    </row>
    <row r="670" spans="1:8" x14ac:dyDescent="0.35">
      <c r="A670" s="21"/>
      <c r="B670" t="s">
        <v>12</v>
      </c>
      <c r="C670" t="s">
        <v>6</v>
      </c>
      <c r="D670" t="s">
        <v>1099</v>
      </c>
      <c r="F670" s="1">
        <v>46038</v>
      </c>
      <c r="G670" t="str">
        <f>IF(Table3[[#This Row],[Top Parent Account]]="",Table3[[#This Row],[Account Legal Name]],Table3[[#This Row],[Top Parent Account]])</f>
        <v>EMPACADORA GRUMA DEL SURESTE</v>
      </c>
      <c r="H670" s="1"/>
    </row>
    <row r="671" spans="1:8" x14ac:dyDescent="0.35">
      <c r="A671" s="21"/>
      <c r="B671" t="s">
        <v>1511</v>
      </c>
      <c r="C671" t="s">
        <v>22</v>
      </c>
      <c r="D671" t="s">
        <v>3444</v>
      </c>
      <c r="F671" s="1">
        <v>46038</v>
      </c>
      <c r="G671" t="str">
        <f>IF(Table3[[#This Row],[Top Parent Account]]="",Table3[[#This Row],[Account Legal Name]],Table3[[#This Row],[Top Parent Account]])</f>
        <v>Madero Equipos De Ordeño</v>
      </c>
      <c r="H671" s="1"/>
    </row>
    <row r="672" spans="1:8" x14ac:dyDescent="0.35">
      <c r="A672" s="21"/>
      <c r="B672" t="s">
        <v>84</v>
      </c>
      <c r="C672" t="s">
        <v>193</v>
      </c>
      <c r="D672" t="s">
        <v>4667</v>
      </c>
      <c r="F672" s="1">
        <v>46038</v>
      </c>
      <c r="G672" t="str">
        <f>IF(Table3[[#This Row],[Top Parent Account]]="",Table3[[#This Row],[Account Legal Name]],Table3[[#This Row],[Top Parent Account]])</f>
        <v>Cedinor</v>
      </c>
      <c r="H672" s="1"/>
    </row>
    <row r="673" spans="1:8" x14ac:dyDescent="0.35">
      <c r="A673" s="21"/>
      <c r="B673" t="s">
        <v>1511</v>
      </c>
      <c r="C673" t="s">
        <v>22</v>
      </c>
      <c r="D673" t="s">
        <v>1913</v>
      </c>
      <c r="F673" s="1">
        <v>46038</v>
      </c>
      <c r="G673" t="str">
        <f>IF(Table3[[#This Row],[Top Parent Account]]="",Table3[[#This Row],[Account Legal Name]],Table3[[#This Row],[Top Parent Account]])</f>
        <v>SALERI MEXICO</v>
      </c>
      <c r="H673" s="1"/>
    </row>
    <row r="674" spans="1:8" x14ac:dyDescent="0.35">
      <c r="A674" s="21"/>
      <c r="B674" t="s">
        <v>1511</v>
      </c>
      <c r="C674" t="s">
        <v>22</v>
      </c>
      <c r="D674" t="s">
        <v>3559</v>
      </c>
      <c r="F674" s="1">
        <v>46038</v>
      </c>
      <c r="G674" t="str">
        <f>IF(Table3[[#This Row],[Top Parent Account]]="",Table3[[#This Row],[Account Legal Name]],Table3[[#This Row],[Top Parent Account]])</f>
        <v>Premaco Asfaltos Básicos</v>
      </c>
      <c r="H674" s="1"/>
    </row>
    <row r="675" spans="1:8" x14ac:dyDescent="0.35">
      <c r="A675" s="21"/>
      <c r="B675" t="s">
        <v>1511</v>
      </c>
      <c r="C675" t="s">
        <v>22</v>
      </c>
      <c r="D675" t="s">
        <v>4666</v>
      </c>
      <c r="F675" s="1">
        <v>46038</v>
      </c>
      <c r="G675" t="str">
        <f>IF(Table3[[#This Row],[Top Parent Account]]="",Table3[[#This Row],[Account Legal Name]],Table3[[#This Row],[Top Parent Account]])</f>
        <v>Troquelados y Laminados De Monterrey</v>
      </c>
      <c r="H675" s="1"/>
    </row>
    <row r="676" spans="1:8" x14ac:dyDescent="0.35">
      <c r="A676" s="21"/>
      <c r="B676" t="s">
        <v>10</v>
      </c>
      <c r="C676" t="s">
        <v>6</v>
      </c>
      <c r="D676" t="s">
        <v>359</v>
      </c>
      <c r="F676" s="1">
        <v>46038</v>
      </c>
      <c r="G676" t="str">
        <f>IF(Table3[[#This Row],[Top Parent Account]]="",Table3[[#This Row],[Account Legal Name]],Table3[[#This Row],[Top Parent Account]])</f>
        <v>Grupo Ampm</v>
      </c>
      <c r="H676" s="1"/>
    </row>
    <row r="677" spans="1:8" x14ac:dyDescent="0.35">
      <c r="A677" s="21"/>
      <c r="B677" t="s">
        <v>3092</v>
      </c>
      <c r="C677" t="s">
        <v>6</v>
      </c>
      <c r="D677" t="s">
        <v>4516</v>
      </c>
      <c r="F677" s="1">
        <v>46038</v>
      </c>
      <c r="G677" t="str">
        <f>IF(Table3[[#This Row],[Top Parent Account]]="",Table3[[#This Row],[Account Legal Name]],Table3[[#This Row],[Top Parent Account]])</f>
        <v>José Miguel García García</v>
      </c>
      <c r="H677" s="1"/>
    </row>
    <row r="678" spans="1:8" x14ac:dyDescent="0.35">
      <c r="A678" s="21"/>
      <c r="B678" t="s">
        <v>37</v>
      </c>
      <c r="C678" t="s">
        <v>6</v>
      </c>
      <c r="D678" t="s">
        <v>1489</v>
      </c>
      <c r="F678" s="1">
        <v>46038</v>
      </c>
      <c r="G678" t="str">
        <f>IF(Table3[[#This Row],[Top Parent Account]]="",Table3[[#This Row],[Account Legal Name]],Table3[[#This Row],[Top Parent Account]])</f>
        <v>Recicladora Cypa</v>
      </c>
      <c r="H678" s="1"/>
    </row>
    <row r="679" spans="1:8" x14ac:dyDescent="0.35">
      <c r="A679" s="21"/>
      <c r="B679" t="s">
        <v>121</v>
      </c>
      <c r="C679" t="s">
        <v>6</v>
      </c>
      <c r="D679" t="s">
        <v>1781</v>
      </c>
      <c r="F679" s="1">
        <v>46038</v>
      </c>
      <c r="G679" t="str">
        <f>IF(Table3[[#This Row],[Top Parent Account]]="",Table3[[#This Row],[Account Legal Name]],Table3[[#This Row],[Top Parent Account]])</f>
        <v>Kartell de México</v>
      </c>
      <c r="H679" s="1"/>
    </row>
    <row r="680" spans="1:8" x14ac:dyDescent="0.35">
      <c r="A680" s="21"/>
      <c r="B680" t="s">
        <v>169</v>
      </c>
      <c r="C680" t="s">
        <v>6</v>
      </c>
      <c r="D680" t="s">
        <v>4483</v>
      </c>
      <c r="F680" s="1">
        <v>46038</v>
      </c>
      <c r="G680" t="str">
        <f>IF(Table3[[#This Row],[Top Parent Account]]="",Table3[[#This Row],[Account Legal Name]],Table3[[#This Row],[Top Parent Account]])</f>
        <v>CAFE RITMO</v>
      </c>
      <c r="H680" s="1"/>
    </row>
    <row r="681" spans="1:8" x14ac:dyDescent="0.35">
      <c r="A681" s="21"/>
      <c r="B681" t="s">
        <v>12</v>
      </c>
      <c r="C681" t="s">
        <v>6</v>
      </c>
      <c r="D681" t="s">
        <v>2188</v>
      </c>
      <c r="F681" s="1">
        <v>46038</v>
      </c>
      <c r="G681" t="str">
        <f>IF(Table3[[#This Row],[Top Parent Account]]="",Table3[[#This Row],[Account Legal Name]],Table3[[#This Row],[Top Parent Account]])</f>
        <v>Metal Tec Industrial</v>
      </c>
      <c r="H681" s="1"/>
    </row>
    <row r="682" spans="1:8" x14ac:dyDescent="0.35">
      <c r="A682" s="21"/>
      <c r="B682" t="s">
        <v>88</v>
      </c>
      <c r="C682" t="s">
        <v>6</v>
      </c>
      <c r="D682" t="s">
        <v>4668</v>
      </c>
      <c r="F682" s="1">
        <v>46038</v>
      </c>
      <c r="G682" t="str">
        <f>IF(Table3[[#This Row],[Top Parent Account]]="",Table3[[#This Row],[Account Legal Name]],Table3[[#This Row],[Top Parent Account]])</f>
        <v>Grupo Agrícola SAMHER</v>
      </c>
      <c r="H682" s="1"/>
    </row>
    <row r="683" spans="1:8" x14ac:dyDescent="0.35">
      <c r="A683" s="21"/>
      <c r="B683" t="s">
        <v>43</v>
      </c>
      <c r="C683" t="s">
        <v>6</v>
      </c>
      <c r="D683" t="s">
        <v>2511</v>
      </c>
      <c r="F683" s="1">
        <v>46038</v>
      </c>
      <c r="G683" t="str">
        <f>IF(Table3[[#This Row],[Top Parent Account]]="",Table3[[#This Row],[Account Legal Name]],Table3[[#This Row],[Top Parent Account]])</f>
        <v>Rancho Aguamarina</v>
      </c>
      <c r="H683" s="1"/>
    </row>
    <row r="684" spans="1:8" x14ac:dyDescent="0.35">
      <c r="A684" s="21"/>
      <c r="B684" t="s">
        <v>24</v>
      </c>
      <c r="C684" t="s">
        <v>6</v>
      </c>
      <c r="D684" t="s">
        <v>4669</v>
      </c>
      <c r="F684" s="1">
        <v>46038</v>
      </c>
      <c r="G684" t="str">
        <f>IF(Table3[[#This Row],[Top Parent Account]]="",Table3[[#This Row],[Account Legal Name]],Table3[[#This Row],[Top Parent Account]])</f>
        <v>Hielo Antartic</v>
      </c>
      <c r="H684" s="1"/>
    </row>
    <row r="685" spans="1:8" x14ac:dyDescent="0.35">
      <c r="A685" s="21"/>
      <c r="B685" t="s">
        <v>38</v>
      </c>
      <c r="C685" t="s">
        <v>6</v>
      </c>
      <c r="D685" t="s">
        <v>4702</v>
      </c>
      <c r="F685" s="1">
        <v>46038</v>
      </c>
      <c r="G685" t="str">
        <f>IF(Table3[[#This Row],[Top Parent Account]]="",Table3[[#This Row],[Account Legal Name]],Table3[[#This Row],[Top Parent Account]])</f>
        <v>International Commodities de México</v>
      </c>
      <c r="H685" s="1"/>
    </row>
    <row r="686" spans="1:8" x14ac:dyDescent="0.35">
      <c r="A686" s="21"/>
      <c r="B686" t="s">
        <v>26</v>
      </c>
      <c r="C686" t="s">
        <v>6</v>
      </c>
      <c r="D686" t="s">
        <v>1487</v>
      </c>
      <c r="F686" s="1">
        <v>46038</v>
      </c>
      <c r="G686" t="str">
        <f>IF(Table3[[#This Row],[Top Parent Account]]="",Table3[[#This Row],[Account Legal Name]],Table3[[#This Row],[Top Parent Account]])</f>
        <v>Leonali</v>
      </c>
      <c r="H686" s="1"/>
    </row>
    <row r="687" spans="1:8" x14ac:dyDescent="0.35">
      <c r="A687" s="21"/>
      <c r="B687" t="s">
        <v>37</v>
      </c>
      <c r="C687" t="s">
        <v>6</v>
      </c>
      <c r="D687" t="s">
        <v>4630</v>
      </c>
      <c r="F687" s="1">
        <v>46037</v>
      </c>
      <c r="G687" t="str">
        <f>IF(Table3[[#This Row],[Top Parent Account]]="",Table3[[#This Row],[Account Legal Name]],Table3[[#This Row],[Top Parent Account]])</f>
        <v>Just Labels de México</v>
      </c>
      <c r="H687" s="1"/>
    </row>
    <row r="688" spans="1:8" x14ac:dyDescent="0.35">
      <c r="A688" s="21"/>
      <c r="B688" t="s">
        <v>3093</v>
      </c>
      <c r="C688" t="s">
        <v>22</v>
      </c>
      <c r="D688" t="s">
        <v>4631</v>
      </c>
      <c r="F688" s="1">
        <v>46037</v>
      </c>
      <c r="G688" t="str">
        <f>IF(Table3[[#This Row],[Top Parent Account]]="",Table3[[#This Row],[Account Legal Name]],Table3[[#This Row],[Top Parent Account]])</f>
        <v>Klein Tools de México</v>
      </c>
      <c r="H688" s="1"/>
    </row>
    <row r="689" spans="1:8" x14ac:dyDescent="0.35">
      <c r="A689" s="21"/>
      <c r="B689" t="s">
        <v>84</v>
      </c>
      <c r="C689" t="s">
        <v>193</v>
      </c>
      <c r="D689" t="s">
        <v>2223</v>
      </c>
      <c r="F689" s="1">
        <v>46037</v>
      </c>
      <c r="G689" t="str">
        <f>IF(Table3[[#This Row],[Top Parent Account]]="",Table3[[#This Row],[Account Legal Name]],Table3[[#This Row],[Top Parent Account]])</f>
        <v>Leon Plastics automotive de mexico</v>
      </c>
      <c r="H689" s="1"/>
    </row>
    <row r="690" spans="1:8" x14ac:dyDescent="0.35">
      <c r="A690" s="21"/>
      <c r="B690" t="s">
        <v>121</v>
      </c>
      <c r="C690" t="s">
        <v>6</v>
      </c>
      <c r="D690" t="s">
        <v>4670</v>
      </c>
      <c r="F690" s="1">
        <v>46037</v>
      </c>
      <c r="G690" t="str">
        <f>IF(Table3[[#This Row],[Top Parent Account]]="",Table3[[#This Row],[Account Legal Name]],Table3[[#This Row],[Top Parent Account]])</f>
        <v>Ignacio manuel godinez herrera</v>
      </c>
      <c r="H690" s="1"/>
    </row>
    <row r="691" spans="1:8" x14ac:dyDescent="0.35">
      <c r="A691" s="21"/>
      <c r="B691" t="s">
        <v>32</v>
      </c>
      <c r="C691" t="s">
        <v>6</v>
      </c>
      <c r="D691" t="s">
        <v>4671</v>
      </c>
      <c r="E691" t="s">
        <v>4672</v>
      </c>
      <c r="F691" s="1">
        <v>46037</v>
      </c>
      <c r="G691" t="str">
        <f>IF(Table3[[#This Row],[Top Parent Account]]="",Table3[[#This Row],[Account Legal Name]],Table3[[#This Row],[Top Parent Account]])</f>
        <v>Caramelos Don Picoso</v>
      </c>
      <c r="H691" s="1"/>
    </row>
    <row r="692" spans="1:8" x14ac:dyDescent="0.35">
      <c r="A692" s="21"/>
      <c r="B692" t="s">
        <v>39</v>
      </c>
      <c r="C692" t="s">
        <v>4632</v>
      </c>
      <c r="D692" t="s">
        <v>523</v>
      </c>
      <c r="F692" s="1">
        <v>46037</v>
      </c>
      <c r="G692" t="str">
        <f>IF(Table3[[#This Row],[Top Parent Account]]="",Table3[[#This Row],[Account Legal Name]],Table3[[#This Row],[Top Parent Account]])</f>
        <v>Aluminio de Baja California</v>
      </c>
      <c r="H692" s="1"/>
    </row>
    <row r="693" spans="1:8" x14ac:dyDescent="0.35">
      <c r="A693" s="21"/>
      <c r="B693" t="s">
        <v>37</v>
      </c>
      <c r="C693" t="s">
        <v>6</v>
      </c>
      <c r="D693" t="s">
        <v>4678</v>
      </c>
      <c r="F693" s="1">
        <v>46037</v>
      </c>
      <c r="G693" t="str">
        <f>IF(Table3[[#This Row],[Top Parent Account]]="",Table3[[#This Row],[Account Legal Name]],Table3[[#This Row],[Top Parent Account]])</f>
        <v>CAMIONES TRS</v>
      </c>
      <c r="H693" s="1"/>
    </row>
    <row r="694" spans="1:8" x14ac:dyDescent="0.35">
      <c r="A694" s="21"/>
      <c r="B694" t="s">
        <v>932</v>
      </c>
      <c r="C694" t="s">
        <v>6</v>
      </c>
      <c r="D694" t="s">
        <v>3854</v>
      </c>
      <c r="F694" s="1">
        <v>46037</v>
      </c>
      <c r="G694" t="str">
        <f>IF(Table3[[#This Row],[Top Parent Account]]="",Table3[[#This Row],[Account Legal Name]],Table3[[#This Row],[Top Parent Account]])</f>
        <v>Hospitales H</v>
      </c>
      <c r="H694" s="1"/>
    </row>
    <row r="695" spans="1:8" x14ac:dyDescent="0.35">
      <c r="A695" s="21"/>
      <c r="B695" t="s">
        <v>121</v>
      </c>
      <c r="C695" t="s">
        <v>6</v>
      </c>
      <c r="D695" t="s">
        <v>835</v>
      </c>
      <c r="F695" s="1">
        <v>46037</v>
      </c>
      <c r="G695" t="str">
        <f>IF(Table3[[#This Row],[Top Parent Account]]="",Table3[[#This Row],[Account Legal Name]],Table3[[#This Row],[Top Parent Account]])</f>
        <v>Desarrolladora de Energía Global</v>
      </c>
      <c r="H695" s="1"/>
    </row>
    <row r="696" spans="1:8" x14ac:dyDescent="0.35">
      <c r="A696" s="21"/>
      <c r="B696" t="s">
        <v>932</v>
      </c>
      <c r="C696" t="s">
        <v>6</v>
      </c>
      <c r="D696" t="s">
        <v>2373</v>
      </c>
      <c r="F696" s="1">
        <v>46037</v>
      </c>
      <c r="G696" t="str">
        <f>IF(Table3[[#This Row],[Top Parent Account]]="",Table3[[#This Row],[Account Legal Name]],Table3[[#This Row],[Top Parent Account]])</f>
        <v>Hospitales Familiares</v>
      </c>
      <c r="H696" s="1"/>
    </row>
    <row r="697" spans="1:8" x14ac:dyDescent="0.35">
      <c r="A697" s="21"/>
      <c r="B697" t="s">
        <v>3114</v>
      </c>
      <c r="C697" t="s">
        <v>52</v>
      </c>
      <c r="D697" t="s">
        <v>4673</v>
      </c>
      <c r="F697" s="1">
        <v>46037</v>
      </c>
      <c r="G697" t="str">
        <f>IF(Table3[[#This Row],[Top Parent Account]]="",Table3[[#This Row],[Account Legal Name]],Table3[[#This Row],[Top Parent Account]])</f>
        <v>Internacional De Aceros Termicos</v>
      </c>
      <c r="H697" s="1"/>
    </row>
    <row r="698" spans="1:8" x14ac:dyDescent="0.35">
      <c r="A698" s="21"/>
      <c r="B698" t="s">
        <v>3182</v>
      </c>
      <c r="C698" t="s">
        <v>22</v>
      </c>
      <c r="D698" t="s">
        <v>427</v>
      </c>
      <c r="E698" t="s">
        <v>63</v>
      </c>
      <c r="F698" s="1">
        <v>46037</v>
      </c>
      <c r="G698" t="str">
        <f>IF(Table3[[#This Row],[Top Parent Account]]="",Table3[[#This Row],[Account Legal Name]],Table3[[#This Row],[Top Parent Account]])</f>
        <v>General Electric México</v>
      </c>
      <c r="H698" s="1"/>
    </row>
    <row r="699" spans="1:8" x14ac:dyDescent="0.35">
      <c r="A699" s="21"/>
      <c r="B699" t="s">
        <v>2912</v>
      </c>
      <c r="C699" t="s">
        <v>6</v>
      </c>
      <c r="D699" t="s">
        <v>4679</v>
      </c>
      <c r="E699" t="s">
        <v>3327</v>
      </c>
      <c r="F699" s="1">
        <v>46037</v>
      </c>
      <c r="G699" t="str">
        <f>IF(Table3[[#This Row],[Top Parent Account]]="",Table3[[#This Row],[Account Legal Name]],Table3[[#This Row],[Top Parent Account]])</f>
        <v>Akzo Nobel Chemicals</v>
      </c>
      <c r="H699" s="1"/>
    </row>
    <row r="700" spans="1:8" x14ac:dyDescent="0.35">
      <c r="A700" s="21"/>
      <c r="B700" t="s">
        <v>1511</v>
      </c>
      <c r="C700" t="s">
        <v>22</v>
      </c>
      <c r="D700" t="s">
        <v>3173</v>
      </c>
      <c r="F700" s="1">
        <v>46037</v>
      </c>
      <c r="G700" t="str">
        <f>IF(Table3[[#This Row],[Top Parent Account]]="",Table3[[#This Row],[Account Legal Name]],Table3[[#This Row],[Top Parent Account]])</f>
        <v>Toreo Motors</v>
      </c>
      <c r="H700" s="1"/>
    </row>
    <row r="701" spans="1:8" x14ac:dyDescent="0.35">
      <c r="A701" s="21"/>
      <c r="B701" t="s">
        <v>3114</v>
      </c>
      <c r="C701" t="s">
        <v>52</v>
      </c>
      <c r="D701" t="s">
        <v>1098</v>
      </c>
      <c r="F701" s="1">
        <v>46037</v>
      </c>
      <c r="G701" t="str">
        <f>IF(Table3[[#This Row],[Top Parent Account]]="",Table3[[#This Row],[Account Legal Name]],Table3[[#This Row],[Top Parent Account]])</f>
        <v>Asesoria Y Diseño Mecanico</v>
      </c>
      <c r="H701" s="1"/>
    </row>
    <row r="702" spans="1:8" x14ac:dyDescent="0.35">
      <c r="A702" s="21"/>
      <c r="B702" t="s">
        <v>2658</v>
      </c>
      <c r="C702" t="s">
        <v>6</v>
      </c>
      <c r="D702" t="s">
        <v>4665</v>
      </c>
      <c r="F702" s="1">
        <v>46037</v>
      </c>
      <c r="G702" t="str">
        <f>IF(Table3[[#This Row],[Top Parent Account]]="",Table3[[#This Row],[Account Legal Name]],Table3[[#This Row],[Top Parent Account]])</f>
        <v>Qpn Monterrey</v>
      </c>
      <c r="H702" s="1"/>
    </row>
    <row r="703" spans="1:8" x14ac:dyDescent="0.35">
      <c r="A703" s="21"/>
      <c r="B703" t="s">
        <v>925</v>
      </c>
      <c r="C703" t="s">
        <v>6</v>
      </c>
      <c r="D703" t="s">
        <v>3939</v>
      </c>
      <c r="F703" s="1">
        <v>46037</v>
      </c>
      <c r="G703" t="str">
        <f>IF(Table3[[#This Row],[Top Parent Account]]="",Table3[[#This Row],[Account Legal Name]],Table3[[#This Row],[Top Parent Account]])</f>
        <v>Mccain México</v>
      </c>
      <c r="H703" s="1"/>
    </row>
    <row r="704" spans="1:8" x14ac:dyDescent="0.35">
      <c r="A704" s="21"/>
      <c r="B704" t="s">
        <v>3553</v>
      </c>
      <c r="C704" t="s">
        <v>6</v>
      </c>
      <c r="D704" t="s">
        <v>4633</v>
      </c>
      <c r="F704" s="1">
        <v>46037</v>
      </c>
      <c r="G704" t="str">
        <f>IF(Table3[[#This Row],[Top Parent Account]]="",Table3[[#This Row],[Account Legal Name]],Table3[[#This Row],[Top Parent Account]])</f>
        <v>Beat Meetings</v>
      </c>
      <c r="H704" s="1"/>
    </row>
    <row r="705" spans="1:8" x14ac:dyDescent="0.35">
      <c r="A705" s="21"/>
      <c r="B705" t="s">
        <v>39</v>
      </c>
      <c r="C705" t="s">
        <v>4634</v>
      </c>
      <c r="D705" t="s">
        <v>2537</v>
      </c>
      <c r="F705" s="1">
        <v>46037</v>
      </c>
      <c r="G705" t="str">
        <f>IF(Table3[[#This Row],[Top Parent Account]]="",Table3[[#This Row],[Account Legal Name]],Table3[[#This Row],[Top Parent Account]])</f>
        <v>Salsas Castillo</v>
      </c>
      <c r="H705" s="1"/>
    </row>
    <row r="706" spans="1:8" x14ac:dyDescent="0.35">
      <c r="A706" s="21"/>
      <c r="B706" t="s">
        <v>23</v>
      </c>
      <c r="C706" t="s">
        <v>6</v>
      </c>
      <c r="D706" t="s">
        <v>4674</v>
      </c>
      <c r="F706" s="1">
        <v>46037</v>
      </c>
      <c r="G706" t="str">
        <f>IF(Table3[[#This Row],[Top Parent Account]]="",Table3[[#This Row],[Account Legal Name]],Table3[[#This Row],[Top Parent Account]])</f>
        <v>OPERADORA RIJO TL</v>
      </c>
      <c r="H706" s="1"/>
    </row>
    <row r="707" spans="1:8" x14ac:dyDescent="0.35">
      <c r="A707" s="21"/>
      <c r="B707" t="s">
        <v>88</v>
      </c>
      <c r="C707" t="s">
        <v>6</v>
      </c>
      <c r="D707" t="s">
        <v>4635</v>
      </c>
      <c r="F707" s="1">
        <v>46037</v>
      </c>
      <c r="G707" t="str">
        <f>IF(Table3[[#This Row],[Top Parent Account]]="",Table3[[#This Row],[Account Legal Name]],Table3[[#This Row],[Top Parent Account]])</f>
        <v>Soluciones Integrales en codificación marcaje y etiquetado</v>
      </c>
      <c r="H707" s="1"/>
    </row>
    <row r="708" spans="1:8" x14ac:dyDescent="0.35">
      <c r="A708" s="21"/>
      <c r="B708" t="s">
        <v>38</v>
      </c>
      <c r="C708" t="s">
        <v>6</v>
      </c>
      <c r="D708" t="s">
        <v>3154</v>
      </c>
      <c r="F708" s="1">
        <v>46037</v>
      </c>
      <c r="G708" t="str">
        <f>IF(Table3[[#This Row],[Top Parent Account]]="",Table3[[#This Row],[Account Legal Name]],Table3[[#This Row],[Top Parent Account]])</f>
        <v>ANDRITZ FABRICS AND ROLLS</v>
      </c>
      <c r="H708" s="1"/>
    </row>
    <row r="709" spans="1:8" x14ac:dyDescent="0.35">
      <c r="A709" s="21"/>
      <c r="B709" t="s">
        <v>2658</v>
      </c>
      <c r="C709" t="s">
        <v>6</v>
      </c>
      <c r="D709" t="s">
        <v>4636</v>
      </c>
      <c r="F709" s="1">
        <v>46037</v>
      </c>
      <c r="G709" t="str">
        <f>IF(Table3[[#This Row],[Top Parent Account]]="",Table3[[#This Row],[Account Legal Name]],Table3[[#This Row],[Top Parent Account]])</f>
        <v>FLETES 3H</v>
      </c>
      <c r="H709" s="1"/>
    </row>
    <row r="710" spans="1:8" x14ac:dyDescent="0.35">
      <c r="A710" s="21"/>
      <c r="B710" t="s">
        <v>24</v>
      </c>
      <c r="C710" t="s">
        <v>6</v>
      </c>
      <c r="D710" t="s">
        <v>4637</v>
      </c>
      <c r="E710" t="s">
        <v>4638</v>
      </c>
      <c r="F710" s="1">
        <v>46037</v>
      </c>
      <c r="G710" t="str">
        <f>IF(Table3[[#This Row],[Top Parent Account]]="",Table3[[#This Row],[Account Legal Name]],Table3[[#This Row],[Top Parent Account]])</f>
        <v>Grupo Denker</v>
      </c>
      <c r="H710" s="1"/>
    </row>
    <row r="711" spans="1:8" x14ac:dyDescent="0.35">
      <c r="A711" s="21"/>
      <c r="B711" t="s">
        <v>88</v>
      </c>
      <c r="C711" t="s">
        <v>6</v>
      </c>
      <c r="D711" t="s">
        <v>4639</v>
      </c>
      <c r="F711" s="1">
        <v>46036</v>
      </c>
      <c r="G711" t="str">
        <f>IF(Table3[[#This Row],[Top Parent Account]]="",Table3[[#This Row],[Account Legal Name]],Table3[[#This Row],[Top Parent Account]])</f>
        <v>Procoydiplastic</v>
      </c>
      <c r="H711" s="1"/>
    </row>
    <row r="712" spans="1:8" x14ac:dyDescent="0.35">
      <c r="A712" s="21"/>
      <c r="B712" t="s">
        <v>37</v>
      </c>
      <c r="C712" t="s">
        <v>6</v>
      </c>
      <c r="D712" t="s">
        <v>499</v>
      </c>
      <c r="F712" s="1">
        <v>46036</v>
      </c>
      <c r="G712" t="str">
        <f>IF(Table3[[#This Row],[Top Parent Account]]="",Table3[[#This Row],[Account Legal Name]],Table3[[#This Row],[Top Parent Account]])</f>
        <v>LILIANA LIZETH LEON MARTINEZ</v>
      </c>
      <c r="H712" s="1"/>
    </row>
    <row r="713" spans="1:8" x14ac:dyDescent="0.35">
      <c r="A713" s="21"/>
      <c r="B713" t="s">
        <v>169</v>
      </c>
      <c r="C713" t="s">
        <v>6</v>
      </c>
      <c r="D713" t="s">
        <v>4640</v>
      </c>
      <c r="F713" s="1">
        <v>46036</v>
      </c>
      <c r="G713" t="str">
        <f>IF(Table3[[#This Row],[Top Parent Account]]="",Table3[[#This Row],[Account Legal Name]],Table3[[#This Row],[Top Parent Account]])</f>
        <v>MITZY NALLELY BARRIOS CUEVAS</v>
      </c>
      <c r="H713" s="1"/>
    </row>
    <row r="714" spans="1:8" x14ac:dyDescent="0.35">
      <c r="A714" s="21"/>
      <c r="B714" t="s">
        <v>3628</v>
      </c>
      <c r="C714" t="s">
        <v>6</v>
      </c>
      <c r="D714" t="s">
        <v>4641</v>
      </c>
      <c r="F714" s="1">
        <v>46036</v>
      </c>
      <c r="G714" t="str">
        <f>IF(Table3[[#This Row],[Top Parent Account]]="",Table3[[#This Row],[Account Legal Name]],Table3[[#This Row],[Top Parent Account]])</f>
        <v>Industrias Vermont</v>
      </c>
      <c r="H714" s="1"/>
    </row>
    <row r="715" spans="1:8" x14ac:dyDescent="0.35">
      <c r="A715" s="21"/>
      <c r="B715" t="s">
        <v>4472</v>
      </c>
      <c r="C715" t="s">
        <v>6</v>
      </c>
      <c r="D715" t="s">
        <v>2952</v>
      </c>
      <c r="F715" s="1">
        <v>46036</v>
      </c>
      <c r="G715" t="str">
        <f>IF(Table3[[#This Row],[Top Parent Account]]="",Table3[[#This Row],[Account Legal Name]],Table3[[#This Row],[Top Parent Account]])</f>
        <v>Semiremolques El paisano</v>
      </c>
      <c r="H715" s="1"/>
    </row>
    <row r="716" spans="1:8" x14ac:dyDescent="0.35">
      <c r="A716" s="21"/>
      <c r="B716" t="s">
        <v>88</v>
      </c>
      <c r="C716" t="s">
        <v>6</v>
      </c>
      <c r="D716" t="s">
        <v>4642</v>
      </c>
      <c r="F716" s="1">
        <v>46036</v>
      </c>
      <c r="G716" t="str">
        <f>IF(Table3[[#This Row],[Top Parent Account]]="",Table3[[#This Row],[Account Legal Name]],Table3[[#This Row],[Top Parent Account]])</f>
        <v>Plásticos del Golfo Sur</v>
      </c>
      <c r="H716" s="1"/>
    </row>
    <row r="717" spans="1:8" x14ac:dyDescent="0.35">
      <c r="A717" s="21"/>
      <c r="B717" t="s">
        <v>3553</v>
      </c>
      <c r="C717" t="s">
        <v>6</v>
      </c>
      <c r="D717" t="s">
        <v>4643</v>
      </c>
      <c r="F717" s="1">
        <v>46036</v>
      </c>
      <c r="G717" t="str">
        <f>IF(Table3[[#This Row],[Top Parent Account]]="",Table3[[#This Row],[Account Legal Name]],Table3[[#This Row],[Top Parent Account]])</f>
        <v>Geek Vibes</v>
      </c>
      <c r="H717" s="1"/>
    </row>
    <row r="718" spans="1:8" x14ac:dyDescent="0.35">
      <c r="A718" s="21"/>
      <c r="B718" t="s">
        <v>3114</v>
      </c>
      <c r="C718" t="s">
        <v>52</v>
      </c>
      <c r="D718" t="s">
        <v>3989</v>
      </c>
      <c r="F718" s="1">
        <v>46036</v>
      </c>
      <c r="G718" t="str">
        <f>IF(Table3[[#This Row],[Top Parent Account]]="",Table3[[#This Row],[Account Legal Name]],Table3[[#This Row],[Top Parent Account]])</f>
        <v>Artigraf</v>
      </c>
      <c r="H718" s="1"/>
    </row>
    <row r="719" spans="1:8" x14ac:dyDescent="0.35">
      <c r="A719" s="21"/>
      <c r="B719" t="s">
        <v>121</v>
      </c>
      <c r="C719" t="s">
        <v>6</v>
      </c>
      <c r="D719" t="s">
        <v>4675</v>
      </c>
      <c r="F719" s="1">
        <v>46036</v>
      </c>
      <c r="G719" t="str">
        <f>IF(Table3[[#This Row],[Top Parent Account]]="",Table3[[#This Row],[Account Legal Name]],Table3[[#This Row],[Top Parent Account]])</f>
        <v>Isaosa</v>
      </c>
      <c r="H719" s="1"/>
    </row>
    <row r="720" spans="1:8" x14ac:dyDescent="0.35">
      <c r="A720" s="21"/>
      <c r="B720" t="s">
        <v>1511</v>
      </c>
      <c r="C720" t="s">
        <v>22</v>
      </c>
      <c r="D720" t="s">
        <v>3259</v>
      </c>
      <c r="F720" s="1">
        <v>46036</v>
      </c>
      <c r="G720" t="str">
        <f>IF(Table3[[#This Row],[Top Parent Account]]="",Table3[[#This Row],[Account Legal Name]],Table3[[#This Row],[Top Parent Account]])</f>
        <v>GREENBRICK</v>
      </c>
      <c r="H720" s="1"/>
    </row>
    <row r="721" spans="1:8" x14ac:dyDescent="0.35">
      <c r="A721" s="21"/>
      <c r="B721" t="s">
        <v>116</v>
      </c>
      <c r="C721" t="s">
        <v>6</v>
      </c>
      <c r="D721" t="s">
        <v>3903</v>
      </c>
      <c r="F721" s="1">
        <v>46036</v>
      </c>
      <c r="G721" t="str">
        <f>IF(Table3[[#This Row],[Top Parent Account]]="",Table3[[#This Row],[Account Legal Name]],Table3[[#This Row],[Top Parent Account]])</f>
        <v>Gerresheimer Queretaro</v>
      </c>
      <c r="H721" s="1"/>
    </row>
    <row r="722" spans="1:8" x14ac:dyDescent="0.35">
      <c r="A722" s="21"/>
      <c r="B722" t="s">
        <v>208</v>
      </c>
      <c r="C722" t="s">
        <v>6</v>
      </c>
      <c r="D722" t="s">
        <v>4645</v>
      </c>
      <c r="F722" s="1">
        <v>46036</v>
      </c>
      <c r="G722" t="str">
        <f>IF(Table3[[#This Row],[Top Parent Account]]="",Table3[[#This Row],[Account Legal Name]],Table3[[#This Row],[Top Parent Account]])</f>
        <v>A3E Ingenieros Especialistas En Energía Eléctrica</v>
      </c>
      <c r="H722" s="1"/>
    </row>
    <row r="723" spans="1:8" x14ac:dyDescent="0.35">
      <c r="A723" s="21"/>
      <c r="B723" t="s">
        <v>24</v>
      </c>
      <c r="C723" t="s">
        <v>6</v>
      </c>
      <c r="D723" t="s">
        <v>4293</v>
      </c>
      <c r="F723" s="1">
        <v>46036</v>
      </c>
      <c r="G723" t="str">
        <f>IF(Table3[[#This Row],[Top Parent Account]]="",Table3[[#This Row],[Account Legal Name]],Table3[[#This Row],[Top Parent Account]])</f>
        <v>BIOGOLD</v>
      </c>
      <c r="H723" s="1"/>
    </row>
    <row r="724" spans="1:8" x14ac:dyDescent="0.35">
      <c r="A724" s="21"/>
      <c r="B724" t="s">
        <v>43</v>
      </c>
      <c r="C724" t="s">
        <v>6</v>
      </c>
      <c r="D724" t="s">
        <v>361</v>
      </c>
      <c r="F724" s="1">
        <v>46036</v>
      </c>
      <c r="G724" t="str">
        <f>IF(Table3[[#This Row],[Top Parent Account]]="",Table3[[#This Row],[Account Legal Name]],Table3[[#This Row],[Top Parent Account]])</f>
        <v>Blue Tissue</v>
      </c>
      <c r="H724" s="1"/>
    </row>
    <row r="725" spans="1:8" x14ac:dyDescent="0.35">
      <c r="A725" s="21"/>
      <c r="B725" t="s">
        <v>3092</v>
      </c>
      <c r="C725" t="s">
        <v>6</v>
      </c>
      <c r="D725" t="s">
        <v>4644</v>
      </c>
      <c r="F725" s="1">
        <v>46036</v>
      </c>
      <c r="G725" t="str">
        <f>IF(Table3[[#This Row],[Top Parent Account]]="",Table3[[#This Row],[Account Legal Name]],Table3[[#This Row],[Top Parent Account]])</f>
        <v>Representaciones Cyecsa</v>
      </c>
      <c r="H725" s="1"/>
    </row>
    <row r="726" spans="1:8" x14ac:dyDescent="0.35">
      <c r="A726" s="21"/>
      <c r="B726" t="s">
        <v>925</v>
      </c>
      <c r="C726" t="s">
        <v>6</v>
      </c>
      <c r="D726" t="s">
        <v>4646</v>
      </c>
      <c r="F726" s="1">
        <v>46036</v>
      </c>
      <c r="G726" t="str">
        <f>IF(Table3[[#This Row],[Top Parent Account]]="",Table3[[#This Row],[Account Legal Name]],Table3[[#This Row],[Top Parent Account]])</f>
        <v>Schoeller Allibert International México</v>
      </c>
      <c r="H726" s="1"/>
    </row>
    <row r="727" spans="1:8" x14ac:dyDescent="0.35">
      <c r="A727" s="21"/>
      <c r="B727" t="s">
        <v>3182</v>
      </c>
      <c r="C727" t="s">
        <v>22</v>
      </c>
      <c r="D727" t="s">
        <v>4480</v>
      </c>
      <c r="F727" s="1">
        <v>46036</v>
      </c>
      <c r="G727" t="str">
        <f>IF(Table3[[#This Row],[Top Parent Account]]="",Table3[[#This Row],[Account Legal Name]],Table3[[#This Row],[Top Parent Account]])</f>
        <v>MYSOFT GLOBAL</v>
      </c>
      <c r="H727" s="1"/>
    </row>
    <row r="728" spans="1:8" x14ac:dyDescent="0.35">
      <c r="A728" s="21"/>
      <c r="B728" t="s">
        <v>3092</v>
      </c>
      <c r="C728" t="s">
        <v>22</v>
      </c>
      <c r="D728" t="s">
        <v>4117</v>
      </c>
      <c r="F728" s="1">
        <v>46036</v>
      </c>
      <c r="G728" t="str">
        <f>IF(Table3[[#This Row],[Top Parent Account]]="",Table3[[#This Row],[Account Legal Name]],Table3[[#This Row],[Top Parent Account]])</f>
        <v>UNIVERSIDAD LICEO CERVANTINO</v>
      </c>
      <c r="H728" s="1"/>
    </row>
    <row r="729" spans="1:8" x14ac:dyDescent="0.35">
      <c r="A729" s="21"/>
      <c r="B729" t="s">
        <v>3114</v>
      </c>
      <c r="C729" t="s">
        <v>52</v>
      </c>
      <c r="D729" t="s">
        <v>3194</v>
      </c>
      <c r="F729" s="1">
        <v>46036</v>
      </c>
      <c r="G729" t="str">
        <f>IF(Table3[[#This Row],[Top Parent Account]]="",Table3[[#This Row],[Account Legal Name]],Table3[[#This Row],[Top Parent Account]])</f>
        <v>Star Del Norte</v>
      </c>
      <c r="H729" s="1"/>
    </row>
    <row r="730" spans="1:8" x14ac:dyDescent="0.35">
      <c r="A730" s="21"/>
      <c r="B730" t="s">
        <v>116</v>
      </c>
      <c r="C730" t="s">
        <v>6</v>
      </c>
      <c r="D730" t="s">
        <v>3297</v>
      </c>
      <c r="F730" s="1">
        <v>46036</v>
      </c>
      <c r="G730" t="str">
        <f>IF(Table3[[#This Row],[Top Parent Account]]="",Table3[[#This Row],[Account Legal Name]],Table3[[#This Row],[Top Parent Account]])</f>
        <v>Productos Sane Chapala</v>
      </c>
      <c r="H730" s="1"/>
    </row>
    <row r="731" spans="1:8" x14ac:dyDescent="0.35">
      <c r="A731" s="21"/>
      <c r="B731" t="s">
        <v>51</v>
      </c>
      <c r="C731" t="s">
        <v>6</v>
      </c>
      <c r="D731" t="s">
        <v>4703</v>
      </c>
      <c r="F731" s="1">
        <v>46036</v>
      </c>
      <c r="G731" t="str">
        <f>IF(Table3[[#This Row],[Top Parent Account]]="",Table3[[#This Row],[Account Legal Name]],Table3[[#This Row],[Top Parent Account]])</f>
        <v>Instituto Tepeyac</v>
      </c>
      <c r="H731" s="1"/>
    </row>
    <row r="732" spans="1:8" x14ac:dyDescent="0.35">
      <c r="A732" s="21"/>
      <c r="B732" t="s">
        <v>3114</v>
      </c>
      <c r="C732" t="s">
        <v>52</v>
      </c>
      <c r="D732" t="s">
        <v>3741</v>
      </c>
      <c r="F732" s="1">
        <v>46036</v>
      </c>
      <c r="G732" t="str">
        <f>IF(Table3[[#This Row],[Top Parent Account]]="",Table3[[#This Row],[Account Legal Name]],Table3[[#This Row],[Top Parent Account]])</f>
        <v>Filtros y Mallas Industriales</v>
      </c>
      <c r="H732" s="1"/>
    </row>
    <row r="733" spans="1:8" x14ac:dyDescent="0.35">
      <c r="A733" s="21"/>
      <c r="B733" t="s">
        <v>24</v>
      </c>
      <c r="C733" t="s">
        <v>6</v>
      </c>
      <c r="D733" t="s">
        <v>4375</v>
      </c>
      <c r="F733" s="1">
        <v>46036</v>
      </c>
      <c r="G733" t="str">
        <f>IF(Table3[[#This Row],[Top Parent Account]]="",Table3[[#This Row],[Account Legal Name]],Table3[[#This Row],[Top Parent Account]])</f>
        <v>Grupo Cdex</v>
      </c>
      <c r="H733" s="1"/>
    </row>
    <row r="734" spans="1:8" x14ac:dyDescent="0.35">
      <c r="A734" s="21"/>
      <c r="B734" t="s">
        <v>925</v>
      </c>
      <c r="C734" t="s">
        <v>6</v>
      </c>
      <c r="D734" t="s">
        <v>2957</v>
      </c>
      <c r="F734" s="1">
        <v>46036</v>
      </c>
      <c r="G734" t="str">
        <f>IF(Table3[[#This Row],[Top Parent Account]]="",Table3[[#This Row],[Account Legal Name]],Table3[[#This Row],[Top Parent Account]])</f>
        <v>Somaki de México</v>
      </c>
      <c r="H734" s="1"/>
    </row>
    <row r="735" spans="1:8" x14ac:dyDescent="0.35">
      <c r="A735" s="21"/>
      <c r="B735" t="s">
        <v>3182</v>
      </c>
      <c r="C735" t="s">
        <v>6</v>
      </c>
      <c r="D735" t="s">
        <v>4680</v>
      </c>
      <c r="F735" s="1">
        <v>46036</v>
      </c>
      <c r="G735" t="str">
        <f>IF(Table3[[#This Row],[Top Parent Account]]="",Table3[[#This Row],[Account Legal Name]],Table3[[#This Row],[Top Parent Account]])</f>
        <v>SERVICIOS CORPORATIVOS SUMMA</v>
      </c>
      <c r="H735" s="1"/>
    </row>
    <row r="736" spans="1:8" x14ac:dyDescent="0.35">
      <c r="A736" s="21"/>
      <c r="B736" t="s">
        <v>70</v>
      </c>
      <c r="C736" t="s">
        <v>6</v>
      </c>
      <c r="D736" t="s">
        <v>4647</v>
      </c>
      <c r="F736" s="1">
        <v>46036</v>
      </c>
      <c r="G736" t="str">
        <f>IF(Table3[[#This Row],[Top Parent Account]]="",Table3[[#This Row],[Account Legal Name]],Table3[[#This Row],[Top Parent Account]])</f>
        <v>Lanxess</v>
      </c>
      <c r="H736" s="1"/>
    </row>
    <row r="737" spans="1:8" x14ac:dyDescent="0.35">
      <c r="A737" s="21"/>
      <c r="B737" t="s">
        <v>2658</v>
      </c>
      <c r="C737" t="s">
        <v>6</v>
      </c>
      <c r="D737" t="s">
        <v>2828</v>
      </c>
      <c r="F737" s="1">
        <v>46036</v>
      </c>
      <c r="G737" t="str">
        <f>IF(Table3[[#This Row],[Top Parent Account]]="",Table3[[#This Row],[Account Legal Name]],Table3[[#This Row],[Top Parent Account]])</f>
        <v>IACNA MEXICO</v>
      </c>
      <c r="H737" s="1"/>
    </row>
    <row r="738" spans="1:8" x14ac:dyDescent="0.35">
      <c r="A738" s="21"/>
      <c r="B738" t="s">
        <v>18</v>
      </c>
      <c r="C738" t="s">
        <v>6</v>
      </c>
      <c r="D738" t="s">
        <v>4676</v>
      </c>
      <c r="F738" s="1">
        <v>46036</v>
      </c>
      <c r="G738" t="str">
        <f>IF(Table3[[#This Row],[Top Parent Account]]="",Table3[[#This Row],[Account Legal Name]],Table3[[#This Row],[Top Parent Account]])</f>
        <v>Elit Grupo Comercial</v>
      </c>
      <c r="H738" s="1"/>
    </row>
    <row r="739" spans="1:8" x14ac:dyDescent="0.35">
      <c r="A739" s="21"/>
      <c r="B739" t="s">
        <v>2693</v>
      </c>
      <c r="C739" t="s">
        <v>6</v>
      </c>
      <c r="D739" t="s">
        <v>4648</v>
      </c>
      <c r="F739" s="1">
        <v>46035</v>
      </c>
      <c r="G739" t="str">
        <f>IF(Table3[[#This Row],[Top Parent Account]]="",Table3[[#This Row],[Account Legal Name]],Table3[[#This Row],[Top Parent Account]])</f>
        <v>Freedom BPO and Contact Center</v>
      </c>
      <c r="H739" s="1"/>
    </row>
    <row r="740" spans="1:8" x14ac:dyDescent="0.35">
      <c r="A740" s="21"/>
      <c r="B740" t="s">
        <v>116</v>
      </c>
      <c r="C740" t="s">
        <v>6</v>
      </c>
      <c r="D740" t="s">
        <v>4649</v>
      </c>
      <c r="F740" s="1">
        <v>46035</v>
      </c>
      <c r="G740" t="str">
        <f>IF(Table3[[#This Row],[Top Parent Account]]="",Table3[[#This Row],[Account Legal Name]],Table3[[#This Row],[Top Parent Account]])</f>
        <v>MAQUISER INDUSTRIAL</v>
      </c>
      <c r="H740" s="1"/>
    </row>
    <row r="741" spans="1:8" x14ac:dyDescent="0.35">
      <c r="A741" s="21"/>
      <c r="B741" t="s">
        <v>37</v>
      </c>
      <c r="C741" t="s">
        <v>6</v>
      </c>
      <c r="D741" t="s">
        <v>2864</v>
      </c>
      <c r="F741" s="1">
        <v>46035</v>
      </c>
      <c r="G741" t="str">
        <f>IF(Table3[[#This Row],[Top Parent Account]]="",Table3[[#This Row],[Account Legal Name]],Table3[[#This Row],[Top Parent Account]])</f>
        <v>Agricola 76</v>
      </c>
      <c r="H741" s="1"/>
    </row>
    <row r="742" spans="1:8" x14ac:dyDescent="0.35">
      <c r="A742" s="21"/>
      <c r="B742" t="s">
        <v>169</v>
      </c>
      <c r="C742" t="s">
        <v>6</v>
      </c>
      <c r="D742" t="s">
        <v>2315</v>
      </c>
      <c r="F742" s="1">
        <v>46035</v>
      </c>
      <c r="G742" t="str">
        <f>IF(Table3[[#This Row],[Top Parent Account]]="",Table3[[#This Row],[Account Legal Name]],Table3[[#This Row],[Top Parent Account]])</f>
        <v>HANGCHA MEXICO</v>
      </c>
      <c r="H742" s="1"/>
    </row>
    <row r="743" spans="1:8" x14ac:dyDescent="0.35">
      <c r="A743" s="21"/>
      <c r="B743" t="s">
        <v>1131</v>
      </c>
      <c r="C743" t="s">
        <v>6</v>
      </c>
      <c r="D743" t="s">
        <v>2465</v>
      </c>
      <c r="F743" s="1">
        <v>46035</v>
      </c>
      <c r="G743" t="str">
        <f>IF(Table3[[#This Row],[Top Parent Account]]="",Table3[[#This Row],[Account Legal Name]],Table3[[#This Row],[Top Parent Account]])</f>
        <v>ACUICOLA BREYEAN</v>
      </c>
      <c r="H743" s="1"/>
    </row>
    <row r="744" spans="1:8" x14ac:dyDescent="0.35">
      <c r="A744" s="21"/>
      <c r="B744" t="s">
        <v>84</v>
      </c>
      <c r="C744" t="s">
        <v>4650</v>
      </c>
      <c r="D744" t="s">
        <v>4651</v>
      </c>
      <c r="F744" s="1">
        <v>46035</v>
      </c>
      <c r="G744" t="str">
        <f>IF(Table3[[#This Row],[Top Parent Account]]="",Table3[[#This Row],[Account Legal Name]],Table3[[#This Row],[Top Parent Account]])</f>
        <v>Markdom Componentes de México</v>
      </c>
      <c r="H744" s="1"/>
    </row>
    <row r="745" spans="1:8" x14ac:dyDescent="0.35">
      <c r="A745" s="21"/>
      <c r="B745" t="s">
        <v>28</v>
      </c>
      <c r="C745" t="s">
        <v>6</v>
      </c>
      <c r="D745" t="s">
        <v>4681</v>
      </c>
      <c r="F745" s="1">
        <v>46035</v>
      </c>
      <c r="G745" t="str">
        <f>IF(Table3[[#This Row],[Top Parent Account]]="",Table3[[#This Row],[Account Legal Name]],Table3[[#This Row],[Top Parent Account]])</f>
        <v>Empacadora Frape</v>
      </c>
      <c r="H745" s="1"/>
    </row>
    <row r="746" spans="1:8" x14ac:dyDescent="0.35">
      <c r="A746" s="21"/>
      <c r="B746" t="s">
        <v>23</v>
      </c>
      <c r="C746" t="s">
        <v>6</v>
      </c>
      <c r="D746" t="s">
        <v>4652</v>
      </c>
      <c r="F746" s="1">
        <v>46035</v>
      </c>
      <c r="G746" t="str">
        <f>IF(Table3[[#This Row],[Top Parent Account]]="",Table3[[#This Row],[Account Legal Name]],Table3[[#This Row],[Top Parent Account]])</f>
        <v>QUESOS POLYMAX</v>
      </c>
      <c r="H746" s="1"/>
    </row>
    <row r="747" spans="1:8" x14ac:dyDescent="0.35">
      <c r="A747" s="21"/>
      <c r="B747" t="s">
        <v>88</v>
      </c>
      <c r="C747" t="s">
        <v>6</v>
      </c>
      <c r="D747" t="s">
        <v>4653</v>
      </c>
      <c r="F747" s="1">
        <v>46035</v>
      </c>
      <c r="G747" t="str">
        <f>IF(Table3[[#This Row],[Top Parent Account]]="",Table3[[#This Row],[Account Legal Name]],Table3[[#This Row],[Top Parent Account]])</f>
        <v>Energon Industries EJS</v>
      </c>
      <c r="H747" s="1"/>
    </row>
    <row r="748" spans="1:8" x14ac:dyDescent="0.35">
      <c r="A748" s="21"/>
      <c r="B748" t="s">
        <v>77</v>
      </c>
      <c r="C748" t="s">
        <v>6</v>
      </c>
      <c r="D748" t="s">
        <v>4654</v>
      </c>
      <c r="F748" s="1">
        <v>46035</v>
      </c>
      <c r="G748" t="str">
        <f>IF(Table3[[#This Row],[Top Parent Account]]="",Table3[[#This Row],[Account Legal Name]],Table3[[#This Row],[Top Parent Account]])</f>
        <v>ACEROS Y HIERROS MAQUINADOS CNC</v>
      </c>
      <c r="H748" s="1"/>
    </row>
    <row r="749" spans="1:8" x14ac:dyDescent="0.35">
      <c r="A749" s="21"/>
      <c r="B749" t="s">
        <v>2912</v>
      </c>
      <c r="C749" t="s">
        <v>5042</v>
      </c>
      <c r="D749" t="s">
        <v>4500</v>
      </c>
      <c r="F749" s="1">
        <v>46035</v>
      </c>
      <c r="G749" t="str">
        <f>IF(Table3[[#This Row],[Top Parent Account]]="",Table3[[#This Row],[Account Legal Name]],Table3[[#This Row],[Top Parent Account]])</f>
        <v>Lottus Education</v>
      </c>
      <c r="H749" s="1"/>
    </row>
    <row r="750" spans="1:8" x14ac:dyDescent="0.35">
      <c r="A750" s="21"/>
      <c r="B750" t="s">
        <v>28</v>
      </c>
      <c r="C750" t="s">
        <v>6</v>
      </c>
      <c r="D750" t="s">
        <v>4682</v>
      </c>
      <c r="F750" s="1">
        <v>46035</v>
      </c>
      <c r="G750" t="str">
        <f>IF(Table3[[#This Row],[Top Parent Account]]="",Table3[[#This Row],[Account Legal Name]],Table3[[#This Row],[Top Parent Account]])</f>
        <v>RECICLAT DEL NORTE</v>
      </c>
      <c r="H750" s="1"/>
    </row>
    <row r="751" spans="1:8" x14ac:dyDescent="0.35">
      <c r="A751" s="21"/>
      <c r="B751" t="s">
        <v>169</v>
      </c>
      <c r="C751" t="s">
        <v>6</v>
      </c>
      <c r="D751" t="s">
        <v>851</v>
      </c>
      <c r="F751" s="1">
        <v>46035</v>
      </c>
      <c r="G751" t="str">
        <f>IF(Table3[[#This Row],[Top Parent Account]]="",Table3[[#This Row],[Account Legal Name]],Table3[[#This Row],[Top Parent Account]])</f>
        <v>Cayco Construcción</v>
      </c>
      <c r="H751" s="1"/>
    </row>
    <row r="752" spans="1:8" x14ac:dyDescent="0.35">
      <c r="A752" s="21"/>
      <c r="B752" t="s">
        <v>24</v>
      </c>
      <c r="C752" t="s">
        <v>6</v>
      </c>
      <c r="D752" t="s">
        <v>1108</v>
      </c>
      <c r="F752" s="1">
        <v>46035</v>
      </c>
      <c r="G752" t="str">
        <f>IF(Table3[[#This Row],[Top Parent Account]]="",Table3[[#This Row],[Account Legal Name]],Table3[[#This Row],[Top Parent Account]])</f>
        <v>Vanrenta</v>
      </c>
      <c r="H752" s="1"/>
    </row>
    <row r="753" spans="1:8" x14ac:dyDescent="0.35">
      <c r="A753" s="21"/>
      <c r="B753" t="s">
        <v>2345</v>
      </c>
      <c r="C753" t="s">
        <v>6</v>
      </c>
      <c r="D753" t="s">
        <v>4655</v>
      </c>
      <c r="F753" s="1">
        <v>46035</v>
      </c>
      <c r="G753" t="str">
        <f>IF(Table3[[#This Row],[Top Parent Account]]="",Table3[[#This Row],[Account Legal Name]],Table3[[#This Row],[Top Parent Account]])</f>
        <v>Grupo Megatubos</v>
      </c>
      <c r="H753" s="1"/>
    </row>
    <row r="754" spans="1:8" x14ac:dyDescent="0.35">
      <c r="A754" s="21"/>
      <c r="B754" t="s">
        <v>3114</v>
      </c>
      <c r="C754" t="s">
        <v>52</v>
      </c>
      <c r="D754" t="s">
        <v>436</v>
      </c>
      <c r="F754" s="1">
        <v>46035</v>
      </c>
      <c r="G754" t="str">
        <f>IF(Table3[[#This Row],[Top Parent Account]]="",Table3[[#This Row],[Account Legal Name]],Table3[[#This Row],[Top Parent Account]])</f>
        <v>Plastiexports</v>
      </c>
      <c r="H754" s="1"/>
    </row>
    <row r="755" spans="1:8" x14ac:dyDescent="0.35">
      <c r="A755" s="21"/>
      <c r="B755" t="s">
        <v>77</v>
      </c>
      <c r="C755" t="s">
        <v>22</v>
      </c>
      <c r="D755" t="s">
        <v>246</v>
      </c>
      <c r="F755" s="1">
        <v>46034</v>
      </c>
      <c r="G755" t="str">
        <f>IF(Table3[[#This Row],[Top Parent Account]]="",Table3[[#This Row],[Account Legal Name]],Table3[[#This Row],[Top Parent Account]])</f>
        <v>Procesadora Rio San Pedro</v>
      </c>
      <c r="H755" s="1"/>
    </row>
    <row r="756" spans="1:8" x14ac:dyDescent="0.35">
      <c r="A756" s="21"/>
      <c r="B756" t="s">
        <v>1131</v>
      </c>
      <c r="C756" t="s">
        <v>6</v>
      </c>
      <c r="D756" t="s">
        <v>4397</v>
      </c>
      <c r="F756" s="1">
        <v>46034</v>
      </c>
      <c r="G756" t="str">
        <f>IF(Table3[[#This Row],[Top Parent Account]]="",Table3[[#This Row],[Account Legal Name]],Table3[[#This Row],[Top Parent Account]])</f>
        <v>AVICOLA ABE</v>
      </c>
      <c r="H756" s="1"/>
    </row>
    <row r="757" spans="1:8" x14ac:dyDescent="0.35">
      <c r="A757" s="21"/>
      <c r="B757" t="s">
        <v>26</v>
      </c>
      <c r="C757" t="s">
        <v>6</v>
      </c>
      <c r="D757" t="s">
        <v>4656</v>
      </c>
      <c r="E757" t="s">
        <v>546</v>
      </c>
      <c r="F757" s="1">
        <v>46034</v>
      </c>
      <c r="G757" t="str">
        <f>IF(Table3[[#This Row],[Top Parent Account]]="",Table3[[#This Row],[Account Legal Name]],Table3[[#This Row],[Top Parent Account]])</f>
        <v>Fynotej</v>
      </c>
      <c r="H757" s="1"/>
    </row>
    <row r="758" spans="1:8" x14ac:dyDescent="0.35">
      <c r="A758" s="21"/>
      <c r="B758" t="s">
        <v>2693</v>
      </c>
      <c r="C758" t="s">
        <v>6</v>
      </c>
      <c r="D758" t="s">
        <v>3254</v>
      </c>
      <c r="F758" s="1">
        <v>46034</v>
      </c>
      <c r="G758" t="str">
        <f>IF(Table3[[#This Row],[Top Parent Account]]="",Table3[[#This Row],[Account Legal Name]],Table3[[#This Row],[Top Parent Account]])</f>
        <v>Radio Huamantla</v>
      </c>
      <c r="H758" s="1"/>
    </row>
    <row r="759" spans="1:8" x14ac:dyDescent="0.35">
      <c r="A759" s="21"/>
      <c r="B759" t="s">
        <v>10</v>
      </c>
      <c r="C759" t="s">
        <v>6</v>
      </c>
      <c r="D759" t="s">
        <v>410</v>
      </c>
      <c r="F759" s="1">
        <v>46034</v>
      </c>
      <c r="G759" t="str">
        <f>IF(Table3[[#This Row],[Top Parent Account]]="",Table3[[#This Row],[Account Legal Name]],Table3[[#This Row],[Top Parent Account]])</f>
        <v>CORPORATIVO SERYSI</v>
      </c>
      <c r="H759" s="1"/>
    </row>
    <row r="760" spans="1:8" x14ac:dyDescent="0.35">
      <c r="A760" s="21"/>
      <c r="B760" t="s">
        <v>28</v>
      </c>
      <c r="C760" t="s">
        <v>6</v>
      </c>
      <c r="D760" t="s">
        <v>2286</v>
      </c>
      <c r="F760" s="1">
        <v>46034</v>
      </c>
      <c r="G760" t="str">
        <f>IF(Table3[[#This Row],[Top Parent Account]]="",Table3[[#This Row],[Account Legal Name]],Table3[[#This Row],[Top Parent Account]])</f>
        <v>SERVICIOS INDUSTRIALES FAFACI</v>
      </c>
      <c r="H760" s="1"/>
    </row>
    <row r="761" spans="1:8" x14ac:dyDescent="0.35">
      <c r="A761" s="21"/>
      <c r="B761" t="s">
        <v>989</v>
      </c>
      <c r="C761" t="s">
        <v>6</v>
      </c>
      <c r="D761" t="s">
        <v>4657</v>
      </c>
      <c r="F761" s="1">
        <v>46034</v>
      </c>
      <c r="G761" t="str">
        <f>IF(Table3[[#This Row],[Top Parent Account]]="",Table3[[#This Row],[Account Legal Name]],Table3[[#This Row],[Top Parent Account]])</f>
        <v>Transportes Grupo Carfi</v>
      </c>
      <c r="H761" s="1"/>
    </row>
    <row r="762" spans="1:8" x14ac:dyDescent="0.35">
      <c r="A762" s="21"/>
      <c r="B762" t="s">
        <v>10</v>
      </c>
      <c r="C762" t="s">
        <v>6</v>
      </c>
      <c r="D762" t="s">
        <v>912</v>
      </c>
      <c r="E762" t="s">
        <v>3554</v>
      </c>
      <c r="F762" s="1">
        <v>46034</v>
      </c>
      <c r="G762" t="str">
        <f>IF(Table3[[#This Row],[Top Parent Account]]="",Table3[[#This Row],[Account Legal Name]],Table3[[#This Row],[Top Parent Account]])</f>
        <v>Sesajal</v>
      </c>
      <c r="H762" s="1"/>
    </row>
    <row r="763" spans="1:8" x14ac:dyDescent="0.35">
      <c r="A763" s="21"/>
      <c r="B763" t="s">
        <v>169</v>
      </c>
      <c r="C763" t="s">
        <v>6</v>
      </c>
      <c r="D763" t="s">
        <v>1839</v>
      </c>
      <c r="F763" s="1">
        <v>46034</v>
      </c>
      <c r="G763" t="str">
        <f>IF(Table3[[#This Row],[Top Parent Account]]="",Table3[[#This Row],[Account Legal Name]],Table3[[#This Row],[Top Parent Account]])</f>
        <v>Empacadora Therbal</v>
      </c>
      <c r="H763" s="1"/>
    </row>
    <row r="764" spans="1:8" x14ac:dyDescent="0.35">
      <c r="A764" s="21"/>
      <c r="B764" t="s">
        <v>77</v>
      </c>
      <c r="C764" t="s">
        <v>6</v>
      </c>
      <c r="D764" t="s">
        <v>2317</v>
      </c>
      <c r="F764" s="1">
        <v>46034</v>
      </c>
      <c r="G764" t="str">
        <f>IF(Table3[[#This Row],[Top Parent Account]]="",Table3[[#This Row],[Account Legal Name]],Table3[[#This Row],[Top Parent Account]])</f>
        <v>TRANSPORTE DE PERSONAL JOSELYN</v>
      </c>
      <c r="H764" s="1"/>
    </row>
    <row r="765" spans="1:8" x14ac:dyDescent="0.35">
      <c r="A765" s="21"/>
      <c r="B765" t="s">
        <v>12</v>
      </c>
      <c r="C765" t="s">
        <v>6</v>
      </c>
      <c r="D765" t="s">
        <v>2494</v>
      </c>
      <c r="F765" s="1">
        <v>46034</v>
      </c>
      <c r="G765" t="str">
        <f>IF(Table3[[#This Row],[Top Parent Account]]="",Table3[[#This Row],[Account Legal Name]],Table3[[#This Row],[Top Parent Account]])</f>
        <v>Soporte y Suministro industrial del caribe</v>
      </c>
      <c r="H765" s="1"/>
    </row>
    <row r="766" spans="1:8" x14ac:dyDescent="0.35">
      <c r="A766" s="21"/>
      <c r="B766" t="s">
        <v>1511</v>
      </c>
      <c r="C766" t="s">
        <v>22</v>
      </c>
      <c r="D766" t="s">
        <v>1681</v>
      </c>
      <c r="F766" s="1">
        <v>46034</v>
      </c>
      <c r="G766" t="str">
        <f>IF(Table3[[#This Row],[Top Parent Account]]="",Table3[[#This Row],[Account Legal Name]],Table3[[#This Row],[Top Parent Account]])</f>
        <v>K-FLEX DE MEXICO</v>
      </c>
      <c r="H766" s="1"/>
    </row>
    <row r="767" spans="1:8" x14ac:dyDescent="0.35">
      <c r="A767" s="21"/>
      <c r="B767" t="s">
        <v>28</v>
      </c>
      <c r="C767" t="s">
        <v>6</v>
      </c>
      <c r="D767" t="s">
        <v>3751</v>
      </c>
      <c r="F767" s="1">
        <v>46034</v>
      </c>
      <c r="G767" t="str">
        <f>IF(Table3[[#This Row],[Top Parent Account]]="",Table3[[#This Row],[Account Legal Name]],Table3[[#This Row],[Top Parent Account]])</f>
        <v>CARLOS SALVADOR LEAL ESPINOZA</v>
      </c>
      <c r="H767" s="1"/>
    </row>
    <row r="768" spans="1:8" x14ac:dyDescent="0.35">
      <c r="A768" s="21"/>
      <c r="B768" t="s">
        <v>2884</v>
      </c>
      <c r="C768" t="s">
        <v>6</v>
      </c>
      <c r="D768" t="s">
        <v>306</v>
      </c>
      <c r="F768" s="1">
        <v>46034</v>
      </c>
      <c r="G768" t="str">
        <f>IF(Table3[[#This Row],[Top Parent Account]]="",Table3[[#This Row],[Account Legal Name]],Table3[[#This Row],[Top Parent Account]])</f>
        <v>Cie</v>
      </c>
      <c r="H768" s="1"/>
    </row>
    <row r="769" spans="1:8" x14ac:dyDescent="0.35">
      <c r="A769" s="21"/>
      <c r="B769" t="s">
        <v>24</v>
      </c>
      <c r="C769" t="s">
        <v>6</v>
      </c>
      <c r="D769" t="s">
        <v>1658</v>
      </c>
      <c r="E769" t="s">
        <v>1065</v>
      </c>
      <c r="F769" s="1">
        <v>46034</v>
      </c>
      <c r="G769" t="str">
        <f>IF(Table3[[#This Row],[Top Parent Account]]="",Table3[[#This Row],[Account Legal Name]],Table3[[#This Row],[Top Parent Account]])</f>
        <v>Aleaciones Dentales Zeyco</v>
      </c>
      <c r="H769" s="1"/>
    </row>
    <row r="770" spans="1:8" x14ac:dyDescent="0.35">
      <c r="A770" s="21"/>
      <c r="B770" t="s">
        <v>3628</v>
      </c>
      <c r="C770" t="s">
        <v>6</v>
      </c>
      <c r="D770" t="s">
        <v>4658</v>
      </c>
      <c r="E770" t="s">
        <v>3879</v>
      </c>
      <c r="F770" s="1">
        <v>46034</v>
      </c>
      <c r="G770" t="str">
        <f>IF(Table3[[#This Row],[Top Parent Account]]="",Table3[[#This Row],[Account Legal Name]],Table3[[#This Row],[Top Parent Account]])</f>
        <v>Tecnobrick</v>
      </c>
      <c r="H770" s="1"/>
    </row>
    <row r="771" spans="1:8" x14ac:dyDescent="0.35">
      <c r="A771" s="21"/>
      <c r="B771" t="s">
        <v>3114</v>
      </c>
      <c r="C771" t="s">
        <v>52</v>
      </c>
      <c r="D771" t="s">
        <v>3538</v>
      </c>
      <c r="F771" s="1">
        <v>46034</v>
      </c>
      <c r="G771" t="str">
        <f>IF(Table3[[#This Row],[Top Parent Account]]="",Table3[[#This Row],[Account Legal Name]],Table3[[#This Row],[Top Parent Account]])</f>
        <v>Quick Shine Cleaning Service</v>
      </c>
      <c r="H771" s="1"/>
    </row>
    <row r="772" spans="1:8" x14ac:dyDescent="0.35">
      <c r="A772" s="21"/>
      <c r="B772" t="s">
        <v>989</v>
      </c>
      <c r="C772" t="s">
        <v>6</v>
      </c>
      <c r="D772" t="s">
        <v>4620</v>
      </c>
      <c r="F772" s="1">
        <v>46031</v>
      </c>
      <c r="G772" t="str">
        <f>IF(Table3[[#This Row],[Top Parent Account]]="",Table3[[#This Row],[Account Legal Name]],Table3[[#This Row],[Top Parent Account]])</f>
        <v>Mex-Factor</v>
      </c>
      <c r="H772" s="1"/>
    </row>
    <row r="773" spans="1:8" x14ac:dyDescent="0.35">
      <c r="A773" s="21"/>
      <c r="B773" t="s">
        <v>26</v>
      </c>
      <c r="C773" t="s">
        <v>6</v>
      </c>
      <c r="D773" t="s">
        <v>459</v>
      </c>
      <c r="E773" t="s">
        <v>34</v>
      </c>
      <c r="F773" s="1">
        <v>46031</v>
      </c>
      <c r="G773" t="str">
        <f>IF(Table3[[#This Row],[Top Parent Account]]="",Table3[[#This Row],[Account Legal Name]],Table3[[#This Row],[Top Parent Account]])</f>
        <v>Haas Machine Tools</v>
      </c>
      <c r="H773" s="1"/>
    </row>
    <row r="774" spans="1:8" x14ac:dyDescent="0.35">
      <c r="A774" s="21"/>
      <c r="B774" t="s">
        <v>32</v>
      </c>
      <c r="C774" t="s">
        <v>6</v>
      </c>
      <c r="D774" t="s">
        <v>4618</v>
      </c>
      <c r="E774" t="s">
        <v>2508</v>
      </c>
      <c r="F774" s="1">
        <v>46031</v>
      </c>
      <c r="G774" t="str">
        <f>IF(Table3[[#This Row],[Top Parent Account]]="",Table3[[#This Row],[Account Legal Name]],Table3[[#This Row],[Top Parent Account]])</f>
        <v>Grupo Viva Aerobus</v>
      </c>
      <c r="H774" s="1"/>
    </row>
    <row r="775" spans="1:8" x14ac:dyDescent="0.35">
      <c r="A775" s="21"/>
      <c r="B775" t="s">
        <v>28</v>
      </c>
      <c r="C775" t="s">
        <v>6</v>
      </c>
      <c r="D775" t="s">
        <v>4621</v>
      </c>
      <c r="F775" s="1">
        <v>46031</v>
      </c>
      <c r="G775" t="str">
        <f>IF(Table3[[#This Row],[Top Parent Account]]="",Table3[[#This Row],[Account Legal Name]],Table3[[#This Row],[Top Parent Account]])</f>
        <v>LOGMINE</v>
      </c>
      <c r="H775" s="1"/>
    </row>
    <row r="776" spans="1:8" x14ac:dyDescent="0.35">
      <c r="A776" s="21"/>
      <c r="B776" t="s">
        <v>2658</v>
      </c>
      <c r="C776" t="s">
        <v>6</v>
      </c>
      <c r="D776" t="s">
        <v>2030</v>
      </c>
      <c r="F776" s="1">
        <v>46031</v>
      </c>
      <c r="G776" t="str">
        <f>IF(Table3[[#This Row],[Top Parent Account]]="",Table3[[#This Row],[Account Legal Name]],Table3[[#This Row],[Top Parent Account]])</f>
        <v>Trak Transportaciones</v>
      </c>
      <c r="H776" s="1"/>
    </row>
    <row r="777" spans="1:8" x14ac:dyDescent="0.35">
      <c r="A777" s="21"/>
      <c r="B777" t="s">
        <v>88</v>
      </c>
      <c r="C777" t="s">
        <v>6</v>
      </c>
      <c r="D777" t="s">
        <v>4622</v>
      </c>
      <c r="F777" s="1">
        <v>46031</v>
      </c>
      <c r="G777" t="str">
        <f>IF(Table3[[#This Row],[Top Parent Account]]="",Table3[[#This Row],[Account Legal Name]],Table3[[#This Row],[Top Parent Account]])</f>
        <v>Federico Kimura Ovando</v>
      </c>
      <c r="H777" s="1"/>
    </row>
    <row r="778" spans="1:8" x14ac:dyDescent="0.35">
      <c r="A778" s="21"/>
      <c r="B778" t="s">
        <v>32</v>
      </c>
      <c r="C778" t="s">
        <v>6</v>
      </c>
      <c r="D778" t="s">
        <v>461</v>
      </c>
      <c r="F778" s="1">
        <v>46031</v>
      </c>
      <c r="G778" t="str">
        <f>IF(Table3[[#This Row],[Top Parent Account]]="",Table3[[#This Row],[Account Legal Name]],Table3[[#This Row],[Top Parent Account]])</f>
        <v>Prefamovil Infraestructura</v>
      </c>
      <c r="H778" s="1"/>
    </row>
    <row r="779" spans="1:8" x14ac:dyDescent="0.35">
      <c r="A779" s="21"/>
      <c r="B779" t="s">
        <v>23</v>
      </c>
      <c r="C779" t="s">
        <v>6</v>
      </c>
      <c r="D779" t="s">
        <v>4623</v>
      </c>
      <c r="F779" s="1">
        <v>46031</v>
      </c>
      <c r="G779" t="str">
        <f>IF(Table3[[#This Row],[Top Parent Account]]="",Table3[[#This Row],[Account Legal Name]],Table3[[#This Row],[Top Parent Account]])</f>
        <v>Moeller Precision Tool de Mexico</v>
      </c>
      <c r="H779" s="1"/>
    </row>
    <row r="780" spans="1:8" x14ac:dyDescent="0.35">
      <c r="A780" s="21"/>
      <c r="B780" t="s">
        <v>3092</v>
      </c>
      <c r="C780" t="s">
        <v>6</v>
      </c>
      <c r="D780" t="s">
        <v>4624</v>
      </c>
      <c r="F780" s="1">
        <v>46031</v>
      </c>
      <c r="G780" t="str">
        <f>IF(Table3[[#This Row],[Top Parent Account]]="",Table3[[#This Row],[Account Legal Name]],Table3[[#This Row],[Top Parent Account]])</f>
        <v>Comercializadora TMY</v>
      </c>
      <c r="H780" s="1"/>
    </row>
    <row r="781" spans="1:8" x14ac:dyDescent="0.35">
      <c r="A781" s="21"/>
      <c r="B781" t="s">
        <v>2658</v>
      </c>
      <c r="C781" t="s">
        <v>6</v>
      </c>
      <c r="D781" t="s">
        <v>4619</v>
      </c>
      <c r="F781" s="1">
        <v>46030</v>
      </c>
      <c r="G781" t="str">
        <f>IF(Table3[[#This Row],[Top Parent Account]]="",Table3[[#This Row],[Account Legal Name]],Table3[[#This Row],[Top Parent Account]])</f>
        <v>Jomar Industrias</v>
      </c>
      <c r="H781" s="1"/>
    </row>
    <row r="782" spans="1:8" x14ac:dyDescent="0.35">
      <c r="A782" s="21"/>
      <c r="B782" t="s">
        <v>28</v>
      </c>
      <c r="C782" t="s">
        <v>6</v>
      </c>
      <c r="D782" t="s">
        <v>4625</v>
      </c>
      <c r="F782" s="1">
        <v>46030</v>
      </c>
      <c r="G782" t="str">
        <f>IF(Table3[[#This Row],[Top Parent Account]]="",Table3[[#This Row],[Account Legal Name]],Table3[[#This Row],[Top Parent Account]])</f>
        <v>Flex-Coah</v>
      </c>
      <c r="H782" s="1"/>
    </row>
    <row r="783" spans="1:8" x14ac:dyDescent="0.35">
      <c r="A783" s="21"/>
      <c r="B783" t="s">
        <v>32</v>
      </c>
      <c r="C783" t="s">
        <v>6</v>
      </c>
      <c r="D783" t="s">
        <v>953</v>
      </c>
      <c r="F783" s="1">
        <v>46030</v>
      </c>
      <c r="G783" t="str">
        <f>IF(Table3[[#This Row],[Top Parent Account]]="",Table3[[#This Row],[Account Legal Name]],Table3[[#This Row],[Top Parent Account]])</f>
        <v>Kensa Logistics México</v>
      </c>
      <c r="H783" s="1"/>
    </row>
    <row r="784" spans="1:8" x14ac:dyDescent="0.35">
      <c r="A784" s="21"/>
      <c r="B784" t="s">
        <v>37</v>
      </c>
      <c r="C784" t="s">
        <v>6</v>
      </c>
      <c r="D784" t="s">
        <v>1628</v>
      </c>
      <c r="F784" s="1">
        <v>46030</v>
      </c>
      <c r="G784" t="str">
        <f>IF(Table3[[#This Row],[Top Parent Account]]="",Table3[[#This Row],[Account Legal Name]],Table3[[#This Row],[Top Parent Account]])</f>
        <v>Maquinaria de Elevacion</v>
      </c>
      <c r="H784" s="1"/>
    </row>
    <row r="785" spans="1:8" x14ac:dyDescent="0.35">
      <c r="A785" s="21"/>
      <c r="B785" t="s">
        <v>26</v>
      </c>
      <c r="C785" t="s">
        <v>6</v>
      </c>
      <c r="D785" t="s">
        <v>4582</v>
      </c>
      <c r="F785" s="1">
        <v>46030</v>
      </c>
      <c r="G785" t="str">
        <f>IF(Table3[[#This Row],[Top Parent Account]]="",Table3[[#This Row],[Account Legal Name]],Table3[[#This Row],[Top Parent Account]])</f>
        <v>Isa Corporativo</v>
      </c>
      <c r="H785" s="1"/>
    </row>
    <row r="786" spans="1:8" x14ac:dyDescent="0.35">
      <c r="A786" s="21"/>
      <c r="B786" t="s">
        <v>207</v>
      </c>
      <c r="C786" t="s">
        <v>6</v>
      </c>
      <c r="D786" t="s">
        <v>4583</v>
      </c>
      <c r="F786" s="1">
        <v>46030</v>
      </c>
      <c r="G786" t="str">
        <f>IF(Table3[[#This Row],[Top Parent Account]]="",Table3[[#This Row],[Account Legal Name]],Table3[[#This Row],[Top Parent Account]])</f>
        <v>PLASTIPROTECTOR</v>
      </c>
      <c r="H786" s="1"/>
    </row>
    <row r="787" spans="1:8" x14ac:dyDescent="0.35">
      <c r="A787" s="21"/>
      <c r="B787" t="s">
        <v>3553</v>
      </c>
      <c r="C787" t="s">
        <v>6</v>
      </c>
      <c r="D787" t="s">
        <v>4584</v>
      </c>
      <c r="F787" s="1">
        <v>46030</v>
      </c>
      <c r="G787" t="str">
        <f>IF(Table3[[#This Row],[Top Parent Account]]="",Table3[[#This Row],[Account Legal Name]],Table3[[#This Row],[Top Parent Account]])</f>
        <v>G5 STEEL</v>
      </c>
      <c r="H787" s="1"/>
    </row>
    <row r="788" spans="1:8" x14ac:dyDescent="0.35">
      <c r="A788" s="21"/>
      <c r="B788" t="s">
        <v>37</v>
      </c>
      <c r="C788" t="s">
        <v>6</v>
      </c>
      <c r="D788" t="s">
        <v>4626</v>
      </c>
      <c r="F788" s="1">
        <v>46030</v>
      </c>
      <c r="G788" t="str">
        <f>IF(Table3[[#This Row],[Top Parent Account]]="",Table3[[#This Row],[Account Legal Name]],Table3[[#This Row],[Top Parent Account]])</f>
        <v>Agrokumara</v>
      </c>
      <c r="H788" s="1"/>
    </row>
    <row r="789" spans="1:8" x14ac:dyDescent="0.35">
      <c r="A789" s="21"/>
      <c r="B789" t="s">
        <v>2884</v>
      </c>
      <c r="C789" t="s">
        <v>6</v>
      </c>
      <c r="D789" t="s">
        <v>4002</v>
      </c>
      <c r="F789" s="1">
        <v>46030</v>
      </c>
      <c r="G789" t="str">
        <f>IF(Table3[[#This Row],[Top Parent Account]]="",Table3[[#This Row],[Account Legal Name]],Table3[[#This Row],[Top Parent Account]])</f>
        <v>Unifoods</v>
      </c>
      <c r="H789" s="1"/>
    </row>
    <row r="790" spans="1:8" x14ac:dyDescent="0.35">
      <c r="A790" s="21"/>
      <c r="B790" t="s">
        <v>2884</v>
      </c>
      <c r="C790" t="s">
        <v>6</v>
      </c>
      <c r="D790" t="s">
        <v>4070</v>
      </c>
      <c r="F790" s="1">
        <v>46030</v>
      </c>
      <c r="G790" t="str">
        <f>IF(Table3[[#This Row],[Top Parent Account]]="",Table3[[#This Row],[Account Legal Name]],Table3[[#This Row],[Top Parent Account]])</f>
        <v>Laureate Education</v>
      </c>
      <c r="H790" s="1"/>
    </row>
    <row r="791" spans="1:8" x14ac:dyDescent="0.35">
      <c r="A791" s="21"/>
      <c r="B791" t="s">
        <v>28</v>
      </c>
      <c r="C791" t="s">
        <v>6</v>
      </c>
      <c r="D791" t="s">
        <v>1580</v>
      </c>
      <c r="F791" s="1">
        <v>46030</v>
      </c>
      <c r="G791" t="str">
        <f>IF(Table3[[#This Row],[Top Parent Account]]="",Table3[[#This Row],[Account Legal Name]],Table3[[#This Row],[Top Parent Account]])</f>
        <v>MINERIA Y CONSTRUCCION XCALIVUR</v>
      </c>
      <c r="H791" s="1"/>
    </row>
    <row r="792" spans="1:8" x14ac:dyDescent="0.35">
      <c r="A792" s="21"/>
      <c r="B792" t="s">
        <v>77</v>
      </c>
      <c r="C792" t="s">
        <v>6</v>
      </c>
      <c r="D792" t="s">
        <v>3163</v>
      </c>
      <c r="F792" s="1">
        <v>46030</v>
      </c>
      <c r="G792" t="str">
        <f>IF(Table3[[#This Row],[Top Parent Account]]="",Table3[[#This Row],[Account Legal Name]],Table3[[#This Row],[Top Parent Account]])</f>
        <v>Comercializadora de maiz Sierra Azul</v>
      </c>
      <c r="H792" s="1"/>
    </row>
    <row r="793" spans="1:8" x14ac:dyDescent="0.35">
      <c r="A793" s="21"/>
      <c r="B793" t="s">
        <v>2658</v>
      </c>
      <c r="C793" t="s">
        <v>6</v>
      </c>
      <c r="D793" t="s">
        <v>2828</v>
      </c>
      <c r="F793" s="1">
        <v>46030</v>
      </c>
      <c r="G793" t="str">
        <f>IF(Table3[[#This Row],[Top Parent Account]]="",Table3[[#This Row],[Account Legal Name]],Table3[[#This Row],[Top Parent Account]])</f>
        <v>IACNA MEXICO</v>
      </c>
      <c r="H793" s="1"/>
    </row>
    <row r="794" spans="1:8" x14ac:dyDescent="0.35">
      <c r="A794" s="21"/>
      <c r="B794" t="s">
        <v>10</v>
      </c>
      <c r="C794" t="s">
        <v>6</v>
      </c>
      <c r="D794" t="s">
        <v>455</v>
      </c>
      <c r="F794" s="1">
        <v>46030</v>
      </c>
      <c r="G794" t="str">
        <f>IF(Table3[[#This Row],[Top Parent Account]]="",Table3[[#This Row],[Account Legal Name]],Table3[[#This Row],[Top Parent Account]])</f>
        <v>Convertidora Gmv</v>
      </c>
      <c r="H794" s="1"/>
    </row>
    <row r="795" spans="1:8" x14ac:dyDescent="0.35">
      <c r="A795" s="21"/>
      <c r="B795" t="s">
        <v>1131</v>
      </c>
      <c r="C795" t="s">
        <v>6</v>
      </c>
      <c r="D795" t="s">
        <v>4585</v>
      </c>
      <c r="F795" s="1">
        <v>46029</v>
      </c>
      <c r="G795" t="str">
        <f>IF(Table3[[#This Row],[Top Parent Account]]="",Table3[[#This Row],[Account Legal Name]],Table3[[#This Row],[Top Parent Account]])</f>
        <v>Michel de la Torre Concretos</v>
      </c>
      <c r="H795" s="1"/>
    </row>
    <row r="796" spans="1:8" x14ac:dyDescent="0.35">
      <c r="A796" s="21"/>
      <c r="B796" t="s">
        <v>1006</v>
      </c>
      <c r="C796" t="s">
        <v>6</v>
      </c>
      <c r="D796" t="s">
        <v>4627</v>
      </c>
      <c r="F796" s="1">
        <v>46029</v>
      </c>
      <c r="G796" t="str">
        <f>IF(Table3[[#This Row],[Top Parent Account]]="",Table3[[#This Row],[Account Legal Name]],Table3[[#This Row],[Top Parent Account]])</f>
        <v>Clavos Jalisco</v>
      </c>
      <c r="H796" s="1"/>
    </row>
    <row r="797" spans="1:8" x14ac:dyDescent="0.35">
      <c r="A797" s="21"/>
      <c r="B797" t="s">
        <v>23</v>
      </c>
      <c r="C797" t="s">
        <v>6</v>
      </c>
      <c r="D797" t="s">
        <v>4586</v>
      </c>
      <c r="F797" s="1">
        <v>46029</v>
      </c>
      <c r="G797" t="str">
        <f>IF(Table3[[#This Row],[Top Parent Account]]="",Table3[[#This Row],[Account Legal Name]],Table3[[#This Row],[Top Parent Account]])</f>
        <v>CONSTRUCTORA GRADO 50</v>
      </c>
      <c r="H797" s="1"/>
    </row>
    <row r="798" spans="1:8" x14ac:dyDescent="0.35">
      <c r="A798" s="21"/>
      <c r="B798" t="s">
        <v>1006</v>
      </c>
      <c r="C798" t="s">
        <v>6</v>
      </c>
      <c r="D798" t="s">
        <v>4659</v>
      </c>
      <c r="F798" s="1">
        <v>46029</v>
      </c>
      <c r="G798" t="str">
        <f>IF(Table3[[#This Row],[Top Parent Account]]="",Table3[[#This Row],[Account Legal Name]],Table3[[#This Row],[Top Parent Account]])</f>
        <v>POLISOLUCIONES INDUSTRIALES</v>
      </c>
      <c r="H798" s="1"/>
    </row>
    <row r="799" spans="1:8" x14ac:dyDescent="0.35">
      <c r="A799" s="21"/>
      <c r="B799" t="s">
        <v>88</v>
      </c>
      <c r="C799" t="s">
        <v>6</v>
      </c>
      <c r="D799" t="s">
        <v>4587</v>
      </c>
      <c r="F799" s="1">
        <v>46029</v>
      </c>
      <c r="G799" t="str">
        <f>IF(Table3[[#This Row],[Top Parent Account]]="",Table3[[#This Row],[Account Legal Name]],Table3[[#This Row],[Top Parent Account]])</f>
        <v>Grupo Constructor Soltor</v>
      </c>
      <c r="H799" s="1"/>
    </row>
    <row r="800" spans="1:8" x14ac:dyDescent="0.35">
      <c r="A800" s="21"/>
      <c r="B800" t="s">
        <v>3114</v>
      </c>
      <c r="C800" t="s">
        <v>52</v>
      </c>
      <c r="D800" t="s">
        <v>4299</v>
      </c>
      <c r="F800" s="1">
        <v>46029</v>
      </c>
      <c r="G800" t="str">
        <f>IF(Table3[[#This Row],[Top Parent Account]]="",Table3[[#This Row],[Account Legal Name]],Table3[[#This Row],[Top Parent Account]])</f>
        <v>ALFRIGO FRIGORIFICOS</v>
      </c>
      <c r="H800" s="1"/>
    </row>
    <row r="801" spans="1:8" x14ac:dyDescent="0.35">
      <c r="A801" s="21"/>
      <c r="B801" t="s">
        <v>3092</v>
      </c>
      <c r="C801" t="s">
        <v>6</v>
      </c>
      <c r="D801" t="s">
        <v>3290</v>
      </c>
      <c r="F801" s="1">
        <v>46029</v>
      </c>
      <c r="G801" t="str">
        <f>IF(Table3[[#This Row],[Top Parent Account]]="",Table3[[#This Row],[Account Legal Name]],Table3[[#This Row],[Top Parent Account]])</f>
        <v>Grupo Trigave</v>
      </c>
      <c r="H801" s="1"/>
    </row>
    <row r="802" spans="1:8" x14ac:dyDescent="0.35">
      <c r="A802" s="21"/>
      <c r="B802" t="s">
        <v>8</v>
      </c>
      <c r="C802" t="s">
        <v>22</v>
      </c>
      <c r="D802" t="s">
        <v>4660</v>
      </c>
      <c r="F802" s="1">
        <v>46029</v>
      </c>
      <c r="G802" t="str">
        <f>IF(Table3[[#This Row],[Top Parent Account]]="",Table3[[#This Row],[Account Legal Name]],Table3[[#This Row],[Top Parent Account]])</f>
        <v>CLUB ALEMÁN DE MÉXICO</v>
      </c>
      <c r="H802" s="1"/>
    </row>
    <row r="803" spans="1:8" x14ac:dyDescent="0.35">
      <c r="A803" s="21"/>
      <c r="B803" t="s">
        <v>77</v>
      </c>
      <c r="C803" t="s">
        <v>6</v>
      </c>
      <c r="D803" t="s">
        <v>4588</v>
      </c>
      <c r="F803" s="1">
        <v>46029</v>
      </c>
      <c r="G803" t="str">
        <f>IF(Table3[[#This Row],[Top Parent Account]]="",Table3[[#This Row],[Account Legal Name]],Table3[[#This Row],[Top Parent Account]])</f>
        <v>Agricola Ganadera Los Lujan</v>
      </c>
      <c r="H803" s="1"/>
    </row>
    <row r="804" spans="1:8" x14ac:dyDescent="0.35">
      <c r="A804" s="21"/>
      <c r="B804" t="s">
        <v>26</v>
      </c>
      <c r="C804" t="s">
        <v>6</v>
      </c>
      <c r="D804" t="s">
        <v>3108</v>
      </c>
      <c r="F804" s="1">
        <v>46029</v>
      </c>
      <c r="G804" t="str">
        <f>IF(Table3[[#This Row],[Top Parent Account]]="",Table3[[#This Row],[Account Legal Name]],Table3[[#This Row],[Top Parent Account]])</f>
        <v>Gifan Internacional</v>
      </c>
      <c r="H804" s="1"/>
    </row>
    <row r="805" spans="1:8" x14ac:dyDescent="0.35">
      <c r="A805" s="21"/>
      <c r="B805" t="s">
        <v>32</v>
      </c>
      <c r="C805" t="s">
        <v>6</v>
      </c>
      <c r="D805" t="s">
        <v>461</v>
      </c>
      <c r="F805" s="1">
        <v>46029</v>
      </c>
      <c r="G805" t="str">
        <f>IF(Table3[[#This Row],[Top Parent Account]]="",Table3[[#This Row],[Account Legal Name]],Table3[[#This Row],[Top Parent Account]])</f>
        <v>Prefamovil Infraestructura</v>
      </c>
      <c r="H805" s="1"/>
    </row>
    <row r="806" spans="1:8" x14ac:dyDescent="0.35">
      <c r="A806" s="21"/>
      <c r="B806" t="s">
        <v>77</v>
      </c>
      <c r="C806" t="s">
        <v>6</v>
      </c>
      <c r="D806" t="s">
        <v>50</v>
      </c>
      <c r="F806" s="1">
        <v>46029</v>
      </c>
      <c r="G806" t="str">
        <f>IF(Table3[[#This Row],[Top Parent Account]]="",Table3[[#This Row],[Account Legal Name]],Table3[[#This Row],[Top Parent Account]])</f>
        <v>Industrias Montilla</v>
      </c>
      <c r="H806" s="1"/>
    </row>
    <row r="807" spans="1:8" x14ac:dyDescent="0.35">
      <c r="A807" s="21"/>
      <c r="B807" t="s">
        <v>169</v>
      </c>
      <c r="C807" t="s">
        <v>6</v>
      </c>
      <c r="D807" t="s">
        <v>2315</v>
      </c>
      <c r="F807" s="1">
        <v>46029</v>
      </c>
      <c r="G807" t="str">
        <f>IF(Table3[[#This Row],[Top Parent Account]]="",Table3[[#This Row],[Account Legal Name]],Table3[[#This Row],[Top Parent Account]])</f>
        <v>HANGCHA MEXICO</v>
      </c>
      <c r="H807" s="1"/>
    </row>
    <row r="808" spans="1:8" x14ac:dyDescent="0.35">
      <c r="A808" s="21"/>
      <c r="B808" t="s">
        <v>739</v>
      </c>
      <c r="C808" t="s">
        <v>6</v>
      </c>
      <c r="D808" t="s">
        <v>956</v>
      </c>
      <c r="F808" s="1">
        <v>46028</v>
      </c>
      <c r="G808" t="str">
        <f>IF(Table3[[#This Row],[Top Parent Account]]="",Table3[[#This Row],[Account Legal Name]],Table3[[#This Row],[Top Parent Account]])</f>
        <v>Ecoshell</v>
      </c>
      <c r="H808" s="1"/>
    </row>
    <row r="809" spans="1:8" x14ac:dyDescent="0.35">
      <c r="A809" s="21"/>
      <c r="B809" t="s">
        <v>84</v>
      </c>
      <c r="C809" t="s">
        <v>4589</v>
      </c>
      <c r="D809" t="s">
        <v>2792</v>
      </c>
      <c r="F809" s="1">
        <v>46028</v>
      </c>
      <c r="G809" t="str">
        <f>IF(Table3[[#This Row],[Top Parent Account]]="",Table3[[#This Row],[Account Legal Name]],Table3[[#This Row],[Top Parent Account]])</f>
        <v>grupo bill pack</v>
      </c>
      <c r="H809" s="1"/>
    </row>
    <row r="810" spans="1:8" x14ac:dyDescent="0.35">
      <c r="A810" s="21"/>
      <c r="B810" t="s">
        <v>84</v>
      </c>
      <c r="C810" t="s">
        <v>4589</v>
      </c>
      <c r="D810" t="s">
        <v>4590</v>
      </c>
      <c r="F810" s="1">
        <v>46028</v>
      </c>
      <c r="G810" t="str">
        <f>IF(Table3[[#This Row],[Top Parent Account]]="",Table3[[#This Row],[Account Legal Name]],Table3[[#This Row],[Top Parent Account]])</f>
        <v>INDUSTRIAL B&amp;S DE MEXICO</v>
      </c>
      <c r="H810" s="1"/>
    </row>
    <row r="811" spans="1:8" x14ac:dyDescent="0.35">
      <c r="A811" s="21"/>
      <c r="B811" t="s">
        <v>25</v>
      </c>
      <c r="C811" t="s">
        <v>6</v>
      </c>
      <c r="D811" t="s">
        <v>4591</v>
      </c>
      <c r="F811" s="1">
        <v>46028</v>
      </c>
      <c r="G811" t="str">
        <f>IF(Table3[[#This Row],[Top Parent Account]]="",Table3[[#This Row],[Account Legal Name]],Table3[[#This Row],[Top Parent Account]])</f>
        <v>Montgomery Gulf Services,</v>
      </c>
      <c r="H811" s="1"/>
    </row>
    <row r="812" spans="1:8" x14ac:dyDescent="0.35">
      <c r="A812" s="21"/>
      <c r="B812" t="s">
        <v>169</v>
      </c>
      <c r="C812" t="s">
        <v>6</v>
      </c>
      <c r="D812" t="s">
        <v>4499</v>
      </c>
      <c r="F812" s="1">
        <v>46028</v>
      </c>
      <c r="G812" t="str">
        <f>IF(Table3[[#This Row],[Top Parent Account]]="",Table3[[#This Row],[Account Legal Name]],Table3[[#This Row],[Top Parent Account]])</f>
        <v>PROVEEDORA DE MADERAS Y MATERIALES LOS PINOS</v>
      </c>
      <c r="H812" s="1"/>
    </row>
    <row r="813" spans="1:8" x14ac:dyDescent="0.35">
      <c r="A813" s="21"/>
      <c r="B813" t="s">
        <v>3114</v>
      </c>
      <c r="C813" t="s">
        <v>52</v>
      </c>
      <c r="D813" t="s">
        <v>4628</v>
      </c>
      <c r="F813" s="1">
        <v>46028</v>
      </c>
      <c r="G813" t="str">
        <f>IF(Table3[[#This Row],[Top Parent Account]]="",Table3[[#This Row],[Account Legal Name]],Table3[[#This Row],[Top Parent Account]])</f>
        <v>Dexo Transportaciones</v>
      </c>
      <c r="H813" s="1"/>
    </row>
    <row r="814" spans="1:8" x14ac:dyDescent="0.35">
      <c r="A814" s="21"/>
      <c r="B814" t="s">
        <v>32</v>
      </c>
      <c r="C814" t="s">
        <v>6</v>
      </c>
      <c r="D814" t="s">
        <v>277</v>
      </c>
      <c r="F814" s="1">
        <v>46028</v>
      </c>
      <c r="G814" t="str">
        <f>IF(Table3[[#This Row],[Top Parent Account]]="",Table3[[#This Row],[Account Legal Name]],Table3[[#This Row],[Top Parent Account]])</f>
        <v>Grupo Cice</v>
      </c>
      <c r="H814" s="1"/>
    </row>
    <row r="815" spans="1:8" x14ac:dyDescent="0.35">
      <c r="A815" s="21"/>
      <c r="B815" t="s">
        <v>37</v>
      </c>
      <c r="C815" t="s">
        <v>6</v>
      </c>
      <c r="D815" t="s">
        <v>3971</v>
      </c>
      <c r="F815" s="1">
        <v>46028</v>
      </c>
      <c r="G815" t="str">
        <f>IF(Table3[[#This Row],[Top Parent Account]]="",Table3[[#This Row],[Account Legal Name]],Table3[[#This Row],[Top Parent Account]])</f>
        <v>Construccion y Urbanizacion Prizma</v>
      </c>
      <c r="H815" s="1"/>
    </row>
    <row r="816" spans="1:8" x14ac:dyDescent="0.35">
      <c r="A816" s="21"/>
      <c r="B816" t="s">
        <v>84</v>
      </c>
      <c r="C816" t="s">
        <v>4589</v>
      </c>
      <c r="D816" t="s">
        <v>310</v>
      </c>
      <c r="F816" s="1">
        <v>46028</v>
      </c>
      <c r="G816" t="str">
        <f>IF(Table3[[#This Row],[Top Parent Account]]="",Table3[[#This Row],[Account Legal Name]],Table3[[#This Row],[Top Parent Account]])</f>
        <v>Cubiertos y Productos de Plástico SMMonterrey</v>
      </c>
      <c r="H816" s="1"/>
    </row>
    <row r="817" spans="1:8" x14ac:dyDescent="0.35">
      <c r="A817" s="21"/>
      <c r="B817" t="s">
        <v>3182</v>
      </c>
      <c r="C817" t="s">
        <v>6</v>
      </c>
      <c r="D817" t="s">
        <v>4592</v>
      </c>
      <c r="F817" s="1">
        <v>46028</v>
      </c>
      <c r="G817" t="str">
        <f>IF(Table3[[#This Row],[Top Parent Account]]="",Table3[[#This Row],[Account Legal Name]],Table3[[#This Row],[Top Parent Account]])</f>
        <v>Extral</v>
      </c>
      <c r="H817" s="1"/>
    </row>
    <row r="818" spans="1:8" x14ac:dyDescent="0.35">
      <c r="A818" s="21"/>
      <c r="B818" t="s">
        <v>1006</v>
      </c>
      <c r="C818" t="s">
        <v>6</v>
      </c>
      <c r="D818" t="s">
        <v>4661</v>
      </c>
      <c r="F818" s="1">
        <v>46028</v>
      </c>
      <c r="G818" t="str">
        <f>IF(Table3[[#This Row],[Top Parent Account]]="",Table3[[#This Row],[Account Legal Name]],Table3[[#This Row],[Top Parent Account]])</f>
        <v>PROTEINAS MP DE MEXICO</v>
      </c>
      <c r="H818" s="1"/>
    </row>
    <row r="819" spans="1:8" x14ac:dyDescent="0.35">
      <c r="A819" s="21"/>
      <c r="B819" t="s">
        <v>77</v>
      </c>
      <c r="C819" t="s">
        <v>6</v>
      </c>
      <c r="D819" t="s">
        <v>486</v>
      </c>
      <c r="F819" s="1">
        <v>46028</v>
      </c>
      <c r="G819" t="str">
        <f>IF(Table3[[#This Row],[Top Parent Account]]="",Table3[[#This Row],[Account Legal Name]],Table3[[#This Row],[Top Parent Account]])</f>
        <v>ASCEND INDUSTRIES</v>
      </c>
      <c r="H819" s="1"/>
    </row>
    <row r="820" spans="1:8" x14ac:dyDescent="0.35">
      <c r="A820" s="21"/>
      <c r="B820" t="s">
        <v>2658</v>
      </c>
      <c r="C820" t="s">
        <v>6</v>
      </c>
      <c r="D820" t="s">
        <v>423</v>
      </c>
      <c r="F820" s="1">
        <v>46028</v>
      </c>
      <c r="G820" t="str">
        <f>IF(Table3[[#This Row],[Top Parent Account]]="",Table3[[#This Row],[Account Legal Name]],Table3[[#This Row],[Top Parent Account]])</f>
        <v>Red Ambiental</v>
      </c>
      <c r="H820" s="1"/>
    </row>
    <row r="821" spans="1:8" x14ac:dyDescent="0.35">
      <c r="A821" s="21"/>
      <c r="B821" t="s">
        <v>925</v>
      </c>
      <c r="C821" t="s">
        <v>6</v>
      </c>
      <c r="D821" t="s">
        <v>4561</v>
      </c>
      <c r="F821" s="1">
        <v>46028</v>
      </c>
      <c r="G821" t="str">
        <f>IF(Table3[[#This Row],[Top Parent Account]]="",Table3[[#This Row],[Account Legal Name]],Table3[[#This Row],[Top Parent Account]])</f>
        <v>Zoomlion</v>
      </c>
      <c r="H821" s="1"/>
    </row>
    <row r="822" spans="1:8" x14ac:dyDescent="0.35">
      <c r="A822" s="21"/>
      <c r="B822" t="s">
        <v>39</v>
      </c>
      <c r="C822" t="s">
        <v>4593</v>
      </c>
      <c r="D822" t="s">
        <v>2537</v>
      </c>
      <c r="F822" s="1">
        <v>46028</v>
      </c>
      <c r="G822" t="str">
        <f>IF(Table3[[#This Row],[Top Parent Account]]="",Table3[[#This Row],[Account Legal Name]],Table3[[#This Row],[Top Parent Account]])</f>
        <v>Salsas Castillo</v>
      </c>
      <c r="H822" s="1"/>
    </row>
    <row r="823" spans="1:8" x14ac:dyDescent="0.35">
      <c r="A823" s="21"/>
      <c r="B823" t="s">
        <v>77</v>
      </c>
      <c r="C823" t="s">
        <v>6</v>
      </c>
      <c r="D823" t="s">
        <v>694</v>
      </c>
      <c r="F823" s="1">
        <v>46028</v>
      </c>
      <c r="G823" t="str">
        <f>IF(Table3[[#This Row],[Top Parent Account]]="",Table3[[#This Row],[Account Legal Name]],Table3[[#This Row],[Top Parent Account]])</f>
        <v>ALIBACE NUTRICION</v>
      </c>
      <c r="H823" s="1"/>
    </row>
    <row r="824" spans="1:8" x14ac:dyDescent="0.35">
      <c r="A824" s="21"/>
      <c r="B824" t="s">
        <v>3182</v>
      </c>
      <c r="C824" t="s">
        <v>22</v>
      </c>
      <c r="D824" t="s">
        <v>1021</v>
      </c>
      <c r="F824" s="1">
        <v>46028</v>
      </c>
      <c r="G824" t="str">
        <f>IF(Table3[[#This Row],[Top Parent Account]]="",Table3[[#This Row],[Account Legal Name]],Table3[[#This Row],[Top Parent Account]])</f>
        <v>Puratos de México</v>
      </c>
      <c r="H824" s="1"/>
    </row>
    <row r="825" spans="1:8" x14ac:dyDescent="0.35">
      <c r="A825" s="21"/>
      <c r="B825" t="s">
        <v>169</v>
      </c>
      <c r="C825" t="s">
        <v>6</v>
      </c>
      <c r="D825" t="s">
        <v>4594</v>
      </c>
      <c r="F825" s="1">
        <v>46028</v>
      </c>
      <c r="G825" t="str">
        <f>IF(Table3[[#This Row],[Top Parent Account]]="",Table3[[#This Row],[Account Legal Name]],Table3[[#This Row],[Top Parent Account]])</f>
        <v>Construcciones, Barrenaciones y Perforaciones</v>
      </c>
      <c r="H825" s="1"/>
    </row>
    <row r="826" spans="1:8" x14ac:dyDescent="0.35">
      <c r="A826" s="21"/>
      <c r="B826" t="s">
        <v>3182</v>
      </c>
      <c r="C826" t="s">
        <v>22</v>
      </c>
      <c r="D826" t="s">
        <v>4480</v>
      </c>
      <c r="F826" s="1">
        <v>46028</v>
      </c>
      <c r="G826" t="str">
        <f>IF(Table3[[#This Row],[Top Parent Account]]="",Table3[[#This Row],[Account Legal Name]],Table3[[#This Row],[Top Parent Account]])</f>
        <v>MYSOFT GLOBAL</v>
      </c>
      <c r="H826" s="1"/>
    </row>
    <row r="827" spans="1:8" x14ac:dyDescent="0.35">
      <c r="A827" s="21"/>
      <c r="B827" t="s">
        <v>88</v>
      </c>
      <c r="C827" t="s">
        <v>6</v>
      </c>
      <c r="D827" t="s">
        <v>4595</v>
      </c>
      <c r="F827" s="1">
        <v>46028</v>
      </c>
      <c r="G827" t="str">
        <f>IF(Table3[[#This Row],[Top Parent Account]]="",Table3[[#This Row],[Account Legal Name]],Table3[[#This Row],[Top Parent Account]])</f>
        <v>LEMEC Productos de Limpieza</v>
      </c>
      <c r="H827" s="1"/>
    </row>
    <row r="828" spans="1:8" x14ac:dyDescent="0.35">
      <c r="A828" s="21"/>
      <c r="B828" t="s">
        <v>1131</v>
      </c>
      <c r="C828" t="s">
        <v>6</v>
      </c>
      <c r="D828" t="s">
        <v>3613</v>
      </c>
      <c r="E828" t="s">
        <v>2367</v>
      </c>
      <c r="F828" s="1">
        <v>46027</v>
      </c>
      <c r="G828" t="str">
        <f>IF(Table3[[#This Row],[Top Parent Account]]="",Table3[[#This Row],[Account Legal Name]],Table3[[#This Row],[Top Parent Account]])</f>
        <v>Grupo Porteo Logístico</v>
      </c>
      <c r="H828" s="1"/>
    </row>
    <row r="829" spans="1:8" x14ac:dyDescent="0.35">
      <c r="A829" s="21"/>
      <c r="B829" t="s">
        <v>3114</v>
      </c>
      <c r="C829" t="s">
        <v>52</v>
      </c>
      <c r="D829" t="s">
        <v>4596</v>
      </c>
      <c r="F829" s="1">
        <v>46027</v>
      </c>
      <c r="G829" t="str">
        <f>IF(Table3[[#This Row],[Top Parent Account]]="",Table3[[#This Row],[Account Legal Name]],Table3[[#This Row],[Top Parent Account]])</f>
        <v>GRUPO PRODEC</v>
      </c>
      <c r="H829" s="1"/>
    </row>
    <row r="830" spans="1:8" x14ac:dyDescent="0.35">
      <c r="A830" s="21"/>
      <c r="B830" t="s">
        <v>121</v>
      </c>
      <c r="C830" t="s">
        <v>6</v>
      </c>
      <c r="D830" t="s">
        <v>746</v>
      </c>
      <c r="F830" s="1">
        <v>46027</v>
      </c>
      <c r="G830" t="str">
        <f>IF(Table3[[#This Row],[Top Parent Account]]="",Table3[[#This Row],[Account Legal Name]],Table3[[#This Row],[Top Parent Account]])</f>
        <v>Ambienta Tus Momentos</v>
      </c>
      <c r="H830" s="1"/>
    </row>
    <row r="831" spans="1:8" x14ac:dyDescent="0.35">
      <c r="A831" s="21"/>
      <c r="B831" t="s">
        <v>2693</v>
      </c>
      <c r="C831" t="s">
        <v>6</v>
      </c>
      <c r="D831" t="s">
        <v>521</v>
      </c>
      <c r="F831" s="1">
        <v>46027</v>
      </c>
      <c r="G831" t="str">
        <f>IF(Table3[[#This Row],[Top Parent Account]]="",Table3[[#This Row],[Account Legal Name]],Table3[[#This Row],[Top Parent Account]])</f>
        <v>IMPORTACIÓN DE MAQUINARIA PESADA DE ORIENTE</v>
      </c>
      <c r="H831" s="1"/>
    </row>
    <row r="832" spans="1:8" x14ac:dyDescent="0.35">
      <c r="A832" s="21"/>
      <c r="B832" t="s">
        <v>32</v>
      </c>
      <c r="C832" t="s">
        <v>6</v>
      </c>
      <c r="D832" t="s">
        <v>2264</v>
      </c>
      <c r="F832" s="1">
        <v>46027</v>
      </c>
      <c r="G832" t="str">
        <f>IF(Table3[[#This Row],[Top Parent Account]]="",Table3[[#This Row],[Account Legal Name]],Table3[[#This Row],[Top Parent Account]])</f>
        <v>Traxys Mexico</v>
      </c>
      <c r="H832" s="1"/>
    </row>
    <row r="833" spans="1:8" x14ac:dyDescent="0.35">
      <c r="A833" s="21"/>
      <c r="B833" t="s">
        <v>88</v>
      </c>
      <c r="C833" t="s">
        <v>6</v>
      </c>
      <c r="D833" t="s">
        <v>4597</v>
      </c>
      <c r="F833" s="1">
        <v>46027</v>
      </c>
      <c r="G833" t="str">
        <f>IF(Table3[[#This Row],[Top Parent Account]]="",Table3[[#This Row],[Account Legal Name]],Table3[[#This Row],[Top Parent Account]])</f>
        <v>Isidro Morales</v>
      </c>
      <c r="H833" s="1"/>
    </row>
    <row r="834" spans="1:8" x14ac:dyDescent="0.35">
      <c r="A834" s="21"/>
      <c r="B834" t="s">
        <v>169</v>
      </c>
      <c r="C834" t="s">
        <v>6</v>
      </c>
      <c r="D834" t="s">
        <v>1867</v>
      </c>
      <c r="F834" s="1">
        <v>46027</v>
      </c>
      <c r="G834" t="str">
        <f>IF(Table3[[#This Row],[Top Parent Account]]="",Table3[[#This Row],[Account Legal Name]],Table3[[#This Row],[Top Parent Account]])</f>
        <v>Odisa Obras y Desarrollos Industriales</v>
      </c>
      <c r="H834" s="1"/>
    </row>
    <row r="835" spans="1:8" x14ac:dyDescent="0.35">
      <c r="A835" s="21"/>
      <c r="B835" t="s">
        <v>2693</v>
      </c>
      <c r="C835" t="s">
        <v>6</v>
      </c>
      <c r="D835" t="s">
        <v>4598</v>
      </c>
      <c r="F835" s="1">
        <v>46027</v>
      </c>
      <c r="G835" t="str">
        <f>IF(Table3[[#This Row],[Top Parent Account]]="",Table3[[#This Row],[Account Legal Name]],Table3[[#This Row],[Top Parent Account]])</f>
        <v>Myra Renewables Mexico</v>
      </c>
      <c r="H835" s="1"/>
    </row>
    <row r="836" spans="1:8" x14ac:dyDescent="0.35">
      <c r="A836" s="21"/>
      <c r="B836" t="s">
        <v>1899</v>
      </c>
      <c r="C836" t="s">
        <v>6</v>
      </c>
      <c r="D836" t="s">
        <v>4599</v>
      </c>
      <c r="F836" s="1">
        <v>46027</v>
      </c>
      <c r="G836" t="str">
        <f>IF(Table3[[#This Row],[Top Parent Account]]="",Table3[[#This Row],[Account Legal Name]],Table3[[#This Row],[Top Parent Account]])</f>
        <v>Desarrollo De Engordas Estabuladas</v>
      </c>
      <c r="H836" s="1"/>
    </row>
    <row r="837" spans="1:8" x14ac:dyDescent="0.35">
      <c r="A837" s="21"/>
      <c r="B837" t="s">
        <v>25</v>
      </c>
      <c r="C837" t="s">
        <v>6</v>
      </c>
      <c r="D837" t="s">
        <v>4600</v>
      </c>
      <c r="F837" s="1">
        <v>46027</v>
      </c>
      <c r="G837" t="str">
        <f>IF(Table3[[#This Row],[Top Parent Account]]="",Table3[[#This Row],[Account Legal Name]],Table3[[#This Row],[Top Parent Account]])</f>
        <v>CONSTRUCCIONES, ARRENDAMIENTO Y DESARROLLO DE PROYECTOS CAMHER</v>
      </c>
      <c r="H837" s="1"/>
    </row>
    <row r="838" spans="1:8" x14ac:dyDescent="0.35">
      <c r="A838" s="21"/>
      <c r="B838" t="s">
        <v>3114</v>
      </c>
      <c r="C838" t="s">
        <v>52</v>
      </c>
      <c r="D838" t="s">
        <v>436</v>
      </c>
      <c r="F838" s="1">
        <v>46027</v>
      </c>
      <c r="G838" t="str">
        <f>IF(Table3[[#This Row],[Top Parent Account]]="",Table3[[#This Row],[Account Legal Name]],Table3[[#This Row],[Top Parent Account]])</f>
        <v>Plastiexports</v>
      </c>
      <c r="H838" s="1"/>
    </row>
    <row r="839" spans="1:8" x14ac:dyDescent="0.35">
      <c r="A839" s="21"/>
      <c r="B839" t="s">
        <v>28</v>
      </c>
      <c r="C839" t="s">
        <v>6</v>
      </c>
      <c r="D839" t="s">
        <v>4497</v>
      </c>
      <c r="F839" s="1">
        <v>46024</v>
      </c>
      <c r="G839" t="str">
        <f>IF(Table3[[#This Row],[Top Parent Account]]="",Table3[[#This Row],[Account Legal Name]],Table3[[#This Row],[Top Parent Account]])</f>
        <v>Alexar Internacional</v>
      </c>
      <c r="H839" s="1"/>
    </row>
    <row r="840" spans="1:8" x14ac:dyDescent="0.35">
      <c r="A840" s="21"/>
      <c r="B840" t="s">
        <v>3114</v>
      </c>
      <c r="C840" t="s">
        <v>52</v>
      </c>
      <c r="D840" t="s">
        <v>3226</v>
      </c>
      <c r="F840" s="1">
        <v>46024</v>
      </c>
      <c r="G840" t="str">
        <f>IF(Table3[[#This Row],[Top Parent Account]]="",Table3[[#This Row],[Account Legal Name]],Table3[[#This Row],[Top Parent Account]])</f>
        <v>Arrendadora Datamovil</v>
      </c>
      <c r="H840" s="1"/>
    </row>
    <row r="841" spans="1:8" x14ac:dyDescent="0.35">
      <c r="A841" s="21"/>
      <c r="B841" t="s">
        <v>37</v>
      </c>
      <c r="C841" t="s">
        <v>6</v>
      </c>
      <c r="D841" t="s">
        <v>4498</v>
      </c>
      <c r="F841" s="1">
        <v>46022</v>
      </c>
      <c r="G841" t="str">
        <f>IF(Table3[[#This Row],[Top Parent Account]]="",Table3[[#This Row],[Account Legal Name]],Table3[[#This Row],[Top Parent Account]])</f>
        <v>Metal Master Industrial</v>
      </c>
      <c r="H841" s="1"/>
    </row>
    <row r="842" spans="1:8" x14ac:dyDescent="0.35">
      <c r="A842" s="21"/>
      <c r="B842" t="s">
        <v>37</v>
      </c>
      <c r="C842" t="s">
        <v>6</v>
      </c>
      <c r="D842" t="s">
        <v>2864</v>
      </c>
      <c r="F842" s="1">
        <v>46022</v>
      </c>
      <c r="G842" t="str">
        <f>IF(Table3[[#This Row],[Top Parent Account]]="",Table3[[#This Row],[Account Legal Name]],Table3[[#This Row],[Top Parent Account]])</f>
        <v>Agricola 76</v>
      </c>
      <c r="H842" s="1"/>
    </row>
    <row r="843" spans="1:8" x14ac:dyDescent="0.35">
      <c r="A843" s="21"/>
      <c r="B843" t="s">
        <v>37</v>
      </c>
      <c r="C843" t="s">
        <v>6</v>
      </c>
      <c r="D843" t="s">
        <v>3855</v>
      </c>
      <c r="F843" s="1">
        <v>46022</v>
      </c>
      <c r="G843" t="str">
        <f>IF(Table3[[#This Row],[Top Parent Account]]="",Table3[[#This Row],[Account Legal Name]],Table3[[#This Row],[Top Parent Account]])</f>
        <v>Constructora Sextin</v>
      </c>
      <c r="H843" s="1"/>
    </row>
    <row r="844" spans="1:8" x14ac:dyDescent="0.35">
      <c r="A844" s="21"/>
      <c r="B844" t="s">
        <v>3114</v>
      </c>
      <c r="C844" t="s">
        <v>52</v>
      </c>
      <c r="D844" t="s">
        <v>3644</v>
      </c>
      <c r="F844" s="1">
        <v>46022</v>
      </c>
      <c r="G844" t="str">
        <f>IF(Table3[[#This Row],[Top Parent Account]]="",Table3[[#This Row],[Account Legal Name]],Table3[[#This Row],[Top Parent Account]])</f>
        <v>Emergent cold Latam</v>
      </c>
      <c r="H844" s="1"/>
    </row>
    <row r="845" spans="1:8" x14ac:dyDescent="0.35">
      <c r="A845" s="21"/>
      <c r="B845" t="s">
        <v>169</v>
      </c>
      <c r="C845" t="s">
        <v>6</v>
      </c>
      <c r="D845" t="s">
        <v>4499</v>
      </c>
      <c r="F845" s="1">
        <v>46022</v>
      </c>
      <c r="G845" t="str">
        <f>IF(Table3[[#This Row],[Top Parent Account]]="",Table3[[#This Row],[Account Legal Name]],Table3[[#This Row],[Top Parent Account]])</f>
        <v>PROVEEDORA DE MADERAS Y MATERIALES LOS PINOS</v>
      </c>
      <c r="H845" s="1"/>
    </row>
    <row r="846" spans="1:8" x14ac:dyDescent="0.35">
      <c r="A846" s="21"/>
      <c r="B846" t="s">
        <v>116</v>
      </c>
      <c r="C846" t="s">
        <v>6</v>
      </c>
      <c r="D846" t="s">
        <v>536</v>
      </c>
      <c r="F846" s="1">
        <v>46021</v>
      </c>
      <c r="G846" t="str">
        <f>IF(Table3[[#This Row],[Top Parent Account]]="",Table3[[#This Row],[Account Legal Name]],Table3[[#This Row],[Top Parent Account]])</f>
        <v>Inox Market Messico</v>
      </c>
      <c r="H846" s="1"/>
    </row>
    <row r="847" spans="1:8" x14ac:dyDescent="0.35">
      <c r="A847" s="21"/>
      <c r="B847" t="s">
        <v>116</v>
      </c>
      <c r="C847" t="s">
        <v>6</v>
      </c>
      <c r="D847" t="s">
        <v>3760</v>
      </c>
      <c r="F847" s="1">
        <v>46021</v>
      </c>
      <c r="G847" t="str">
        <f>IF(Table3[[#This Row],[Top Parent Account]]="",Table3[[#This Row],[Account Legal Name]],Table3[[#This Row],[Top Parent Account]])</f>
        <v>Bienes de Equipo Ligero Construcción y Asesoramiento</v>
      </c>
      <c r="H847" s="1"/>
    </row>
    <row r="848" spans="1:8" x14ac:dyDescent="0.35">
      <c r="A848" s="21"/>
      <c r="B848" t="s">
        <v>116</v>
      </c>
      <c r="C848" t="s">
        <v>6</v>
      </c>
      <c r="D848" t="s">
        <v>3760</v>
      </c>
      <c r="F848" s="1">
        <v>46021</v>
      </c>
      <c r="G848" t="str">
        <f>IF(Table3[[#This Row],[Top Parent Account]]="",Table3[[#This Row],[Account Legal Name]],Table3[[#This Row],[Top Parent Account]])</f>
        <v>Bienes de Equipo Ligero Construcción y Asesoramiento</v>
      </c>
      <c r="H848" s="1"/>
    </row>
    <row r="849" spans="1:8" x14ac:dyDescent="0.35">
      <c r="A849" s="21"/>
      <c r="B849" t="s">
        <v>37</v>
      </c>
      <c r="C849" t="s">
        <v>6</v>
      </c>
      <c r="D849" t="s">
        <v>4496</v>
      </c>
      <c r="F849" s="1">
        <v>46021</v>
      </c>
      <c r="G849" t="str">
        <f>IF(Table3[[#This Row],[Top Parent Account]]="",Table3[[#This Row],[Account Legal Name]],Table3[[#This Row],[Top Parent Account]])</f>
        <v>Servi Industrias Del Noroeste</v>
      </c>
      <c r="H849" s="1"/>
    </row>
    <row r="850" spans="1:8" x14ac:dyDescent="0.35">
      <c r="A850" s="21"/>
      <c r="B850" t="s">
        <v>37</v>
      </c>
      <c r="C850" t="s">
        <v>6</v>
      </c>
      <c r="D850" t="s">
        <v>1969</v>
      </c>
      <c r="F850" s="1">
        <v>46021</v>
      </c>
      <c r="G850" t="str">
        <f>IF(Table3[[#This Row],[Top Parent Account]]="",Table3[[#This Row],[Account Legal Name]],Table3[[#This Row],[Top Parent Account]])</f>
        <v>TESSAURUM</v>
      </c>
      <c r="H850" s="1"/>
    </row>
    <row r="851" spans="1:8" x14ac:dyDescent="0.35">
      <c r="A851" s="21"/>
      <c r="B851" t="s">
        <v>37</v>
      </c>
      <c r="C851" t="s">
        <v>6</v>
      </c>
      <c r="D851" t="s">
        <v>2584</v>
      </c>
      <c r="F851" s="1">
        <v>46021</v>
      </c>
      <c r="G851" t="str">
        <f>IF(Table3[[#This Row],[Top Parent Account]]="",Table3[[#This Row],[Account Legal Name]],Table3[[#This Row],[Top Parent Account]])</f>
        <v>HERSON CONSTRUCCIONES</v>
      </c>
      <c r="H851" s="1"/>
    </row>
    <row r="852" spans="1:8" x14ac:dyDescent="0.35">
      <c r="A852" s="21"/>
      <c r="B852" t="s">
        <v>37</v>
      </c>
      <c r="C852" t="s">
        <v>6</v>
      </c>
      <c r="D852" t="s">
        <v>1629</v>
      </c>
      <c r="E852" t="s">
        <v>1628</v>
      </c>
      <c r="F852" s="1">
        <v>46021</v>
      </c>
      <c r="G852" t="str">
        <f>IF(Table3[[#This Row],[Top Parent Account]]="",Table3[[#This Row],[Account Legal Name]],Table3[[#This Row],[Top Parent Account]])</f>
        <v>Maquinaria de Elevacion</v>
      </c>
      <c r="H852" s="1"/>
    </row>
    <row r="853" spans="1:8" x14ac:dyDescent="0.35">
      <c r="A853" s="21"/>
      <c r="B853" t="s">
        <v>37</v>
      </c>
      <c r="C853" t="s">
        <v>6</v>
      </c>
      <c r="D853" t="s">
        <v>1216</v>
      </c>
      <c r="F853" s="1">
        <v>46021</v>
      </c>
      <c r="G853" t="str">
        <f>IF(Table3[[#This Row],[Top Parent Account]]="",Table3[[#This Row],[Account Legal Name]],Table3[[#This Row],[Top Parent Account]])</f>
        <v>Empresas L.M.</v>
      </c>
      <c r="H853" s="1"/>
    </row>
    <row r="854" spans="1:8" x14ac:dyDescent="0.35">
      <c r="A854" s="21"/>
      <c r="B854" t="s">
        <v>88</v>
      </c>
      <c r="C854" t="s">
        <v>6</v>
      </c>
      <c r="D854" t="s">
        <v>1825</v>
      </c>
      <c r="F854" s="1">
        <v>46021</v>
      </c>
      <c r="G854" t="str">
        <f>IF(Table3[[#This Row],[Top Parent Account]]="",Table3[[#This Row],[Account Legal Name]],Table3[[#This Row],[Top Parent Account]])</f>
        <v>Plastic Perfomance Solutions</v>
      </c>
      <c r="H854" s="1"/>
    </row>
    <row r="855" spans="1:8" x14ac:dyDescent="0.35">
      <c r="A855" s="21"/>
      <c r="B855" t="s">
        <v>27</v>
      </c>
      <c r="C855" t="s">
        <v>22</v>
      </c>
      <c r="D855" t="s">
        <v>1285</v>
      </c>
      <c r="F855" s="1">
        <v>46021</v>
      </c>
      <c r="G855" t="str">
        <f>IF(Table3[[#This Row],[Top Parent Account]]="",Table3[[#This Row],[Account Legal Name]],Table3[[#This Row],[Top Parent Account]])</f>
        <v>Turismo Gargo</v>
      </c>
      <c r="H855" s="1"/>
    </row>
    <row r="856" spans="1:8" x14ac:dyDescent="0.35">
      <c r="A856" s="21"/>
      <c r="B856" t="s">
        <v>3628</v>
      </c>
      <c r="C856" t="s">
        <v>6</v>
      </c>
      <c r="D856" t="s">
        <v>4501</v>
      </c>
      <c r="F856" s="1">
        <v>46021</v>
      </c>
      <c r="G856" t="str">
        <f>IF(Table3[[#This Row],[Top Parent Account]]="",Table3[[#This Row],[Account Legal Name]],Table3[[#This Row],[Top Parent Account]])</f>
        <v>Servicios Avanzados de Mantenimiento Industrial del Noreste</v>
      </c>
      <c r="H856" s="1"/>
    </row>
    <row r="857" spans="1:8" x14ac:dyDescent="0.35">
      <c r="A857" s="21"/>
      <c r="B857" t="s">
        <v>28</v>
      </c>
      <c r="C857" t="s">
        <v>6</v>
      </c>
      <c r="D857" t="s">
        <v>4502</v>
      </c>
      <c r="F857" s="1">
        <v>46021</v>
      </c>
      <c r="G857" t="str">
        <f>IF(Table3[[#This Row],[Top Parent Account]]="",Table3[[#This Row],[Account Legal Name]],Table3[[#This Row],[Top Parent Account]])</f>
        <v>GREEN POWER SOLUTIONS</v>
      </c>
      <c r="H857" s="1"/>
    </row>
    <row r="858" spans="1:8" x14ac:dyDescent="0.35">
      <c r="A858" s="21"/>
      <c r="B858" t="s">
        <v>23</v>
      </c>
      <c r="C858" t="s">
        <v>6</v>
      </c>
      <c r="D858" t="s">
        <v>518</v>
      </c>
      <c r="F858" s="1">
        <v>46021</v>
      </c>
      <c r="G858" t="str">
        <f>IF(Table3[[#This Row],[Top Parent Account]]="",Table3[[#This Row],[Account Legal Name]],Table3[[#This Row],[Top Parent Account]])</f>
        <v>FUNDICION DE ALEACIONES METALURGICAS</v>
      </c>
      <c r="H858" s="1"/>
    </row>
    <row r="859" spans="1:8" x14ac:dyDescent="0.35">
      <c r="A859" s="21"/>
      <c r="B859" t="s">
        <v>3114</v>
      </c>
      <c r="C859" t="s">
        <v>52</v>
      </c>
      <c r="D859" t="s">
        <v>3220</v>
      </c>
      <c r="F859" s="1">
        <v>46021</v>
      </c>
      <c r="G859" t="str">
        <f>IF(Table3[[#This Row],[Top Parent Account]]="",Table3[[#This Row],[Account Legal Name]],Table3[[#This Row],[Top Parent Account]])</f>
        <v>Aceros y Overollings de México</v>
      </c>
      <c r="H859" s="1"/>
    </row>
    <row r="860" spans="1:8" x14ac:dyDescent="0.35">
      <c r="A860" s="21"/>
      <c r="B860" t="s">
        <v>169</v>
      </c>
      <c r="C860" t="s">
        <v>6</v>
      </c>
      <c r="D860" t="s">
        <v>786</v>
      </c>
      <c r="F860" s="1">
        <v>46021</v>
      </c>
      <c r="G860" t="str">
        <f>IF(Table3[[#This Row],[Top Parent Account]]="",Table3[[#This Row],[Account Legal Name]],Table3[[#This Row],[Top Parent Account]])</f>
        <v>Ingeniería Tizayuca</v>
      </c>
      <c r="H860" s="1"/>
    </row>
    <row r="861" spans="1:8" x14ac:dyDescent="0.35">
      <c r="A861" s="21"/>
      <c r="B861" t="s">
        <v>70</v>
      </c>
      <c r="C861" t="s">
        <v>6</v>
      </c>
      <c r="D861" t="s">
        <v>555</v>
      </c>
      <c r="F861" s="1">
        <v>46020</v>
      </c>
      <c r="G861" t="str">
        <f>IF(Table3[[#This Row],[Top Parent Account]]="",Table3[[#This Row],[Account Legal Name]],Table3[[#This Row],[Top Parent Account]])</f>
        <v>Hospital Ingles</v>
      </c>
      <c r="H861" s="1"/>
    </row>
    <row r="862" spans="1:8" x14ac:dyDescent="0.35">
      <c r="A862" s="21"/>
      <c r="B862" t="s">
        <v>88</v>
      </c>
      <c r="C862" t="s">
        <v>6</v>
      </c>
      <c r="D862" t="s">
        <v>4503</v>
      </c>
      <c r="F862" s="1">
        <v>46020</v>
      </c>
      <c r="G862" t="str">
        <f>IF(Table3[[#This Row],[Top Parent Account]]="",Table3[[#This Row],[Account Legal Name]],Table3[[#This Row],[Top Parent Account]])</f>
        <v>Miguel Agustín Díaz Moreno</v>
      </c>
      <c r="H862" s="1"/>
    </row>
    <row r="863" spans="1:8" x14ac:dyDescent="0.35">
      <c r="A863" s="21"/>
      <c r="B863" t="s">
        <v>3092</v>
      </c>
      <c r="C863" t="s">
        <v>6</v>
      </c>
      <c r="D863" t="s">
        <v>1102</v>
      </c>
      <c r="F863" s="1">
        <v>46020</v>
      </c>
      <c r="G863" t="str">
        <f>IF(Table3[[#This Row],[Top Parent Account]]="",Table3[[#This Row],[Account Legal Name]],Table3[[#This Row],[Top Parent Account]])</f>
        <v>Safer Journeys</v>
      </c>
      <c r="H863" s="1"/>
    </row>
    <row r="864" spans="1:8" x14ac:dyDescent="0.35">
      <c r="A864" s="21"/>
      <c r="B864" t="s">
        <v>3092</v>
      </c>
      <c r="C864" t="s">
        <v>6</v>
      </c>
      <c r="D864" t="s">
        <v>3326</v>
      </c>
      <c r="F864" s="1">
        <v>46020</v>
      </c>
      <c r="G864" t="str">
        <f>IF(Table3[[#This Row],[Top Parent Account]]="",Table3[[#This Row],[Account Legal Name]],Table3[[#This Row],[Top Parent Account]])</f>
        <v>Cortes Especializados de Papel</v>
      </c>
      <c r="H864" s="1"/>
    </row>
    <row r="865" spans="1:8" x14ac:dyDescent="0.35">
      <c r="A865" s="21"/>
      <c r="B865" t="s">
        <v>29</v>
      </c>
      <c r="C865" t="s">
        <v>6</v>
      </c>
      <c r="D865" t="s">
        <v>430</v>
      </c>
      <c r="F865" s="1">
        <v>46020</v>
      </c>
      <c r="G865" t="str">
        <f>IF(Table3[[#This Row],[Top Parent Account]]="",Table3[[#This Row],[Account Legal Name]],Table3[[#This Row],[Top Parent Account]])</f>
        <v>Amaro Alimentos</v>
      </c>
      <c r="H865" s="1"/>
    </row>
    <row r="866" spans="1:8" x14ac:dyDescent="0.35">
      <c r="A866" s="21"/>
      <c r="B866" t="s">
        <v>1899</v>
      </c>
      <c r="C866" t="s">
        <v>6</v>
      </c>
      <c r="D866" t="s">
        <v>4504</v>
      </c>
      <c r="F866" s="1">
        <v>46020</v>
      </c>
      <c r="G866" t="str">
        <f>IF(Table3[[#This Row],[Top Parent Account]]="",Table3[[#This Row],[Account Legal Name]],Table3[[#This Row],[Top Parent Account]])</f>
        <v>J YRSA</v>
      </c>
      <c r="H866" s="1"/>
    </row>
    <row r="867" spans="1:8" x14ac:dyDescent="0.35">
      <c r="A867" s="21"/>
      <c r="B867" t="s">
        <v>169</v>
      </c>
      <c r="C867" t="s">
        <v>6</v>
      </c>
      <c r="D867" t="s">
        <v>987</v>
      </c>
      <c r="F867" s="1">
        <v>46020</v>
      </c>
      <c r="G867" t="str">
        <f>IF(Table3[[#This Row],[Top Parent Account]]="",Table3[[#This Row],[Account Legal Name]],Table3[[#This Row],[Top Parent Account]])</f>
        <v>Elaboradora De Alimentos Pachuca</v>
      </c>
      <c r="H867" s="1"/>
    </row>
    <row r="868" spans="1:8" x14ac:dyDescent="0.35">
      <c r="A868" s="21"/>
      <c r="B868" t="s">
        <v>3093</v>
      </c>
      <c r="C868" t="s">
        <v>6</v>
      </c>
      <c r="D868" t="s">
        <v>4505</v>
      </c>
      <c r="F868" s="1">
        <v>46020</v>
      </c>
      <c r="G868" t="str">
        <f>IF(Table3[[#This Row],[Top Parent Account]]="",Table3[[#This Row],[Account Legal Name]],Table3[[#This Row],[Top Parent Account]])</f>
        <v>Freixenet de México</v>
      </c>
      <c r="H868" s="1"/>
    </row>
    <row r="869" spans="1:8" x14ac:dyDescent="0.35">
      <c r="A869" s="21"/>
      <c r="B869" t="s">
        <v>169</v>
      </c>
      <c r="C869" t="s">
        <v>428</v>
      </c>
      <c r="D869" t="s">
        <v>3740</v>
      </c>
      <c r="F869" s="1">
        <v>46017</v>
      </c>
      <c r="G869" t="str">
        <f>IF(Table3[[#This Row],[Top Parent Account]]="",Table3[[#This Row],[Account Legal Name]],Table3[[#This Row],[Top Parent Account]])</f>
        <v>Gruppo Berlingo</v>
      </c>
      <c r="H869" s="1"/>
    </row>
    <row r="870" spans="1:8" x14ac:dyDescent="0.35">
      <c r="A870" s="21"/>
      <c r="B870" t="s">
        <v>37</v>
      </c>
      <c r="C870" t="s">
        <v>33</v>
      </c>
      <c r="D870" t="s">
        <v>2600</v>
      </c>
      <c r="F870" s="1">
        <v>46017</v>
      </c>
      <c r="G870" t="str">
        <f>IF(Table3[[#This Row],[Top Parent Account]]="",Table3[[#This Row],[Account Legal Name]],Table3[[#This Row],[Top Parent Account]])</f>
        <v>Guillermo Omar Gim Burruel</v>
      </c>
      <c r="H870" s="1"/>
    </row>
    <row r="871" spans="1:8" x14ac:dyDescent="0.35">
      <c r="A871" s="21"/>
      <c r="B871" t="s">
        <v>27</v>
      </c>
      <c r="C871" t="s">
        <v>6</v>
      </c>
      <c r="D871" t="s">
        <v>2449</v>
      </c>
      <c r="F871" s="1">
        <v>46017</v>
      </c>
      <c r="G871" t="str">
        <f>IF(Table3[[#This Row],[Top Parent Account]]="",Table3[[#This Row],[Account Legal Name]],Table3[[#This Row],[Top Parent Account]])</f>
        <v>Almacén y Cruce de Occidente</v>
      </c>
      <c r="H871" s="1"/>
    </row>
    <row r="872" spans="1:8" x14ac:dyDescent="0.35">
      <c r="A872" s="21"/>
      <c r="B872" t="s">
        <v>88</v>
      </c>
      <c r="C872" t="s">
        <v>6</v>
      </c>
      <c r="D872" t="s">
        <v>4484</v>
      </c>
      <c r="F872" s="1">
        <v>46017</v>
      </c>
      <c r="G872" t="str">
        <f>IF(Table3[[#This Row],[Top Parent Account]]="",Table3[[#This Row],[Account Legal Name]],Table3[[#This Row],[Top Parent Account]])</f>
        <v>COMNET</v>
      </c>
      <c r="H872" s="1"/>
    </row>
    <row r="873" spans="1:8" x14ac:dyDescent="0.35">
      <c r="A873" s="21"/>
      <c r="B873" t="s">
        <v>3628</v>
      </c>
      <c r="C873" t="s">
        <v>6</v>
      </c>
      <c r="D873" t="s">
        <v>4102</v>
      </c>
      <c r="F873" s="1">
        <v>46017</v>
      </c>
      <c r="G873" t="str">
        <f>IF(Table3[[#This Row],[Top Parent Account]]="",Table3[[#This Row],[Account Legal Name]],Table3[[#This Row],[Top Parent Account]])</f>
        <v>Amisa Monterrey</v>
      </c>
      <c r="H873" s="1"/>
    </row>
    <row r="874" spans="1:8" x14ac:dyDescent="0.35">
      <c r="A874" s="21"/>
      <c r="B874" t="s">
        <v>1899</v>
      </c>
      <c r="C874" t="s">
        <v>6</v>
      </c>
      <c r="D874" t="s">
        <v>4506</v>
      </c>
      <c r="F874" s="1">
        <v>46017</v>
      </c>
      <c r="G874" t="str">
        <f>IF(Table3[[#This Row],[Top Parent Account]]="",Table3[[#This Row],[Account Legal Name]],Table3[[#This Row],[Top Parent Account]])</f>
        <v>MICAR TRUCKINGS</v>
      </c>
      <c r="H874" s="1"/>
    </row>
    <row r="875" spans="1:8" x14ac:dyDescent="0.35">
      <c r="A875" s="21"/>
      <c r="B875" t="s">
        <v>28</v>
      </c>
      <c r="C875" t="s">
        <v>6</v>
      </c>
      <c r="D875" t="s">
        <v>4485</v>
      </c>
      <c r="F875" s="1">
        <v>46017</v>
      </c>
      <c r="G875" t="str">
        <f>IF(Table3[[#This Row],[Top Parent Account]]="",Table3[[#This Row],[Account Legal Name]],Table3[[#This Row],[Top Parent Account]])</f>
        <v>GRUPO BRX</v>
      </c>
      <c r="H875" s="1"/>
    </row>
    <row r="876" spans="1:8" x14ac:dyDescent="0.35">
      <c r="A876" s="21"/>
      <c r="B876" t="s">
        <v>3628</v>
      </c>
      <c r="C876" t="s">
        <v>6</v>
      </c>
      <c r="D876" t="s">
        <v>737</v>
      </c>
      <c r="F876" s="1">
        <v>46015</v>
      </c>
      <c r="G876" t="str">
        <f>IF(Table3[[#This Row],[Top Parent Account]]="",Table3[[#This Row],[Account Legal Name]],Table3[[#This Row],[Top Parent Account]])</f>
        <v>Abastecedora De Carnes San Gabriel</v>
      </c>
      <c r="H876" s="1"/>
    </row>
    <row r="877" spans="1:8" x14ac:dyDescent="0.35">
      <c r="A877" s="21"/>
      <c r="B877" t="s">
        <v>3114</v>
      </c>
      <c r="C877" t="s">
        <v>52</v>
      </c>
      <c r="D877" t="s">
        <v>3538</v>
      </c>
      <c r="F877" s="1">
        <v>46015</v>
      </c>
      <c r="G877" t="str">
        <f>IF(Table3[[#This Row],[Top Parent Account]]="",Table3[[#This Row],[Account Legal Name]],Table3[[#This Row],[Top Parent Account]])</f>
        <v>Quick Shine Cleaning Service</v>
      </c>
      <c r="H877" s="1"/>
    </row>
    <row r="878" spans="1:8" x14ac:dyDescent="0.35">
      <c r="A878" s="21"/>
      <c r="B878" t="s">
        <v>3114</v>
      </c>
      <c r="C878" t="s">
        <v>52</v>
      </c>
      <c r="D878" t="s">
        <v>3741</v>
      </c>
      <c r="F878" s="1">
        <v>46015</v>
      </c>
      <c r="G878" t="str">
        <f>IF(Table3[[#This Row],[Top Parent Account]]="",Table3[[#This Row],[Account Legal Name]],Table3[[#This Row],[Top Parent Account]])</f>
        <v>Filtros y Mallas Industriales</v>
      </c>
      <c r="H878" s="1"/>
    </row>
    <row r="879" spans="1:8" x14ac:dyDescent="0.35">
      <c r="A879" s="21"/>
      <c r="B879" t="s">
        <v>3628</v>
      </c>
      <c r="C879" t="s">
        <v>6</v>
      </c>
      <c r="D879" t="s">
        <v>4486</v>
      </c>
      <c r="F879" s="1">
        <v>46015</v>
      </c>
      <c r="G879" t="str">
        <f>IF(Table3[[#This Row],[Top Parent Account]]="",Table3[[#This Row],[Account Legal Name]],Table3[[#This Row],[Top Parent Account]])</f>
        <v>Gc Pisos Láser</v>
      </c>
      <c r="H879" s="1"/>
    </row>
    <row r="880" spans="1:8" x14ac:dyDescent="0.35">
      <c r="A880" s="21"/>
      <c r="B880" t="s">
        <v>32</v>
      </c>
      <c r="C880" t="s">
        <v>22</v>
      </c>
      <c r="D880" t="s">
        <v>4601</v>
      </c>
      <c r="F880" s="1">
        <v>46014</v>
      </c>
      <c r="G880" t="str">
        <f>IF(Table3[[#This Row],[Top Parent Account]]="",Table3[[#This Row],[Account Legal Name]],Table3[[#This Row],[Top Parent Account]])</f>
        <v>Tecno-Góndola</v>
      </c>
      <c r="H880" s="1"/>
    </row>
    <row r="881" spans="1:8" x14ac:dyDescent="0.35">
      <c r="A881" s="21"/>
      <c r="B881" t="s">
        <v>169</v>
      </c>
      <c r="C881" t="s">
        <v>6</v>
      </c>
      <c r="D881" t="s">
        <v>4483</v>
      </c>
      <c r="F881" s="1">
        <v>46014</v>
      </c>
      <c r="G881" t="str">
        <f>IF(Table3[[#This Row],[Top Parent Account]]="",Table3[[#This Row],[Account Legal Name]],Table3[[#This Row],[Top Parent Account]])</f>
        <v>CAFE RITMO</v>
      </c>
      <c r="H881" s="1"/>
    </row>
    <row r="882" spans="1:8" x14ac:dyDescent="0.35">
      <c r="A882" s="21"/>
      <c r="B882" t="s">
        <v>2693</v>
      </c>
      <c r="C882" t="s">
        <v>6</v>
      </c>
      <c r="D882" t="s">
        <v>3589</v>
      </c>
      <c r="E882" t="s">
        <v>341</v>
      </c>
      <c r="F882" s="1">
        <v>46014</v>
      </c>
      <c r="G882" t="str">
        <f>IF(Table3[[#This Row],[Top Parent Account]]="",Table3[[#This Row],[Account Legal Name]],Table3[[#This Row],[Top Parent Account]])</f>
        <v>Logistica Interncional De Mercancias</v>
      </c>
      <c r="H882" s="1"/>
    </row>
    <row r="883" spans="1:8" x14ac:dyDescent="0.35">
      <c r="A883" s="21"/>
      <c r="B883" t="s">
        <v>70</v>
      </c>
      <c r="C883" t="s">
        <v>22</v>
      </c>
      <c r="D883" t="s">
        <v>472</v>
      </c>
      <c r="F883" s="1">
        <v>46014</v>
      </c>
      <c r="G883" t="str">
        <f>IF(Table3[[#This Row],[Top Parent Account]]="",Table3[[#This Row],[Account Legal Name]],Table3[[#This Row],[Top Parent Account]])</f>
        <v>Carzor Group Hospital</v>
      </c>
      <c r="H883" s="1"/>
    </row>
    <row r="884" spans="1:8" x14ac:dyDescent="0.35">
      <c r="A884" s="21"/>
      <c r="B884" t="s">
        <v>27</v>
      </c>
      <c r="C884" t="s">
        <v>6</v>
      </c>
      <c r="D884" t="s">
        <v>489</v>
      </c>
      <c r="F884" s="1">
        <v>46014</v>
      </c>
      <c r="G884" t="str">
        <f>IF(Table3[[#This Row],[Top Parent Account]]="",Table3[[#This Row],[Account Legal Name]],Table3[[#This Row],[Top Parent Account]])</f>
        <v>Logistics Interoceanica de Carga</v>
      </c>
      <c r="H884" s="1"/>
    </row>
    <row r="885" spans="1:8" x14ac:dyDescent="0.35">
      <c r="A885" s="21"/>
      <c r="B885" t="s">
        <v>3182</v>
      </c>
      <c r="C885" t="s">
        <v>22</v>
      </c>
      <c r="D885" t="s">
        <v>480</v>
      </c>
      <c r="F885" s="1">
        <v>46014</v>
      </c>
      <c r="G885" t="str">
        <f>IF(Table3[[#This Row],[Top Parent Account]]="",Table3[[#This Row],[Account Legal Name]],Table3[[#This Row],[Top Parent Account]])</f>
        <v>Minera Media Luna</v>
      </c>
      <c r="H885" s="1"/>
    </row>
    <row r="886" spans="1:8" x14ac:dyDescent="0.35">
      <c r="A886" s="21"/>
      <c r="B886" t="s">
        <v>18</v>
      </c>
      <c r="C886" t="s">
        <v>6</v>
      </c>
      <c r="D886" t="s">
        <v>4487</v>
      </c>
      <c r="F886" s="1">
        <v>46014</v>
      </c>
      <c r="G886" t="str">
        <f>IF(Table3[[#This Row],[Top Parent Account]]="",Table3[[#This Row],[Account Legal Name]],Table3[[#This Row],[Top Parent Account]])</f>
        <v>Fenixchem Mexico</v>
      </c>
      <c r="H886" s="1"/>
    </row>
    <row r="887" spans="1:8" x14ac:dyDescent="0.35">
      <c r="A887" s="21"/>
      <c r="B887" t="s">
        <v>3182</v>
      </c>
      <c r="C887" t="s">
        <v>22</v>
      </c>
      <c r="D887" t="s">
        <v>3497</v>
      </c>
      <c r="F887" s="1">
        <v>46014</v>
      </c>
      <c r="G887" t="str">
        <f>IF(Table3[[#This Row],[Top Parent Account]]="",Table3[[#This Row],[Account Legal Name]],Table3[[#This Row],[Top Parent Account]])</f>
        <v>Possehl México</v>
      </c>
      <c r="H887" s="1"/>
    </row>
    <row r="888" spans="1:8" x14ac:dyDescent="0.35">
      <c r="A888" s="21"/>
      <c r="B888" t="s">
        <v>925</v>
      </c>
      <c r="C888" t="s">
        <v>6</v>
      </c>
      <c r="D888" t="s">
        <v>4488</v>
      </c>
      <c r="F888" s="1">
        <v>46014</v>
      </c>
      <c r="G888" t="str">
        <f>IF(Table3[[#This Row],[Top Parent Account]]="",Table3[[#This Row],[Account Legal Name]],Table3[[#This Row],[Top Parent Account]])</f>
        <v>Madame Chantal</v>
      </c>
      <c r="H888" s="1"/>
    </row>
    <row r="889" spans="1:8" x14ac:dyDescent="0.35">
      <c r="A889" s="21"/>
      <c r="B889" t="s">
        <v>32</v>
      </c>
      <c r="C889" t="s">
        <v>6</v>
      </c>
      <c r="D889" t="s">
        <v>495</v>
      </c>
      <c r="F889" s="1">
        <v>46013</v>
      </c>
      <c r="G889" t="str">
        <f>IF(Table3[[#This Row],[Top Parent Account]]="",Table3[[#This Row],[Account Legal Name]],Table3[[#This Row],[Top Parent Account]])</f>
        <v>Mota-Engil México</v>
      </c>
      <c r="H889" s="1"/>
    </row>
    <row r="890" spans="1:8" x14ac:dyDescent="0.35">
      <c r="A890" s="21"/>
      <c r="B890" t="s">
        <v>925</v>
      </c>
      <c r="C890" t="s">
        <v>6</v>
      </c>
      <c r="D890" t="s">
        <v>3939</v>
      </c>
      <c r="F890" s="1">
        <v>46013</v>
      </c>
      <c r="G890" t="str">
        <f>IF(Table3[[#This Row],[Top Parent Account]]="",Table3[[#This Row],[Account Legal Name]],Table3[[#This Row],[Top Parent Account]])</f>
        <v>Mccain México</v>
      </c>
      <c r="H890" s="1"/>
    </row>
    <row r="891" spans="1:8" x14ac:dyDescent="0.35">
      <c r="A891" s="21"/>
      <c r="B891" t="s">
        <v>28</v>
      </c>
      <c r="C891" t="s">
        <v>6</v>
      </c>
      <c r="D891" t="s">
        <v>4489</v>
      </c>
      <c r="F891" s="1">
        <v>46013</v>
      </c>
      <c r="G891" t="str">
        <f>IF(Table3[[#This Row],[Top Parent Account]]="",Table3[[#This Row],[Account Legal Name]],Table3[[#This Row],[Top Parent Account]])</f>
        <v>Maquinaria Magnum</v>
      </c>
      <c r="H891" s="1"/>
    </row>
    <row r="892" spans="1:8" x14ac:dyDescent="0.35">
      <c r="A892" s="21"/>
      <c r="B892" t="s">
        <v>37</v>
      </c>
      <c r="C892" t="s">
        <v>6</v>
      </c>
      <c r="D892" t="s">
        <v>4490</v>
      </c>
      <c r="F892" s="1">
        <v>46013</v>
      </c>
      <c r="G892" t="str">
        <f>IF(Table3[[#This Row],[Top Parent Account]]="",Table3[[#This Row],[Account Legal Name]],Table3[[#This Row],[Top Parent Account]])</f>
        <v>LABORATORIOS RAMOS</v>
      </c>
      <c r="H892" s="1"/>
    </row>
    <row r="893" spans="1:8" x14ac:dyDescent="0.35">
      <c r="A893" s="21"/>
      <c r="B893" t="s">
        <v>23</v>
      </c>
      <c r="C893" t="s">
        <v>6</v>
      </c>
      <c r="D893" t="s">
        <v>4482</v>
      </c>
      <c r="F893" s="1">
        <v>46013</v>
      </c>
      <c r="G893" t="str">
        <f>IF(Table3[[#This Row],[Top Parent Account]]="",Table3[[#This Row],[Account Legal Name]],Table3[[#This Row],[Top Parent Account]])</f>
        <v>NATURAL PET NUTRITION</v>
      </c>
      <c r="H893" s="1"/>
    </row>
    <row r="894" spans="1:8" x14ac:dyDescent="0.35">
      <c r="A894" s="21"/>
      <c r="B894" t="s">
        <v>1899</v>
      </c>
      <c r="C894" t="s">
        <v>22</v>
      </c>
      <c r="D894" t="s">
        <v>4491</v>
      </c>
      <c r="F894" s="1">
        <v>46013</v>
      </c>
      <c r="G894" t="str">
        <f>IF(Table3[[#This Row],[Top Parent Account]]="",Table3[[#This Row],[Account Legal Name]],Table3[[#This Row],[Top Parent Account]])</f>
        <v>Telecomunicaciones y Servicios del Norte</v>
      </c>
      <c r="H894" s="1"/>
    </row>
    <row r="895" spans="1:8" x14ac:dyDescent="0.35">
      <c r="A895" s="21"/>
      <c r="B895" t="s">
        <v>88</v>
      </c>
      <c r="C895" t="s">
        <v>6</v>
      </c>
      <c r="D895" t="s">
        <v>4492</v>
      </c>
      <c r="F895" s="1">
        <v>46013</v>
      </c>
      <c r="G895" t="str">
        <f>IF(Table3[[#This Row],[Top Parent Account]]="",Table3[[#This Row],[Account Legal Name]],Table3[[#This Row],[Top Parent Account]])</f>
        <v>R&amp;R SERMA IND</v>
      </c>
      <c r="H895" s="1"/>
    </row>
    <row r="896" spans="1:8" x14ac:dyDescent="0.35">
      <c r="A896" s="21"/>
      <c r="B896" t="s">
        <v>37</v>
      </c>
      <c r="C896" t="s">
        <v>6</v>
      </c>
      <c r="D896" t="s">
        <v>4493</v>
      </c>
      <c r="F896" s="1">
        <v>46013</v>
      </c>
      <c r="G896" t="str">
        <f>IF(Table3[[#This Row],[Top Parent Account]]="",Table3[[#This Row],[Account Legal Name]],Table3[[#This Row],[Top Parent Account]])</f>
        <v>Industrias Vázquez</v>
      </c>
      <c r="H896" s="1"/>
    </row>
    <row r="897" spans="1:8" x14ac:dyDescent="0.35">
      <c r="A897" s="21"/>
      <c r="B897" t="s">
        <v>3114</v>
      </c>
      <c r="C897" t="s">
        <v>52</v>
      </c>
      <c r="D897" t="s">
        <v>4494</v>
      </c>
      <c r="F897" s="1">
        <v>46013</v>
      </c>
      <c r="G897" t="str">
        <f>IF(Table3[[#This Row],[Top Parent Account]]="",Table3[[#This Row],[Account Legal Name]],Table3[[#This Row],[Top Parent Account]])</f>
        <v>CORPORACIÓN SANTA FE</v>
      </c>
      <c r="H897" s="1"/>
    </row>
    <row r="898" spans="1:8" x14ac:dyDescent="0.35">
      <c r="A898" s="21"/>
      <c r="B898" t="s">
        <v>116</v>
      </c>
      <c r="C898" t="s">
        <v>22</v>
      </c>
      <c r="D898" t="s">
        <v>1310</v>
      </c>
      <c r="F898" s="1">
        <v>46010</v>
      </c>
      <c r="G898" t="str">
        <f>IF(Table3[[#This Row],[Top Parent Account]]="",Table3[[#This Row],[Account Legal Name]],Table3[[#This Row],[Top Parent Account]])</f>
        <v>Interdeli</v>
      </c>
      <c r="H898" s="1"/>
    </row>
    <row r="899" spans="1:8" x14ac:dyDescent="0.35">
      <c r="A899" s="21"/>
      <c r="B899" t="s">
        <v>121</v>
      </c>
      <c r="C899" t="s">
        <v>6</v>
      </c>
      <c r="D899" t="s">
        <v>4507</v>
      </c>
      <c r="F899" s="1">
        <v>46010</v>
      </c>
      <c r="G899" t="str">
        <f>IF(Table3[[#This Row],[Top Parent Account]]="",Table3[[#This Row],[Account Legal Name]],Table3[[#This Row],[Top Parent Account]])</f>
        <v>Vama Importaciones</v>
      </c>
      <c r="H899" s="1"/>
    </row>
    <row r="900" spans="1:8" x14ac:dyDescent="0.35">
      <c r="A900" s="21"/>
      <c r="B900" t="s">
        <v>208</v>
      </c>
      <c r="C900" t="s">
        <v>6</v>
      </c>
      <c r="D900" t="s">
        <v>4508</v>
      </c>
      <c r="F900" s="1">
        <v>46010</v>
      </c>
      <c r="G900" t="str">
        <f>IF(Table3[[#This Row],[Top Parent Account]]="",Table3[[#This Row],[Account Legal Name]],Table3[[#This Row],[Top Parent Account]])</f>
        <v>PROCESOS Y ACABADOS EN ARTES GRAFICAS.</v>
      </c>
      <c r="H900" s="1"/>
    </row>
    <row r="901" spans="1:8" x14ac:dyDescent="0.35">
      <c r="A901" s="21"/>
      <c r="B901" t="s">
        <v>88</v>
      </c>
      <c r="C901" t="s">
        <v>6</v>
      </c>
      <c r="D901" t="s">
        <v>4509</v>
      </c>
      <c r="F901" s="1">
        <v>46010</v>
      </c>
      <c r="G901" t="str">
        <f>IF(Table3[[#This Row],[Top Parent Account]]="",Table3[[#This Row],[Account Legal Name]],Table3[[#This Row],[Top Parent Account]])</f>
        <v>NUFOZA</v>
      </c>
      <c r="H901" s="1"/>
    </row>
    <row r="902" spans="1:8" x14ac:dyDescent="0.35">
      <c r="A902" s="21"/>
      <c r="B902" t="s">
        <v>739</v>
      </c>
      <c r="C902" t="s">
        <v>6</v>
      </c>
      <c r="D902" t="s">
        <v>4510</v>
      </c>
      <c r="F902" s="1">
        <v>46010</v>
      </c>
      <c r="G902" t="str">
        <f>IF(Table3[[#This Row],[Top Parent Account]]="",Table3[[#This Row],[Account Legal Name]],Table3[[#This Row],[Top Parent Account]])</f>
        <v>Grupo Forza del Mayab</v>
      </c>
      <c r="H902" s="1"/>
    </row>
    <row r="903" spans="1:8" x14ac:dyDescent="0.35">
      <c r="A903" s="21"/>
      <c r="B903" t="s">
        <v>24</v>
      </c>
      <c r="C903" t="s">
        <v>6</v>
      </c>
      <c r="D903" t="s">
        <v>3232</v>
      </c>
      <c r="F903" s="1">
        <v>46010</v>
      </c>
      <c r="G903" t="str">
        <f>IF(Table3[[#This Row],[Top Parent Account]]="",Table3[[#This Row],[Account Legal Name]],Table3[[#This Row],[Top Parent Account]])</f>
        <v>MT Pesca Industrial</v>
      </c>
      <c r="H903" s="1"/>
    </row>
    <row r="904" spans="1:8" x14ac:dyDescent="0.35">
      <c r="A904" s="21"/>
      <c r="B904" t="s">
        <v>1511</v>
      </c>
      <c r="C904" t="s">
        <v>22</v>
      </c>
      <c r="D904" t="s">
        <v>3559</v>
      </c>
      <c r="F904" s="1">
        <v>46010</v>
      </c>
      <c r="G904" t="str">
        <f>IF(Table3[[#This Row],[Top Parent Account]]="",Table3[[#This Row],[Account Legal Name]],Table3[[#This Row],[Top Parent Account]])</f>
        <v>Premaco Asfaltos Básicos</v>
      </c>
      <c r="H904" s="1"/>
    </row>
    <row r="905" spans="1:8" x14ac:dyDescent="0.35">
      <c r="A905" s="21"/>
      <c r="B905" t="s">
        <v>1511</v>
      </c>
      <c r="C905" t="s">
        <v>6</v>
      </c>
      <c r="D905" t="s">
        <v>3259</v>
      </c>
      <c r="F905" s="1">
        <v>46010</v>
      </c>
      <c r="G905" t="str">
        <f>IF(Table3[[#This Row],[Top Parent Account]]="",Table3[[#This Row],[Account Legal Name]],Table3[[#This Row],[Top Parent Account]])</f>
        <v>GREENBRICK</v>
      </c>
      <c r="H905" s="1"/>
    </row>
    <row r="906" spans="1:8" x14ac:dyDescent="0.35">
      <c r="A906" s="21"/>
      <c r="B906" t="s">
        <v>121</v>
      </c>
      <c r="C906" t="s">
        <v>6</v>
      </c>
      <c r="D906" t="s">
        <v>4511</v>
      </c>
      <c r="F906" s="1">
        <v>46010</v>
      </c>
      <c r="G906" t="str">
        <f>IF(Table3[[#This Row],[Top Parent Account]]="",Table3[[#This Row],[Account Legal Name]],Table3[[#This Row],[Top Parent Account]])</f>
        <v>REPRESENTACIONES DINÁMICAS DE OCCIDENTE</v>
      </c>
      <c r="H906" s="1"/>
    </row>
    <row r="907" spans="1:8" x14ac:dyDescent="0.35">
      <c r="A907" s="21"/>
      <c r="B907" t="s">
        <v>1511</v>
      </c>
      <c r="C907" t="s">
        <v>6</v>
      </c>
      <c r="D907" t="s">
        <v>1681</v>
      </c>
      <c r="F907" s="1">
        <v>46010</v>
      </c>
      <c r="G907" t="str">
        <f>IF(Table3[[#This Row],[Top Parent Account]]="",Table3[[#This Row],[Account Legal Name]],Table3[[#This Row],[Top Parent Account]])</f>
        <v>K-FLEX DE MEXICO</v>
      </c>
      <c r="H907" s="1"/>
    </row>
    <row r="908" spans="1:8" x14ac:dyDescent="0.35">
      <c r="A908" s="21"/>
      <c r="B908" t="s">
        <v>27</v>
      </c>
      <c r="C908" t="s">
        <v>6</v>
      </c>
      <c r="D908" t="s">
        <v>1299</v>
      </c>
      <c r="F908" s="1">
        <v>46010</v>
      </c>
      <c r="G908" t="str">
        <f>IF(Table3[[#This Row],[Top Parent Account]]="",Table3[[#This Row],[Account Legal Name]],Table3[[#This Row],[Top Parent Account]])</f>
        <v>Bedacom</v>
      </c>
      <c r="H908" s="1"/>
    </row>
    <row r="909" spans="1:8" x14ac:dyDescent="0.35">
      <c r="A909" s="21"/>
      <c r="B909" t="s">
        <v>2693</v>
      </c>
      <c r="C909" t="s">
        <v>6</v>
      </c>
      <c r="D909" t="s">
        <v>4512</v>
      </c>
      <c r="F909" s="1">
        <v>46010</v>
      </c>
      <c r="G909" t="str">
        <f>IF(Table3[[#This Row],[Top Parent Account]]="",Table3[[#This Row],[Account Legal Name]],Table3[[#This Row],[Top Parent Account]])</f>
        <v>Superficie Producciones</v>
      </c>
      <c r="H909" s="1"/>
    </row>
    <row r="910" spans="1:8" x14ac:dyDescent="0.35">
      <c r="A910" s="21"/>
      <c r="B910" t="s">
        <v>3628</v>
      </c>
      <c r="C910" t="s">
        <v>6</v>
      </c>
      <c r="D910" t="s">
        <v>191</v>
      </c>
      <c r="F910" s="1">
        <v>46010</v>
      </c>
      <c r="G910" t="str">
        <f>IF(Table3[[#This Row],[Top Parent Account]]="",Table3[[#This Row],[Account Legal Name]],Table3[[#This Row],[Top Parent Account]])</f>
        <v>Nutec Group</v>
      </c>
      <c r="H910" s="1"/>
    </row>
    <row r="911" spans="1:8" x14ac:dyDescent="0.35">
      <c r="A911" s="21"/>
      <c r="B911" t="s">
        <v>88</v>
      </c>
      <c r="C911" t="s">
        <v>22</v>
      </c>
      <c r="D911" t="s">
        <v>1440</v>
      </c>
      <c r="F911" s="1">
        <v>46010</v>
      </c>
      <c r="G911" t="str">
        <f>IF(Table3[[#This Row],[Top Parent Account]]="",Table3[[#This Row],[Account Legal Name]],Table3[[#This Row],[Top Parent Account]])</f>
        <v>MVC PRODUCCIONES INTERNACIONALES</v>
      </c>
      <c r="H911" s="1"/>
    </row>
    <row r="912" spans="1:8" x14ac:dyDescent="0.35">
      <c r="A912" s="21"/>
      <c r="B912" t="s">
        <v>1131</v>
      </c>
      <c r="C912" t="s">
        <v>6</v>
      </c>
      <c r="D912" t="s">
        <v>4397</v>
      </c>
      <c r="F912" s="1">
        <v>46009</v>
      </c>
      <c r="G912" t="str">
        <f>IF(Table3[[#This Row],[Top Parent Account]]="",Table3[[#This Row],[Account Legal Name]],Table3[[#This Row],[Top Parent Account]])</f>
        <v>AVICOLA ABE</v>
      </c>
      <c r="H912" s="1"/>
    </row>
    <row r="913" spans="1:8" x14ac:dyDescent="0.35">
      <c r="A913" s="21"/>
      <c r="B913" t="s">
        <v>28</v>
      </c>
      <c r="C913" t="s">
        <v>6</v>
      </c>
      <c r="D913" t="s">
        <v>4513</v>
      </c>
      <c r="F913" s="1">
        <v>46009</v>
      </c>
      <c r="G913" t="str">
        <f>IF(Table3[[#This Row],[Top Parent Account]]="",Table3[[#This Row],[Account Legal Name]],Table3[[#This Row],[Top Parent Account]])</f>
        <v>SEASA NUEVO LEON</v>
      </c>
      <c r="H913" s="1"/>
    </row>
    <row r="914" spans="1:8" x14ac:dyDescent="0.35">
      <c r="A914" s="21"/>
      <c r="B914" t="s">
        <v>1131</v>
      </c>
      <c r="C914" t="s">
        <v>6</v>
      </c>
      <c r="D914" t="s">
        <v>4281</v>
      </c>
      <c r="F914" s="1">
        <v>46009</v>
      </c>
      <c r="G914" t="str">
        <f>IF(Table3[[#This Row],[Top Parent Account]]="",Table3[[#This Row],[Account Legal Name]],Table3[[#This Row],[Top Parent Account]])</f>
        <v>Efigroup</v>
      </c>
      <c r="H914" s="1"/>
    </row>
    <row r="915" spans="1:8" x14ac:dyDescent="0.35">
      <c r="A915" s="21"/>
      <c r="B915" t="s">
        <v>23</v>
      </c>
      <c r="C915" t="s">
        <v>6</v>
      </c>
      <c r="D915" t="s">
        <v>4515</v>
      </c>
      <c r="F915" s="1">
        <v>46009</v>
      </c>
      <c r="G915" t="str">
        <f>IF(Table3[[#This Row],[Top Parent Account]]="",Table3[[#This Row],[Account Legal Name]],Table3[[#This Row],[Top Parent Account]])</f>
        <v>Wafios</v>
      </c>
      <c r="H915" s="1"/>
    </row>
    <row r="916" spans="1:8" x14ac:dyDescent="0.35">
      <c r="A916" s="21"/>
      <c r="B916" t="s">
        <v>925</v>
      </c>
      <c r="C916" t="s">
        <v>22</v>
      </c>
      <c r="D916" t="s">
        <v>4516</v>
      </c>
      <c r="F916" s="1">
        <v>46009</v>
      </c>
      <c r="G916" t="str">
        <f>IF(Table3[[#This Row],[Top Parent Account]]="",Table3[[#This Row],[Account Legal Name]],Table3[[#This Row],[Top Parent Account]])</f>
        <v>José Miguel García García</v>
      </c>
      <c r="H916" s="1"/>
    </row>
    <row r="917" spans="1:8" x14ac:dyDescent="0.35">
      <c r="A917" s="21"/>
      <c r="B917" t="s">
        <v>169</v>
      </c>
      <c r="C917" t="s">
        <v>6</v>
      </c>
      <c r="D917" t="s">
        <v>4514</v>
      </c>
      <c r="F917" s="1">
        <v>46009</v>
      </c>
      <c r="G917" t="str">
        <f>IF(Table3[[#This Row],[Top Parent Account]]="",Table3[[#This Row],[Account Legal Name]],Table3[[#This Row],[Top Parent Account]])</f>
        <v>Preconcreto De Veracruz</v>
      </c>
      <c r="H917" s="1"/>
    </row>
    <row r="918" spans="1:8" x14ac:dyDescent="0.35">
      <c r="A918" s="21"/>
      <c r="B918" t="s">
        <v>2345</v>
      </c>
      <c r="C918" t="s">
        <v>6</v>
      </c>
      <c r="D918" t="s">
        <v>4517</v>
      </c>
      <c r="F918" s="1">
        <v>46009</v>
      </c>
      <c r="G918" t="str">
        <f>IF(Table3[[#This Row],[Top Parent Account]]="",Table3[[#This Row],[Account Legal Name]],Table3[[#This Row],[Top Parent Account]])</f>
        <v>Laboratorios Def</v>
      </c>
      <c r="H918" s="1"/>
    </row>
    <row r="919" spans="1:8" x14ac:dyDescent="0.35">
      <c r="A919" s="21"/>
      <c r="B919" t="s">
        <v>2912</v>
      </c>
      <c r="C919" t="s">
        <v>6</v>
      </c>
      <c r="D919" t="s">
        <v>4518</v>
      </c>
      <c r="E919" t="s">
        <v>4519</v>
      </c>
      <c r="F919" s="1">
        <v>46009</v>
      </c>
      <c r="G919" t="str">
        <f>IF(Table3[[#This Row],[Top Parent Account]]="",Table3[[#This Row],[Account Legal Name]],Table3[[#This Row],[Top Parent Account]])</f>
        <v>Alpharma México</v>
      </c>
      <c r="H919" s="1"/>
    </row>
    <row r="920" spans="1:8" x14ac:dyDescent="0.35">
      <c r="A920" s="21"/>
      <c r="B920" t="s">
        <v>84</v>
      </c>
      <c r="C920" t="s">
        <v>844</v>
      </c>
      <c r="D920" t="s">
        <v>384</v>
      </c>
      <c r="F920" s="1">
        <v>46009</v>
      </c>
      <c r="G920" t="str">
        <f>IF(Table3[[#This Row],[Top Parent Account]]="",Table3[[#This Row],[Account Legal Name]],Table3[[#This Row],[Top Parent Account]])</f>
        <v>Empacadora Rosarito</v>
      </c>
      <c r="H920" s="1"/>
    </row>
    <row r="921" spans="1:8" x14ac:dyDescent="0.35">
      <c r="A921" s="21"/>
      <c r="B921" t="s">
        <v>29</v>
      </c>
      <c r="C921" t="s">
        <v>6</v>
      </c>
      <c r="D921" t="s">
        <v>4520</v>
      </c>
      <c r="F921" s="1">
        <v>46009</v>
      </c>
      <c r="G921" t="str">
        <f>IF(Table3[[#This Row],[Top Parent Account]]="",Table3[[#This Row],[Account Legal Name]],Table3[[#This Row],[Top Parent Account]])</f>
        <v>Productos Carey</v>
      </c>
      <c r="H921" s="1"/>
    </row>
    <row r="922" spans="1:8" x14ac:dyDescent="0.35">
      <c r="A922" s="21"/>
      <c r="B922" t="s">
        <v>10</v>
      </c>
      <c r="C922" t="s">
        <v>6</v>
      </c>
      <c r="D922" t="s">
        <v>1317</v>
      </c>
      <c r="F922" s="1">
        <v>46009</v>
      </c>
      <c r="G922" t="str">
        <f>IF(Table3[[#This Row],[Top Parent Account]]="",Table3[[#This Row],[Account Legal Name]],Table3[[#This Row],[Top Parent Account]])</f>
        <v>Laboratorios Pisa</v>
      </c>
      <c r="H922" s="1"/>
    </row>
    <row r="923" spans="1:8" x14ac:dyDescent="0.35">
      <c r="A923" s="21"/>
      <c r="B923" t="s">
        <v>27</v>
      </c>
      <c r="C923" t="s">
        <v>6</v>
      </c>
      <c r="D923" t="s">
        <v>1295</v>
      </c>
      <c r="F923" s="1">
        <v>46009</v>
      </c>
      <c r="G923" t="str">
        <f>IF(Table3[[#This Row],[Top Parent Account]]="",Table3[[#This Row],[Account Legal Name]],Table3[[#This Row],[Top Parent Account]])</f>
        <v>Proteina Animal</v>
      </c>
      <c r="H923" s="1"/>
    </row>
    <row r="924" spans="1:8" x14ac:dyDescent="0.35">
      <c r="A924" s="21"/>
      <c r="B924" t="s">
        <v>27</v>
      </c>
      <c r="C924" t="s">
        <v>22</v>
      </c>
      <c r="D924" t="s">
        <v>1291</v>
      </c>
      <c r="F924" s="1">
        <v>46009</v>
      </c>
      <c r="G924" t="str">
        <f>IF(Table3[[#This Row],[Top Parent Account]]="",Table3[[#This Row],[Account Legal Name]],Table3[[#This Row],[Top Parent Account]])</f>
        <v>Beta Procesos</v>
      </c>
      <c r="H924" s="1"/>
    </row>
    <row r="925" spans="1:8" x14ac:dyDescent="0.35">
      <c r="A925" s="21"/>
      <c r="B925" t="s">
        <v>3628</v>
      </c>
      <c r="C925" t="s">
        <v>6</v>
      </c>
      <c r="D925" t="s">
        <v>4521</v>
      </c>
      <c r="F925" s="1">
        <v>46009</v>
      </c>
      <c r="G925" t="str">
        <f>IF(Table3[[#This Row],[Top Parent Account]]="",Table3[[#This Row],[Account Legal Name]],Table3[[#This Row],[Top Parent Account]])</f>
        <v>Real Alloy México</v>
      </c>
      <c r="H925" s="1"/>
    </row>
    <row r="926" spans="1:8" x14ac:dyDescent="0.35">
      <c r="A926" s="21"/>
      <c r="B926" t="s">
        <v>39</v>
      </c>
      <c r="C926" t="s">
        <v>4522</v>
      </c>
      <c r="D926" t="s">
        <v>1981</v>
      </c>
      <c r="F926" s="1">
        <v>46009</v>
      </c>
      <c r="G926" t="str">
        <f>IF(Table3[[#This Row],[Top Parent Account]]="",Table3[[#This Row],[Account Legal Name]],Table3[[#This Row],[Top Parent Account]])</f>
        <v>Consultoría y Asesoría De Redes</v>
      </c>
      <c r="H926" s="1"/>
    </row>
    <row r="927" spans="1:8" x14ac:dyDescent="0.35">
      <c r="A927" s="21"/>
      <c r="B927" t="s">
        <v>3182</v>
      </c>
      <c r="C927" t="s">
        <v>22</v>
      </c>
      <c r="D927" t="s">
        <v>1021</v>
      </c>
      <c r="F927" s="1">
        <v>46009</v>
      </c>
      <c r="G927" t="str">
        <f>IF(Table3[[#This Row],[Top Parent Account]]="",Table3[[#This Row],[Account Legal Name]],Table3[[#This Row],[Top Parent Account]])</f>
        <v>Puratos de México</v>
      </c>
      <c r="H927" s="1"/>
    </row>
    <row r="928" spans="1:8" x14ac:dyDescent="0.35">
      <c r="A928" s="21"/>
      <c r="B928" t="s">
        <v>88</v>
      </c>
      <c r="C928" t="s">
        <v>6</v>
      </c>
      <c r="D928" t="s">
        <v>4523</v>
      </c>
      <c r="F928" s="1">
        <v>46009</v>
      </c>
      <c r="G928" t="str">
        <f>IF(Table3[[#This Row],[Top Parent Account]]="",Table3[[#This Row],[Account Legal Name]],Table3[[#This Row],[Top Parent Account]])</f>
        <v>Manuel Martinez Castillero</v>
      </c>
      <c r="H928" s="1"/>
    </row>
    <row r="929" spans="1:8" x14ac:dyDescent="0.35">
      <c r="A929" s="21"/>
      <c r="B929" t="s">
        <v>932</v>
      </c>
      <c r="C929" t="s">
        <v>6</v>
      </c>
      <c r="D929" t="s">
        <v>65</v>
      </c>
      <c r="F929" s="1">
        <v>46009</v>
      </c>
      <c r="G929" t="str">
        <f>IF(Table3[[#This Row],[Top Parent Account]]="",Table3[[#This Row],[Account Legal Name]],Table3[[#This Row],[Top Parent Account]])</f>
        <v>Smart Center</v>
      </c>
      <c r="H929" s="1"/>
    </row>
    <row r="930" spans="1:8" x14ac:dyDescent="0.35">
      <c r="A930" s="21"/>
      <c r="B930" t="s">
        <v>1899</v>
      </c>
      <c r="C930" t="s">
        <v>6</v>
      </c>
      <c r="D930" t="s">
        <v>4180</v>
      </c>
      <c r="F930" s="1">
        <v>46009</v>
      </c>
      <c r="G930" t="str">
        <f>IF(Table3[[#This Row],[Top Parent Account]]="",Table3[[#This Row],[Account Legal Name]],Table3[[#This Row],[Top Parent Account]])</f>
        <v>Concretos Tecnicos de México</v>
      </c>
      <c r="H930" s="1"/>
    </row>
    <row r="931" spans="1:8" x14ac:dyDescent="0.35">
      <c r="A931" s="21"/>
      <c r="B931" t="s">
        <v>1511</v>
      </c>
      <c r="C931" t="s">
        <v>6</v>
      </c>
      <c r="D931" t="s">
        <v>3173</v>
      </c>
      <c r="F931" s="1">
        <v>46009</v>
      </c>
      <c r="G931" t="str">
        <f>IF(Table3[[#This Row],[Top Parent Account]]="",Table3[[#This Row],[Account Legal Name]],Table3[[#This Row],[Top Parent Account]])</f>
        <v>Toreo Motors</v>
      </c>
      <c r="H931" s="1"/>
    </row>
    <row r="932" spans="1:8" x14ac:dyDescent="0.35">
      <c r="A932" s="21"/>
      <c r="B932" t="s">
        <v>1511</v>
      </c>
      <c r="C932" t="s">
        <v>6</v>
      </c>
      <c r="D932" t="s">
        <v>965</v>
      </c>
      <c r="F932" s="1">
        <v>46009</v>
      </c>
      <c r="G932" t="str">
        <f>IF(Table3[[#This Row],[Top Parent Account]]="",Table3[[#This Row],[Account Legal Name]],Table3[[#This Row],[Top Parent Account]])</f>
        <v>Tagar Maquinaria</v>
      </c>
      <c r="H932" s="1"/>
    </row>
    <row r="933" spans="1:8" x14ac:dyDescent="0.35">
      <c r="A933" s="21"/>
      <c r="B933" t="s">
        <v>207</v>
      </c>
      <c r="C933" t="s">
        <v>6</v>
      </c>
      <c r="D933" t="s">
        <v>4524</v>
      </c>
      <c r="F933" s="1">
        <v>46009</v>
      </c>
      <c r="G933" t="str">
        <f>IF(Table3[[#This Row],[Top Parent Account]]="",Table3[[#This Row],[Account Legal Name]],Table3[[#This Row],[Top Parent Account]])</f>
        <v>Solarig México</v>
      </c>
      <c r="H933" s="1"/>
    </row>
    <row r="934" spans="1:8" x14ac:dyDescent="0.35">
      <c r="A934" s="21"/>
      <c r="B934" t="s">
        <v>2658</v>
      </c>
      <c r="C934" t="s">
        <v>6</v>
      </c>
      <c r="D934" t="s">
        <v>4525</v>
      </c>
      <c r="F934" s="1">
        <v>46009</v>
      </c>
      <c r="G934" t="str">
        <f>IF(Table3[[#This Row],[Top Parent Account]]="",Table3[[#This Row],[Account Legal Name]],Table3[[#This Row],[Top Parent Account]])</f>
        <v>GRUPO PGL MEXICO</v>
      </c>
      <c r="H934" s="1"/>
    </row>
    <row r="935" spans="1:8" x14ac:dyDescent="0.35">
      <c r="A935" s="21"/>
      <c r="B935" t="s">
        <v>14</v>
      </c>
      <c r="C935" t="s">
        <v>6</v>
      </c>
      <c r="D935" t="s">
        <v>4433</v>
      </c>
      <c r="F935" s="1">
        <v>46009</v>
      </c>
      <c r="G935" t="str">
        <f>IF(Table3[[#This Row],[Top Parent Account]]="",Table3[[#This Row],[Account Legal Name]],Table3[[#This Row],[Top Parent Account]])</f>
        <v>Farmiral</v>
      </c>
      <c r="H935" s="1"/>
    </row>
    <row r="936" spans="1:8" x14ac:dyDescent="0.35">
      <c r="A936" s="21"/>
      <c r="B936" t="s">
        <v>77</v>
      </c>
      <c r="C936" t="s">
        <v>6</v>
      </c>
      <c r="D936" t="s">
        <v>4526</v>
      </c>
      <c r="F936" s="1">
        <v>46009</v>
      </c>
      <c r="G936" t="str">
        <f>IF(Table3[[#This Row],[Top Parent Account]]="",Table3[[#This Row],[Account Legal Name]],Table3[[#This Row],[Top Parent Account]])</f>
        <v>Equipos y Servicios Industriales del Cobre</v>
      </c>
      <c r="H936" s="1"/>
    </row>
    <row r="937" spans="1:8" x14ac:dyDescent="0.35">
      <c r="A937" s="21"/>
      <c r="B937" t="s">
        <v>3114</v>
      </c>
      <c r="C937" t="s">
        <v>52</v>
      </c>
      <c r="D937" t="s">
        <v>4527</v>
      </c>
      <c r="F937" s="1">
        <v>46009</v>
      </c>
      <c r="G937" t="str">
        <f>IF(Table3[[#This Row],[Top Parent Account]]="",Table3[[#This Row],[Account Legal Name]],Table3[[#This Row],[Top Parent Account]])</f>
        <v>UNICORP ALIMENTOS</v>
      </c>
      <c r="H937" s="1"/>
    </row>
    <row r="938" spans="1:8" x14ac:dyDescent="0.35">
      <c r="A938" s="21"/>
      <c r="B938" t="s">
        <v>4472</v>
      </c>
      <c r="C938" t="s">
        <v>6</v>
      </c>
      <c r="D938" t="s">
        <v>206</v>
      </c>
      <c r="F938" s="1">
        <v>46009</v>
      </c>
      <c r="G938" t="str">
        <f>IF(Table3[[#This Row],[Top Parent Account]]="",Table3[[#This Row],[Account Legal Name]],Table3[[#This Row],[Top Parent Account]])</f>
        <v>MANUFACTURERA FEHR</v>
      </c>
      <c r="H938" s="1"/>
    </row>
    <row r="939" spans="1:8" x14ac:dyDescent="0.35">
      <c r="A939" s="21"/>
      <c r="B939" t="s">
        <v>172</v>
      </c>
      <c r="C939" t="s">
        <v>6</v>
      </c>
      <c r="D939" t="s">
        <v>4528</v>
      </c>
      <c r="F939" s="1">
        <v>46009</v>
      </c>
      <c r="G939" t="str">
        <f>IF(Table3[[#This Row],[Top Parent Account]]="",Table3[[#This Row],[Account Legal Name]],Table3[[#This Row],[Top Parent Account]])</f>
        <v>Hexágonos Mexicanos</v>
      </c>
      <c r="H939" s="1"/>
    </row>
    <row r="940" spans="1:8" x14ac:dyDescent="0.35">
      <c r="A940" s="21"/>
      <c r="B940" t="s">
        <v>39</v>
      </c>
      <c r="C940" t="s">
        <v>4529</v>
      </c>
      <c r="D940" t="s">
        <v>520</v>
      </c>
      <c r="F940" s="1">
        <v>46009</v>
      </c>
      <c r="G940" t="str">
        <f>IF(Table3[[#This Row],[Top Parent Account]]="",Table3[[#This Row],[Account Legal Name]],Table3[[#This Row],[Top Parent Account]])</f>
        <v>Comercializadora de Alimentos Ochoa</v>
      </c>
      <c r="H940" s="1"/>
    </row>
    <row r="941" spans="1:8" x14ac:dyDescent="0.35">
      <c r="A941" s="21"/>
      <c r="B941" t="s">
        <v>3092</v>
      </c>
      <c r="C941" t="s">
        <v>6</v>
      </c>
      <c r="D941" t="s">
        <v>4530</v>
      </c>
      <c r="F941" s="1">
        <v>46009</v>
      </c>
      <c r="G941" t="str">
        <f>IF(Table3[[#This Row],[Top Parent Account]]="",Table3[[#This Row],[Account Legal Name]],Table3[[#This Row],[Top Parent Account]])</f>
        <v>Tlw Freight México</v>
      </c>
      <c r="H941" s="1"/>
    </row>
    <row r="942" spans="1:8" x14ac:dyDescent="0.35">
      <c r="A942" s="21"/>
      <c r="B942" t="s">
        <v>84</v>
      </c>
      <c r="C942" t="s">
        <v>193</v>
      </c>
      <c r="D942" t="s">
        <v>4531</v>
      </c>
      <c r="F942" s="1">
        <v>46009</v>
      </c>
      <c r="G942" t="str">
        <f>IF(Table3[[#This Row],[Top Parent Account]]="",Table3[[#This Row],[Account Legal Name]],Table3[[#This Row],[Top Parent Account]])</f>
        <v>ALIADOS DE CONCRETO</v>
      </c>
      <c r="H942" s="1"/>
    </row>
    <row r="943" spans="1:8" x14ac:dyDescent="0.35">
      <c r="A943" s="21"/>
      <c r="B943" t="s">
        <v>84</v>
      </c>
      <c r="C943" t="s">
        <v>193</v>
      </c>
      <c r="D943" t="s">
        <v>4532</v>
      </c>
      <c r="F943" s="1">
        <v>46009</v>
      </c>
      <c r="G943" t="str">
        <f>IF(Table3[[#This Row],[Top Parent Account]]="",Table3[[#This Row],[Account Legal Name]],Table3[[#This Row],[Top Parent Account]])</f>
        <v>Comercializadora de Acero Mty</v>
      </c>
      <c r="H943" s="1"/>
    </row>
    <row r="944" spans="1:8" x14ac:dyDescent="0.35">
      <c r="A944" s="21"/>
      <c r="B944" t="s">
        <v>3628</v>
      </c>
      <c r="C944" t="s">
        <v>6</v>
      </c>
      <c r="D944" t="s">
        <v>4102</v>
      </c>
      <c r="F944" s="1">
        <v>46009</v>
      </c>
      <c r="G944" t="str">
        <f>IF(Table3[[#This Row],[Top Parent Account]]="",Table3[[#This Row],[Account Legal Name]],Table3[[#This Row],[Top Parent Account]])</f>
        <v>Amisa Monterrey</v>
      </c>
      <c r="H944" s="1"/>
    </row>
    <row r="945" spans="1:8" x14ac:dyDescent="0.35">
      <c r="A945" s="21"/>
      <c r="B945" t="s">
        <v>43</v>
      </c>
      <c r="C945" t="s">
        <v>6</v>
      </c>
      <c r="D945" t="s">
        <v>4312</v>
      </c>
      <c r="F945" s="1">
        <v>46008</v>
      </c>
      <c r="G945" t="str">
        <f>IF(Table3[[#This Row],[Top Parent Account]]="",Table3[[#This Row],[Account Legal Name]],Table3[[#This Row],[Top Parent Account]])</f>
        <v>YntegraPlast Industrial</v>
      </c>
      <c r="H945" s="1"/>
    </row>
    <row r="946" spans="1:8" x14ac:dyDescent="0.35">
      <c r="A946" s="21"/>
      <c r="B946" t="s">
        <v>1131</v>
      </c>
      <c r="C946" t="s">
        <v>6</v>
      </c>
      <c r="D946" t="s">
        <v>4533</v>
      </c>
      <c r="F946" s="1">
        <v>46008</v>
      </c>
      <c r="G946" t="str">
        <f>IF(Table3[[#This Row],[Top Parent Account]]="",Table3[[#This Row],[Account Legal Name]],Table3[[#This Row],[Top Parent Account]])</f>
        <v>FAMO ALIMENTOS</v>
      </c>
      <c r="H946" s="1"/>
    </row>
    <row r="947" spans="1:8" x14ac:dyDescent="0.35">
      <c r="A947" s="21"/>
      <c r="B947" t="s">
        <v>32</v>
      </c>
      <c r="C947" t="s">
        <v>22</v>
      </c>
      <c r="D947" t="s">
        <v>4602</v>
      </c>
      <c r="F947" s="1">
        <v>46008</v>
      </c>
      <c r="G947" t="str">
        <f>IF(Table3[[#This Row],[Top Parent Account]]="",Table3[[#This Row],[Account Legal Name]],Table3[[#This Row],[Top Parent Account]])</f>
        <v>Volkswagen de México</v>
      </c>
      <c r="H947" s="1"/>
    </row>
    <row r="948" spans="1:8" x14ac:dyDescent="0.35">
      <c r="A948" s="21"/>
      <c r="B948" t="s">
        <v>32</v>
      </c>
      <c r="C948" t="s">
        <v>6</v>
      </c>
      <c r="D948" t="s">
        <v>425</v>
      </c>
      <c r="F948" s="1">
        <v>46008</v>
      </c>
      <c r="G948" t="str">
        <f>IF(Table3[[#This Row],[Top Parent Account]]="",Table3[[#This Row],[Account Legal Name]],Table3[[#This Row],[Top Parent Account]])</f>
        <v>Po Empaques Flexibles</v>
      </c>
      <c r="H948" s="1"/>
    </row>
    <row r="949" spans="1:8" x14ac:dyDescent="0.35">
      <c r="A949" s="21"/>
      <c r="B949" t="s">
        <v>88</v>
      </c>
      <c r="C949" t="s">
        <v>6</v>
      </c>
      <c r="D949" t="s">
        <v>4534</v>
      </c>
      <c r="F949" s="1">
        <v>46008</v>
      </c>
      <c r="G949" t="str">
        <f>IF(Table3[[#This Row],[Top Parent Account]]="",Table3[[#This Row],[Account Legal Name]],Table3[[#This Row],[Top Parent Account]])</f>
        <v>PSI Plastic</v>
      </c>
      <c r="H949" s="1"/>
    </row>
    <row r="950" spans="1:8" x14ac:dyDescent="0.35">
      <c r="A950" s="21"/>
      <c r="B950" t="s">
        <v>70</v>
      </c>
      <c r="C950" t="s">
        <v>6</v>
      </c>
      <c r="D950" t="s">
        <v>508</v>
      </c>
      <c r="F950" s="1">
        <v>46008</v>
      </c>
      <c r="G950" t="str">
        <f>IF(Table3[[#This Row],[Top Parent Account]]="",Table3[[#This Row],[Account Legal Name]],Table3[[#This Row],[Top Parent Account]])</f>
        <v>Empacadora Campo Frío</v>
      </c>
      <c r="H950" s="1"/>
    </row>
    <row r="951" spans="1:8" x14ac:dyDescent="0.35">
      <c r="A951" s="21"/>
      <c r="B951" t="s">
        <v>3092</v>
      </c>
      <c r="C951" t="s">
        <v>22</v>
      </c>
      <c r="D951" t="s">
        <v>4124</v>
      </c>
      <c r="F951" s="1">
        <v>46008</v>
      </c>
      <c r="G951" t="str">
        <f>IF(Table3[[#This Row],[Top Parent Account]]="",Table3[[#This Row],[Account Legal Name]],Table3[[#This Row],[Top Parent Account]])</f>
        <v>BERRY LOVERS</v>
      </c>
      <c r="H951" s="1"/>
    </row>
    <row r="952" spans="1:8" x14ac:dyDescent="0.35">
      <c r="A952" s="21"/>
      <c r="B952" t="s">
        <v>88</v>
      </c>
      <c r="C952" t="s">
        <v>6</v>
      </c>
      <c r="D952" t="s">
        <v>4536</v>
      </c>
      <c r="F952" s="1">
        <v>46008</v>
      </c>
      <c r="G952" t="str">
        <f>IF(Table3[[#This Row],[Top Parent Account]]="",Table3[[#This Row],[Account Legal Name]],Table3[[#This Row],[Top Parent Account]])</f>
        <v>Hortalizas Frescas Vergel</v>
      </c>
      <c r="H952" s="1"/>
    </row>
    <row r="953" spans="1:8" x14ac:dyDescent="0.35">
      <c r="A953" s="21"/>
      <c r="B953" t="s">
        <v>37</v>
      </c>
      <c r="C953" t="s">
        <v>33</v>
      </c>
      <c r="D953" t="s">
        <v>4537</v>
      </c>
      <c r="F953" s="1">
        <v>46008</v>
      </c>
      <c r="G953" t="str">
        <f>IF(Table3[[#This Row],[Top Parent Account]]="",Table3[[#This Row],[Account Legal Name]],Table3[[#This Row],[Top Parent Account]])</f>
        <v>Triplay y Laminados Tj</v>
      </c>
      <c r="H953" s="1"/>
    </row>
    <row r="954" spans="1:8" x14ac:dyDescent="0.35">
      <c r="A954" s="21"/>
      <c r="B954" t="s">
        <v>4472</v>
      </c>
      <c r="C954" t="s">
        <v>6</v>
      </c>
      <c r="D954" t="s">
        <v>4535</v>
      </c>
      <c r="F954" s="1">
        <v>46008</v>
      </c>
      <c r="G954" t="str">
        <f>IF(Table3[[#This Row],[Top Parent Account]]="",Table3[[#This Row],[Account Legal Name]],Table3[[#This Row],[Top Parent Account]])</f>
        <v>Big Country</v>
      </c>
      <c r="H954" s="1"/>
    </row>
    <row r="955" spans="1:8" x14ac:dyDescent="0.35">
      <c r="A955" s="21"/>
      <c r="B955" t="s">
        <v>3129</v>
      </c>
      <c r="C955" t="s">
        <v>6</v>
      </c>
      <c r="D955" t="s">
        <v>3493</v>
      </c>
      <c r="F955" s="1">
        <v>46008</v>
      </c>
      <c r="G955" t="str">
        <f>IF(Table3[[#This Row],[Top Parent Account]]="",Table3[[#This Row],[Account Legal Name]],Table3[[#This Row],[Top Parent Account]])</f>
        <v>E6PR</v>
      </c>
      <c r="H955" s="1"/>
    </row>
    <row r="956" spans="1:8" x14ac:dyDescent="0.35">
      <c r="A956" s="21"/>
      <c r="B956" t="s">
        <v>932</v>
      </c>
      <c r="C956" t="s">
        <v>6</v>
      </c>
      <c r="D956" t="s">
        <v>4538</v>
      </c>
      <c r="F956" s="1">
        <v>46008</v>
      </c>
      <c r="G956" t="str">
        <f>IF(Table3[[#This Row],[Top Parent Account]]="",Table3[[#This Row],[Account Legal Name]],Table3[[#This Row],[Top Parent Account]])</f>
        <v>Manufactura y Logística de Grasas y Lubricantes</v>
      </c>
      <c r="H956" s="1"/>
    </row>
    <row r="957" spans="1:8" x14ac:dyDescent="0.35">
      <c r="A957" s="21"/>
      <c r="B957" t="s">
        <v>14</v>
      </c>
      <c r="C957" t="s">
        <v>6</v>
      </c>
      <c r="D957" t="s">
        <v>4539</v>
      </c>
      <c r="F957" s="1">
        <v>46008</v>
      </c>
      <c r="G957" t="str">
        <f>IF(Table3[[#This Row],[Top Parent Account]]="",Table3[[#This Row],[Account Legal Name]],Table3[[#This Row],[Top Parent Account]])</f>
        <v>Productos La Colina</v>
      </c>
      <c r="H957" s="1"/>
    </row>
    <row r="958" spans="1:8" x14ac:dyDescent="0.35">
      <c r="A958" s="21"/>
      <c r="B958" t="s">
        <v>24</v>
      </c>
      <c r="C958" t="s">
        <v>6</v>
      </c>
      <c r="D958" t="s">
        <v>4540</v>
      </c>
      <c r="F958" s="1">
        <v>46008</v>
      </c>
      <c r="G958" t="str">
        <f>IF(Table3[[#This Row],[Top Parent Account]]="",Table3[[#This Row],[Account Legal Name]],Table3[[#This Row],[Top Parent Account]])</f>
        <v>Prodapac</v>
      </c>
      <c r="H958" s="1"/>
    </row>
    <row r="959" spans="1:8" x14ac:dyDescent="0.35">
      <c r="A959" s="21"/>
      <c r="B959" t="s">
        <v>37</v>
      </c>
      <c r="C959" t="s">
        <v>6</v>
      </c>
      <c r="D959" t="s">
        <v>174</v>
      </c>
      <c r="F959" s="1">
        <v>46008</v>
      </c>
      <c r="G959" t="str">
        <f>IF(Table3[[#This Row],[Top Parent Account]]="",Table3[[#This Row],[Account Legal Name]],Table3[[#This Row],[Top Parent Account]])</f>
        <v>CW Metal</v>
      </c>
      <c r="H959" s="1"/>
    </row>
    <row r="960" spans="1:8" x14ac:dyDescent="0.35">
      <c r="A960" s="21"/>
      <c r="B960" t="s">
        <v>121</v>
      </c>
      <c r="C960" t="s">
        <v>6</v>
      </c>
      <c r="D960" t="s">
        <v>792</v>
      </c>
      <c r="F960" s="1">
        <v>46008</v>
      </c>
      <c r="G960" t="str">
        <f>IF(Table3[[#This Row],[Top Parent Account]]="",Table3[[#This Row],[Account Legal Name]],Table3[[#This Row],[Top Parent Account]])</f>
        <v>FERBA TECNOLOGIA</v>
      </c>
      <c r="H960" s="1"/>
    </row>
    <row r="961" spans="1:8" x14ac:dyDescent="0.35">
      <c r="A961" s="21"/>
      <c r="B961" t="s">
        <v>2658</v>
      </c>
      <c r="C961" t="s">
        <v>6</v>
      </c>
      <c r="D961" t="s">
        <v>2828</v>
      </c>
      <c r="F961" s="1">
        <v>46008</v>
      </c>
      <c r="G961" t="str">
        <f>IF(Table3[[#This Row],[Top Parent Account]]="",Table3[[#This Row],[Account Legal Name]],Table3[[#This Row],[Top Parent Account]])</f>
        <v>IACNA MEXICO</v>
      </c>
      <c r="H961" s="1"/>
    </row>
    <row r="962" spans="1:8" x14ac:dyDescent="0.35">
      <c r="A962" s="21"/>
      <c r="B962" t="s">
        <v>37</v>
      </c>
      <c r="C962" t="s">
        <v>6</v>
      </c>
      <c r="D962" t="s">
        <v>4541</v>
      </c>
      <c r="F962" s="1">
        <v>46008</v>
      </c>
      <c r="G962" t="str">
        <f>IF(Table3[[#This Row],[Top Parent Account]]="",Table3[[#This Row],[Account Legal Name]],Table3[[#This Row],[Top Parent Account]])</f>
        <v>HERRAJES Y MATERIALES DE LOS CABOS</v>
      </c>
      <c r="H962" s="1"/>
    </row>
    <row r="963" spans="1:8" x14ac:dyDescent="0.35">
      <c r="A963" s="21"/>
      <c r="B963" t="s">
        <v>27</v>
      </c>
      <c r="C963" t="s">
        <v>22</v>
      </c>
      <c r="D963" t="s">
        <v>1283</v>
      </c>
      <c r="F963" s="1">
        <v>46008</v>
      </c>
      <c r="G963" t="str">
        <f>IF(Table3[[#This Row],[Top Parent Account]]="",Table3[[#This Row],[Account Legal Name]],Table3[[#This Row],[Top Parent Account]])</f>
        <v>Laboratorios Jaloma</v>
      </c>
      <c r="H963" s="1"/>
    </row>
    <row r="964" spans="1:8" x14ac:dyDescent="0.35">
      <c r="A964" s="21"/>
      <c r="B964" t="s">
        <v>27</v>
      </c>
      <c r="C964" t="s">
        <v>22</v>
      </c>
      <c r="D964" t="s">
        <v>1293</v>
      </c>
      <c r="F964" s="1">
        <v>46008</v>
      </c>
      <c r="G964" t="str">
        <f>IF(Table3[[#This Row],[Top Parent Account]]="",Table3[[#This Row],[Account Legal Name]],Table3[[#This Row],[Top Parent Account]])</f>
        <v>Ecologia En Combustion</v>
      </c>
      <c r="H964" s="1"/>
    </row>
    <row r="965" spans="1:8" x14ac:dyDescent="0.35">
      <c r="A965" s="21"/>
      <c r="B965" t="s">
        <v>3092</v>
      </c>
      <c r="C965" t="s">
        <v>6</v>
      </c>
      <c r="D965" t="s">
        <v>4530</v>
      </c>
      <c r="F965" s="1">
        <v>46008</v>
      </c>
      <c r="G965" t="str">
        <f>IF(Table3[[#This Row],[Top Parent Account]]="",Table3[[#This Row],[Account Legal Name]],Table3[[#This Row],[Top Parent Account]])</f>
        <v>Tlw Freight México</v>
      </c>
      <c r="H965" s="1"/>
    </row>
    <row r="966" spans="1:8" x14ac:dyDescent="0.35">
      <c r="A966" s="21"/>
      <c r="B966" t="s">
        <v>18</v>
      </c>
      <c r="C966" t="s">
        <v>6</v>
      </c>
      <c r="D966" t="s">
        <v>4542</v>
      </c>
      <c r="F966" s="1">
        <v>46008</v>
      </c>
      <c r="G966" t="str">
        <f>IF(Table3[[#This Row],[Top Parent Account]]="",Table3[[#This Row],[Account Legal Name]],Table3[[#This Row],[Top Parent Account]])</f>
        <v>Redi Color</v>
      </c>
      <c r="H966" s="1"/>
    </row>
    <row r="967" spans="1:8" x14ac:dyDescent="0.35">
      <c r="A967" s="21"/>
      <c r="B967" t="s">
        <v>932</v>
      </c>
      <c r="C967" t="s">
        <v>6</v>
      </c>
      <c r="D967" t="s">
        <v>4543</v>
      </c>
      <c r="F967" s="1">
        <v>46008</v>
      </c>
      <c r="G967" t="str">
        <f>IF(Table3[[#This Row],[Top Parent Account]]="",Table3[[#This Row],[Account Legal Name]],Table3[[#This Row],[Top Parent Account]])</f>
        <v>American Bakery</v>
      </c>
      <c r="H967" s="1"/>
    </row>
    <row r="968" spans="1:8" x14ac:dyDescent="0.35">
      <c r="A968" s="21"/>
      <c r="B968" t="s">
        <v>280</v>
      </c>
      <c r="C968" t="s">
        <v>6</v>
      </c>
      <c r="D968" t="s">
        <v>4544</v>
      </c>
      <c r="F968" s="1">
        <v>46008</v>
      </c>
      <c r="G968" t="str">
        <f>IF(Table3[[#This Row],[Top Parent Account]]="",Table3[[#This Row],[Account Legal Name]],Table3[[#This Row],[Top Parent Account]])</f>
        <v>Exportadora Agrícola El Rincón de Purificación</v>
      </c>
      <c r="H968" s="1"/>
    </row>
    <row r="969" spans="1:8" x14ac:dyDescent="0.35">
      <c r="A969" s="21"/>
      <c r="B969" t="s">
        <v>4472</v>
      </c>
      <c r="C969" t="s">
        <v>6</v>
      </c>
      <c r="D969" t="s">
        <v>4545</v>
      </c>
      <c r="F969" s="1">
        <v>46008</v>
      </c>
      <c r="G969" t="str">
        <f>IF(Table3[[#This Row],[Top Parent Account]]="",Table3[[#This Row],[Account Legal Name]],Table3[[#This Row],[Top Parent Account]])</f>
        <v>Bodega de Semillas del Campo 305</v>
      </c>
      <c r="H969" s="1"/>
    </row>
    <row r="970" spans="1:8" x14ac:dyDescent="0.35">
      <c r="A970" s="21"/>
      <c r="B970" t="s">
        <v>29</v>
      </c>
      <c r="C970" t="s">
        <v>6</v>
      </c>
      <c r="D970" t="s">
        <v>4481</v>
      </c>
      <c r="F970" s="1">
        <v>46008</v>
      </c>
      <c r="G970" t="str">
        <f>IF(Table3[[#This Row],[Top Parent Account]]="",Table3[[#This Row],[Account Legal Name]],Table3[[#This Row],[Top Parent Account]])</f>
        <v>Convertidora Industrial</v>
      </c>
      <c r="H970" s="1"/>
    </row>
    <row r="971" spans="1:8" x14ac:dyDescent="0.35">
      <c r="A971" s="21"/>
      <c r="B971" t="s">
        <v>88</v>
      </c>
      <c r="C971" t="s">
        <v>6</v>
      </c>
      <c r="D971" t="s">
        <v>4546</v>
      </c>
      <c r="E971" t="s">
        <v>4547</v>
      </c>
      <c r="F971" s="1">
        <v>46008</v>
      </c>
      <c r="G971" t="str">
        <f>IF(Table3[[#This Row],[Top Parent Account]]="",Table3[[#This Row],[Account Legal Name]],Table3[[#This Row],[Top Parent Account]])</f>
        <v>Maderas Finas Perroni</v>
      </c>
      <c r="H971" s="1"/>
    </row>
    <row r="972" spans="1:8" x14ac:dyDescent="0.35">
      <c r="A972" s="21"/>
      <c r="B972" t="s">
        <v>2345</v>
      </c>
      <c r="C972" t="s">
        <v>6</v>
      </c>
      <c r="D972" t="s">
        <v>4517</v>
      </c>
      <c r="F972" s="1">
        <v>46008</v>
      </c>
      <c r="G972" t="str">
        <f>IF(Table3[[#This Row],[Top Parent Account]]="",Table3[[#This Row],[Account Legal Name]],Table3[[#This Row],[Top Parent Account]])</f>
        <v>Laboratorios Def</v>
      </c>
      <c r="H972" s="1"/>
    </row>
    <row r="973" spans="1:8" x14ac:dyDescent="0.35">
      <c r="A973" s="21"/>
      <c r="B973" t="s">
        <v>3114</v>
      </c>
      <c r="C973" t="s">
        <v>52</v>
      </c>
      <c r="D973" t="s">
        <v>3644</v>
      </c>
      <c r="F973" s="1">
        <v>46008</v>
      </c>
      <c r="G973" t="str">
        <f>IF(Table3[[#This Row],[Top Parent Account]]="",Table3[[#This Row],[Account Legal Name]],Table3[[#This Row],[Top Parent Account]])</f>
        <v>Emergent cold Latam</v>
      </c>
      <c r="H973" s="1"/>
    </row>
    <row r="974" spans="1:8" x14ac:dyDescent="0.35">
      <c r="A974" s="21"/>
      <c r="B974" t="s">
        <v>1899</v>
      </c>
      <c r="C974" t="s">
        <v>6</v>
      </c>
      <c r="D974" t="s">
        <v>4550</v>
      </c>
      <c r="F974" s="1">
        <v>46008</v>
      </c>
      <c r="G974" t="str">
        <f>IF(Table3[[#This Row],[Top Parent Account]]="",Table3[[#This Row],[Account Legal Name]],Table3[[#This Row],[Top Parent Account]])</f>
        <v>Veladoras Misticas</v>
      </c>
      <c r="H974" s="1"/>
    </row>
    <row r="975" spans="1:8" x14ac:dyDescent="0.35">
      <c r="A975" s="21"/>
      <c r="B975" t="s">
        <v>169</v>
      </c>
      <c r="C975" t="s">
        <v>6</v>
      </c>
      <c r="D975" t="s">
        <v>4548</v>
      </c>
      <c r="F975" s="1">
        <v>46008</v>
      </c>
      <c r="G975" t="str">
        <f>IF(Table3[[#This Row],[Top Parent Account]]="",Table3[[#This Row],[Account Legal Name]],Table3[[#This Row],[Top Parent Account]])</f>
        <v>PARKING TIP</v>
      </c>
      <c r="H975" s="1"/>
    </row>
    <row r="976" spans="1:8" x14ac:dyDescent="0.35">
      <c r="A976" s="21"/>
      <c r="B976" t="s">
        <v>1511</v>
      </c>
      <c r="C976" t="s">
        <v>6</v>
      </c>
      <c r="D976" t="s">
        <v>3123</v>
      </c>
      <c r="F976" s="1">
        <v>46008</v>
      </c>
      <c r="G976" t="str">
        <f>IF(Table3[[#This Row],[Top Parent Account]]="",Table3[[#This Row],[Account Legal Name]],Table3[[#This Row],[Top Parent Account]])</f>
        <v>Ladrillera Mecanizada</v>
      </c>
      <c r="H976" s="1"/>
    </row>
    <row r="977" spans="1:8" x14ac:dyDescent="0.35">
      <c r="A977" s="21"/>
      <c r="B977" t="s">
        <v>28</v>
      </c>
      <c r="C977" t="s">
        <v>6</v>
      </c>
      <c r="D977" t="s">
        <v>4549</v>
      </c>
      <c r="F977" s="1">
        <v>46008</v>
      </c>
      <c r="G977" t="str">
        <f>IF(Table3[[#This Row],[Top Parent Account]]="",Table3[[#This Row],[Account Legal Name]],Table3[[#This Row],[Top Parent Account]])</f>
        <v>CONCRETOS PREMEZCLADOS MEXICANOS</v>
      </c>
      <c r="H977" s="1"/>
    </row>
    <row r="978" spans="1:8" x14ac:dyDescent="0.35">
      <c r="A978" s="21"/>
      <c r="B978" t="s">
        <v>1511</v>
      </c>
      <c r="C978" t="s">
        <v>22</v>
      </c>
      <c r="D978" t="s">
        <v>2592</v>
      </c>
      <c r="F978" s="1">
        <v>46008</v>
      </c>
      <c r="G978" t="str">
        <f>IF(Table3[[#This Row],[Top Parent Account]]="",Table3[[#This Row],[Account Legal Name]],Table3[[#This Row],[Top Parent Account]])</f>
        <v>AMD PLASTICS DE MEXICO</v>
      </c>
      <c r="H978" s="1"/>
    </row>
    <row r="979" spans="1:8" x14ac:dyDescent="0.35">
      <c r="A979" s="21"/>
      <c r="B979" t="s">
        <v>23</v>
      </c>
      <c r="C979" t="s">
        <v>6</v>
      </c>
      <c r="D979" t="s">
        <v>4551</v>
      </c>
      <c r="F979" s="1">
        <v>46008</v>
      </c>
      <c r="G979" t="str">
        <f>IF(Table3[[#This Row],[Top Parent Account]]="",Table3[[#This Row],[Account Legal Name]],Table3[[#This Row],[Top Parent Account]])</f>
        <v>Trelsa</v>
      </c>
      <c r="H979" s="1"/>
    </row>
    <row r="980" spans="1:8" x14ac:dyDescent="0.35">
      <c r="A980" s="21"/>
      <c r="B980" t="s">
        <v>32</v>
      </c>
      <c r="C980" t="s">
        <v>6</v>
      </c>
      <c r="D980" t="s">
        <v>323</v>
      </c>
      <c r="F980" s="1">
        <v>46007</v>
      </c>
      <c r="G980" t="str">
        <f>IF(Table3[[#This Row],[Top Parent Account]]="",Table3[[#This Row],[Account Legal Name]],Table3[[#This Row],[Top Parent Account]])</f>
        <v>Ingenio Pantaleon Panuco</v>
      </c>
      <c r="H980" s="1"/>
    </row>
    <row r="981" spans="1:8" x14ac:dyDescent="0.35">
      <c r="A981" s="21"/>
      <c r="B981" t="s">
        <v>32</v>
      </c>
      <c r="C981" t="s">
        <v>6</v>
      </c>
      <c r="D981" t="s">
        <v>93</v>
      </c>
      <c r="F981" s="1">
        <v>46007</v>
      </c>
      <c r="G981" t="str">
        <f>IF(Table3[[#This Row],[Top Parent Account]]="",Table3[[#This Row],[Account Legal Name]],Table3[[#This Row],[Top Parent Account]])</f>
        <v>Beta San Miguel</v>
      </c>
      <c r="H981" s="1"/>
    </row>
    <row r="982" spans="1:8" x14ac:dyDescent="0.35">
      <c r="A982" s="21"/>
      <c r="B982" t="s">
        <v>32</v>
      </c>
      <c r="C982" t="s">
        <v>6</v>
      </c>
      <c r="D982" t="s">
        <v>954</v>
      </c>
      <c r="F982" s="1">
        <v>46007</v>
      </c>
      <c r="G982" t="str">
        <f>IF(Table3[[#This Row],[Top Parent Account]]="",Table3[[#This Row],[Account Legal Name]],Table3[[#This Row],[Top Parent Account]])</f>
        <v>ACCIONA INFRAESTRUCTURAS MÉXICO</v>
      </c>
      <c r="H982" s="1"/>
    </row>
    <row r="983" spans="1:8" x14ac:dyDescent="0.35">
      <c r="A983" s="21"/>
      <c r="B983" t="s">
        <v>32</v>
      </c>
      <c r="C983" t="s">
        <v>6</v>
      </c>
      <c r="D983" t="s">
        <v>4603</v>
      </c>
      <c r="F983" s="1">
        <v>46007</v>
      </c>
      <c r="G983" t="str">
        <f>IF(Table3[[#This Row],[Top Parent Account]]="",Table3[[#This Row],[Account Legal Name]],Table3[[#This Row],[Top Parent Account]])</f>
        <v>Pasteurizadora Maulec</v>
      </c>
      <c r="H983" s="1"/>
    </row>
    <row r="984" spans="1:8" x14ac:dyDescent="0.35">
      <c r="A984" s="21"/>
      <c r="B984" t="s">
        <v>70</v>
      </c>
      <c r="C984" t="s">
        <v>6</v>
      </c>
      <c r="D984" t="s">
        <v>667</v>
      </c>
      <c r="F984" s="1">
        <v>46007</v>
      </c>
      <c r="G984" t="str">
        <f>IF(Table3[[#This Row],[Top Parent Account]]="",Table3[[#This Row],[Account Legal Name]],Table3[[#This Row],[Top Parent Account]])</f>
        <v>Medica Sur</v>
      </c>
      <c r="H984" s="1"/>
    </row>
    <row r="985" spans="1:8" x14ac:dyDescent="0.35">
      <c r="A985" s="21"/>
      <c r="B985" t="s">
        <v>12</v>
      </c>
      <c r="C985" t="s">
        <v>22</v>
      </c>
      <c r="D985" t="s">
        <v>4552</v>
      </c>
      <c r="F985" s="1">
        <v>46007</v>
      </c>
      <c r="G985" t="str">
        <f>IF(Table3[[#This Row],[Top Parent Account]]="",Table3[[#This Row],[Account Legal Name]],Table3[[#This Row],[Top Parent Account]])</f>
        <v>Azur Oil Energy</v>
      </c>
      <c r="H985" s="1"/>
    </row>
    <row r="986" spans="1:8" x14ac:dyDescent="0.35">
      <c r="A986" s="21"/>
      <c r="B986" t="s">
        <v>2658</v>
      </c>
      <c r="C986" t="s">
        <v>6</v>
      </c>
      <c r="D986" t="s">
        <v>1848</v>
      </c>
      <c r="F986" s="1">
        <v>46007</v>
      </c>
      <c r="G986" t="str">
        <f>IF(Table3[[#This Row],[Top Parent Account]]="",Table3[[#This Row],[Account Legal Name]],Table3[[#This Row],[Top Parent Account]])</f>
        <v>Comercializadora Farmacéutica De Chiapas</v>
      </c>
      <c r="H986" s="1"/>
    </row>
    <row r="987" spans="1:8" x14ac:dyDescent="0.35">
      <c r="A987" s="21"/>
      <c r="B987" t="s">
        <v>3182</v>
      </c>
      <c r="C987" t="s">
        <v>22</v>
      </c>
      <c r="D987" t="s">
        <v>4554</v>
      </c>
      <c r="F987" s="1">
        <v>46007</v>
      </c>
      <c r="G987" t="str">
        <f>IF(Table3[[#This Row],[Top Parent Account]]="",Table3[[#This Row],[Account Legal Name]],Table3[[#This Row],[Top Parent Account]])</f>
        <v>WR CONTROLS MEXICO</v>
      </c>
      <c r="H987" s="1"/>
    </row>
    <row r="988" spans="1:8" x14ac:dyDescent="0.35">
      <c r="A988" s="21"/>
      <c r="B988" t="s">
        <v>2912</v>
      </c>
      <c r="C988" t="s">
        <v>6</v>
      </c>
      <c r="D988" t="s">
        <v>4473</v>
      </c>
      <c r="F988" s="1">
        <v>46007</v>
      </c>
      <c r="G988" t="str">
        <f>IF(Table3[[#This Row],[Top Parent Account]]="",Table3[[#This Row],[Account Legal Name]],Table3[[#This Row],[Top Parent Account]])</f>
        <v>Administradora Mexiquense Del Aeropuerto Internacional De Toluca</v>
      </c>
      <c r="H988" s="1"/>
    </row>
    <row r="989" spans="1:8" x14ac:dyDescent="0.35">
      <c r="A989" s="21"/>
      <c r="B989" t="s">
        <v>4472</v>
      </c>
      <c r="C989" t="s">
        <v>6</v>
      </c>
      <c r="D989" t="s">
        <v>4553</v>
      </c>
      <c r="F989" s="1">
        <v>46007</v>
      </c>
      <c r="G989" t="str">
        <f>IF(Table3[[#This Row],[Top Parent Account]]="",Table3[[#This Row],[Account Legal Name]],Table3[[#This Row],[Top Parent Account]])</f>
        <v>Riegos Cuauhtemoc</v>
      </c>
      <c r="H989" s="1"/>
    </row>
    <row r="990" spans="1:8" x14ac:dyDescent="0.35">
      <c r="A990" s="21"/>
      <c r="B990" t="s">
        <v>3553</v>
      </c>
      <c r="C990" t="s">
        <v>6</v>
      </c>
      <c r="D990" t="s">
        <v>4555</v>
      </c>
      <c r="F990" s="1">
        <v>46007</v>
      </c>
      <c r="G990" t="str">
        <f>IF(Table3[[#This Row],[Top Parent Account]]="",Table3[[#This Row],[Account Legal Name]],Table3[[#This Row],[Top Parent Account]])</f>
        <v>Odoo Technologies México</v>
      </c>
      <c r="H990" s="1"/>
    </row>
    <row r="991" spans="1:8" x14ac:dyDescent="0.35">
      <c r="A991" s="21"/>
      <c r="B991" t="s">
        <v>208</v>
      </c>
      <c r="C991" t="s">
        <v>6</v>
      </c>
      <c r="D991" t="s">
        <v>4556</v>
      </c>
      <c r="F991" s="1">
        <v>46007</v>
      </c>
      <c r="G991" t="str">
        <f>IF(Table3[[#This Row],[Top Parent Account]]="",Table3[[#This Row],[Account Legal Name]],Table3[[#This Row],[Top Parent Account]])</f>
        <v>Envases Everest de Plastico</v>
      </c>
      <c r="H991" s="1"/>
    </row>
    <row r="992" spans="1:8" x14ac:dyDescent="0.35">
      <c r="A992" s="21"/>
      <c r="B992" t="s">
        <v>121</v>
      </c>
      <c r="C992" t="s">
        <v>6</v>
      </c>
      <c r="D992" t="s">
        <v>4557</v>
      </c>
      <c r="F992" s="1">
        <v>46007</v>
      </c>
      <c r="G992" t="str">
        <f>IF(Table3[[#This Row],[Top Parent Account]]="",Table3[[#This Row],[Account Legal Name]],Table3[[#This Row],[Top Parent Account]])</f>
        <v>MONTACARGAS TAPATIOS</v>
      </c>
      <c r="H992" s="1"/>
    </row>
    <row r="993" spans="1:8" x14ac:dyDescent="0.35">
      <c r="A993" s="21"/>
      <c r="B993" t="s">
        <v>2912</v>
      </c>
      <c r="C993" t="s">
        <v>6</v>
      </c>
      <c r="D993" t="s">
        <v>4473</v>
      </c>
      <c r="F993" s="1">
        <v>46007</v>
      </c>
      <c r="G993" t="str">
        <f>IF(Table3[[#This Row],[Top Parent Account]]="",Table3[[#This Row],[Account Legal Name]],Table3[[#This Row],[Top Parent Account]])</f>
        <v>Administradora Mexiquense Del Aeropuerto Internacional De Toluca</v>
      </c>
      <c r="H993" s="1"/>
    </row>
    <row r="994" spans="1:8" x14ac:dyDescent="0.35">
      <c r="A994" s="21"/>
      <c r="B994" t="s">
        <v>2693</v>
      </c>
      <c r="C994" t="s">
        <v>6</v>
      </c>
      <c r="D994" t="s">
        <v>3845</v>
      </c>
      <c r="F994" s="1">
        <v>46007</v>
      </c>
      <c r="G994" t="str">
        <f>IF(Table3[[#This Row],[Top Parent Account]]="",Table3[[#This Row],[Account Legal Name]],Table3[[#This Row],[Top Parent Account]])</f>
        <v>COFFEE MATTERS</v>
      </c>
      <c r="H994" s="1"/>
    </row>
    <row r="995" spans="1:8" x14ac:dyDescent="0.35">
      <c r="A995" s="21"/>
      <c r="B995" t="s">
        <v>2658</v>
      </c>
      <c r="C995" t="s">
        <v>6</v>
      </c>
      <c r="D995" t="s">
        <v>2673</v>
      </c>
      <c r="F995" s="1">
        <v>46007</v>
      </c>
      <c r="G995" t="str">
        <f>IF(Table3[[#This Row],[Top Parent Account]]="",Table3[[#This Row],[Account Legal Name]],Table3[[#This Row],[Top Parent Account]])</f>
        <v>Probemedic Distribuciones</v>
      </c>
      <c r="H995" s="1"/>
    </row>
    <row r="996" spans="1:8" x14ac:dyDescent="0.35">
      <c r="A996" s="21"/>
      <c r="B996" t="s">
        <v>4472</v>
      </c>
      <c r="C996" t="s">
        <v>6</v>
      </c>
      <c r="D996" t="s">
        <v>1540</v>
      </c>
      <c r="F996" s="1">
        <v>46007</v>
      </c>
      <c r="G996" t="str">
        <f>IF(Table3[[#This Row],[Top Parent Account]]="",Table3[[#This Row],[Account Legal Name]],Table3[[#This Row],[Top Parent Account]])</f>
        <v>Queseria Dos Lagunas</v>
      </c>
      <c r="H996" s="1"/>
    </row>
    <row r="997" spans="1:8" x14ac:dyDescent="0.35">
      <c r="A997" s="21"/>
      <c r="B997" t="s">
        <v>739</v>
      </c>
      <c r="C997" t="s">
        <v>6</v>
      </c>
      <c r="D997" t="s">
        <v>4558</v>
      </c>
      <c r="E997" t="s">
        <v>237</v>
      </c>
      <c r="F997" s="1">
        <v>46007</v>
      </c>
      <c r="G997" t="str">
        <f>IF(Table3[[#This Row],[Top Parent Account]]="",Table3[[#This Row],[Account Legal Name]],Table3[[#This Row],[Top Parent Account]])</f>
        <v>Premium Restaurant Brands</v>
      </c>
      <c r="H997" s="1"/>
    </row>
    <row r="998" spans="1:8" x14ac:dyDescent="0.35">
      <c r="A998" s="21"/>
      <c r="B998" t="s">
        <v>3114</v>
      </c>
      <c r="C998" t="s">
        <v>52</v>
      </c>
      <c r="D998" t="s">
        <v>4449</v>
      </c>
      <c r="F998" s="1">
        <v>46007</v>
      </c>
      <c r="G998" t="str">
        <f>IF(Table3[[#This Row],[Top Parent Account]]="",Table3[[#This Row],[Account Legal Name]],Table3[[#This Row],[Top Parent Account]])</f>
        <v>Alimentos y Sazonadores Regios</v>
      </c>
      <c r="H998" s="1"/>
    </row>
    <row r="999" spans="1:8" x14ac:dyDescent="0.35">
      <c r="A999" s="21"/>
      <c r="B999" t="s">
        <v>3114</v>
      </c>
      <c r="C999" t="s">
        <v>52</v>
      </c>
      <c r="D999" t="s">
        <v>4299</v>
      </c>
      <c r="F999" s="1">
        <v>46007</v>
      </c>
      <c r="G999" t="str">
        <f>IF(Table3[[#This Row],[Top Parent Account]]="",Table3[[#This Row],[Account Legal Name]],Table3[[#This Row],[Top Parent Account]])</f>
        <v>ALFRIGO FRIGORIFICOS</v>
      </c>
      <c r="H999" s="1"/>
    </row>
    <row r="1000" spans="1:8" x14ac:dyDescent="0.35">
      <c r="A1000" s="21"/>
      <c r="B1000" t="s">
        <v>3092</v>
      </c>
      <c r="C1000" t="s">
        <v>6</v>
      </c>
      <c r="D1000" t="s">
        <v>4426</v>
      </c>
      <c r="F1000" s="1">
        <v>46007</v>
      </c>
      <c r="G1000" t="str">
        <f>IF(Table3[[#This Row],[Top Parent Account]]="",Table3[[#This Row],[Account Legal Name]],Table3[[#This Row],[Top Parent Account]])</f>
        <v>Poliuretanos Poma</v>
      </c>
      <c r="H1000" s="1"/>
    </row>
    <row r="1001" spans="1:8" x14ac:dyDescent="0.35">
      <c r="A1001" s="21"/>
      <c r="B1001" t="s">
        <v>14</v>
      </c>
      <c r="C1001" t="s">
        <v>6</v>
      </c>
      <c r="D1001" t="s">
        <v>551</v>
      </c>
      <c r="F1001" s="1">
        <v>46007</v>
      </c>
      <c r="G1001" t="str">
        <f>IF(Table3[[#This Row],[Top Parent Account]]="",Table3[[#This Row],[Account Legal Name]],Table3[[#This Row],[Top Parent Account]])</f>
        <v>Rota Impresos Nueva Galicia</v>
      </c>
      <c r="H1001" s="1"/>
    </row>
    <row r="1002" spans="1:8" x14ac:dyDescent="0.35">
      <c r="A1002" s="21"/>
      <c r="B1002" t="s">
        <v>77</v>
      </c>
      <c r="C1002" t="s">
        <v>6</v>
      </c>
      <c r="D1002" t="s">
        <v>873</v>
      </c>
      <c r="F1002" s="1">
        <v>46007</v>
      </c>
      <c r="G1002" t="str">
        <f>IF(Table3[[#This Row],[Top Parent Account]]="",Table3[[#This Row],[Account Legal Name]],Table3[[#This Row],[Top Parent Account]])</f>
        <v>Transformaciones y servicios metalúrgicos</v>
      </c>
      <c r="H1002" s="1"/>
    </row>
    <row r="1003" spans="1:8" x14ac:dyDescent="0.35">
      <c r="A1003" s="21"/>
      <c r="B1003" t="s">
        <v>4472</v>
      </c>
      <c r="C1003" t="s">
        <v>6</v>
      </c>
      <c r="D1003" t="s">
        <v>4559</v>
      </c>
      <c r="F1003" s="1">
        <v>46007</v>
      </c>
      <c r="G1003" t="str">
        <f>IF(Table3[[#This Row],[Top Parent Account]]="",Table3[[#This Row],[Account Legal Name]],Table3[[#This Row],[Top Parent Account]])</f>
        <v>Comercial De Fierro y Acero</v>
      </c>
      <c r="H1003" s="1"/>
    </row>
    <row r="1004" spans="1:8" x14ac:dyDescent="0.35">
      <c r="A1004" s="21"/>
      <c r="B1004" t="s">
        <v>2693</v>
      </c>
      <c r="C1004" t="s">
        <v>6</v>
      </c>
      <c r="D1004" t="s">
        <v>2132</v>
      </c>
      <c r="F1004" s="1">
        <v>46007</v>
      </c>
      <c r="G1004" t="str">
        <f>IF(Table3[[#This Row],[Top Parent Account]]="",Table3[[#This Row],[Account Legal Name]],Table3[[#This Row],[Top Parent Account]])</f>
        <v>Driller Cimentaciones</v>
      </c>
      <c r="H1004" s="1"/>
    </row>
    <row r="1005" spans="1:8" x14ac:dyDescent="0.35">
      <c r="A1005" s="21"/>
      <c r="B1005" t="s">
        <v>169</v>
      </c>
      <c r="C1005" t="s">
        <v>6</v>
      </c>
      <c r="D1005" t="s">
        <v>3864</v>
      </c>
      <c r="F1005" s="1">
        <v>46007</v>
      </c>
      <c r="G1005" t="str">
        <f>IF(Table3[[#This Row],[Top Parent Account]]="",Table3[[#This Row],[Account Legal Name]],Table3[[#This Row],[Top Parent Account]])</f>
        <v>Circus Confecciones</v>
      </c>
      <c r="H1005" s="1"/>
    </row>
    <row r="1006" spans="1:8" x14ac:dyDescent="0.35">
      <c r="A1006" s="21"/>
      <c r="B1006" t="s">
        <v>3114</v>
      </c>
      <c r="C1006" t="s">
        <v>52</v>
      </c>
      <c r="D1006" t="s">
        <v>3237</v>
      </c>
      <c r="F1006" s="1">
        <v>46007</v>
      </c>
      <c r="G1006" t="str">
        <f>IF(Table3[[#This Row],[Top Parent Account]]="",Table3[[#This Row],[Account Legal Name]],Table3[[#This Row],[Top Parent Account]])</f>
        <v>Ranchacero</v>
      </c>
      <c r="H1006" s="1"/>
    </row>
    <row r="1007" spans="1:8" x14ac:dyDescent="0.35">
      <c r="A1007" s="21"/>
      <c r="B1007" t="s">
        <v>3092</v>
      </c>
      <c r="C1007" t="s">
        <v>22</v>
      </c>
      <c r="D1007" t="s">
        <v>628</v>
      </c>
      <c r="F1007" s="1">
        <v>46007</v>
      </c>
      <c r="G1007" t="str">
        <f>IF(Table3[[#This Row],[Top Parent Account]]="",Table3[[#This Row],[Account Legal Name]],Table3[[#This Row],[Top Parent Account]])</f>
        <v>Envases Plásticos Industriales De Guadalajara</v>
      </c>
      <c r="H1007" s="1"/>
    </row>
    <row r="1008" spans="1:8" x14ac:dyDescent="0.35">
      <c r="A1008" s="21"/>
      <c r="B1008" t="s">
        <v>207</v>
      </c>
      <c r="C1008" t="s">
        <v>6</v>
      </c>
      <c r="D1008" t="s">
        <v>1063</v>
      </c>
      <c r="F1008" s="1">
        <v>46007</v>
      </c>
      <c r="G1008" t="str">
        <f>IF(Table3[[#This Row],[Top Parent Account]]="",Table3[[#This Row],[Account Legal Name]],Table3[[#This Row],[Top Parent Account]])</f>
        <v>Advanced Montacargas</v>
      </c>
      <c r="H1008" s="1"/>
    </row>
    <row r="1009" spans="1:8" x14ac:dyDescent="0.35">
      <c r="A1009" s="21"/>
      <c r="B1009" t="s">
        <v>88</v>
      </c>
      <c r="C1009" t="s">
        <v>6</v>
      </c>
      <c r="D1009" t="s">
        <v>4560</v>
      </c>
      <c r="F1009" s="1">
        <v>46007</v>
      </c>
      <c r="G1009" t="str">
        <f>IF(Table3[[#This Row],[Top Parent Account]]="",Table3[[#This Row],[Account Legal Name]],Table3[[#This Row],[Top Parent Account]])</f>
        <v>Hornos Y Sistemas Industriales</v>
      </c>
      <c r="H1009" s="1"/>
    </row>
    <row r="1010" spans="1:8" x14ac:dyDescent="0.35">
      <c r="A1010" s="21"/>
      <c r="B1010" t="s">
        <v>3114</v>
      </c>
      <c r="C1010" t="s">
        <v>52</v>
      </c>
      <c r="D1010" t="s">
        <v>3730</v>
      </c>
      <c r="F1010" s="1">
        <v>46007</v>
      </c>
      <c r="G1010" t="str">
        <f>IF(Table3[[#This Row],[Top Parent Account]]="",Table3[[#This Row],[Account Legal Name]],Table3[[#This Row],[Top Parent Account]])</f>
        <v>Fabricaciones Especializadas</v>
      </c>
      <c r="H1010" s="1"/>
    </row>
    <row r="1011" spans="1:8" x14ac:dyDescent="0.35">
      <c r="A1011" s="21"/>
      <c r="B1011" t="s">
        <v>925</v>
      </c>
      <c r="C1011" t="s">
        <v>6</v>
      </c>
      <c r="D1011" t="s">
        <v>4561</v>
      </c>
      <c r="F1011" s="1">
        <v>46007</v>
      </c>
      <c r="G1011" t="str">
        <f>IF(Table3[[#This Row],[Top Parent Account]]="",Table3[[#This Row],[Account Legal Name]],Table3[[#This Row],[Top Parent Account]])</f>
        <v>Zoomlion</v>
      </c>
      <c r="H1011" s="1"/>
    </row>
    <row r="1012" spans="1:8" x14ac:dyDescent="0.35">
      <c r="A1012" s="21"/>
      <c r="B1012" t="s">
        <v>2345</v>
      </c>
      <c r="C1012" t="s">
        <v>6</v>
      </c>
      <c r="D1012" t="s">
        <v>4562</v>
      </c>
      <c r="F1012" s="1">
        <v>46007</v>
      </c>
      <c r="G1012" t="str">
        <f>IF(Table3[[#This Row],[Top Parent Account]]="",Table3[[#This Row],[Account Legal Name]],Table3[[#This Row],[Top Parent Account]])</f>
        <v>Novonafar</v>
      </c>
      <c r="H1012" s="1"/>
    </row>
    <row r="1013" spans="1:8" x14ac:dyDescent="0.35">
      <c r="A1013" s="21"/>
      <c r="B1013" t="s">
        <v>1511</v>
      </c>
      <c r="C1013" t="s">
        <v>6</v>
      </c>
      <c r="D1013" t="s">
        <v>1913</v>
      </c>
      <c r="F1013" s="1">
        <v>46007</v>
      </c>
      <c r="G1013" t="str">
        <f>IF(Table3[[#This Row],[Top Parent Account]]="",Table3[[#This Row],[Account Legal Name]],Table3[[#This Row],[Top Parent Account]])</f>
        <v>SALERI MEXICO</v>
      </c>
      <c r="H1013" s="1"/>
    </row>
    <row r="1014" spans="1:8" x14ac:dyDescent="0.35">
      <c r="A1014" s="21"/>
      <c r="B1014" t="s">
        <v>70</v>
      </c>
      <c r="C1014" t="s">
        <v>22</v>
      </c>
      <c r="D1014" t="s">
        <v>460</v>
      </c>
      <c r="F1014" s="1">
        <v>46007</v>
      </c>
      <c r="G1014" t="str">
        <f>IF(Table3[[#This Row],[Top Parent Account]]="",Table3[[#This Row],[Account Legal Name]],Table3[[#This Row],[Top Parent Account]])</f>
        <v>PROTEINAS KOTT</v>
      </c>
      <c r="H1014" s="1"/>
    </row>
    <row r="1015" spans="1:8" x14ac:dyDescent="0.35">
      <c r="A1015" s="21"/>
      <c r="B1015" t="s">
        <v>932</v>
      </c>
      <c r="C1015" t="s">
        <v>6</v>
      </c>
      <c r="D1015" t="s">
        <v>4011</v>
      </c>
      <c r="F1015" s="1">
        <v>46006</v>
      </c>
      <c r="G1015" t="str">
        <f>IF(Table3[[#This Row],[Top Parent Account]]="",Table3[[#This Row],[Account Legal Name]],Table3[[#This Row],[Top Parent Account]])</f>
        <v>Bupa México Compañía De Seguros</v>
      </c>
      <c r="H1015" s="1"/>
    </row>
    <row r="1016" spans="1:8" x14ac:dyDescent="0.35">
      <c r="A1016" s="21"/>
      <c r="B1016" t="s">
        <v>1511</v>
      </c>
      <c r="C1016" t="s">
        <v>6</v>
      </c>
      <c r="D1016" t="s">
        <v>4128</v>
      </c>
      <c r="F1016" s="1">
        <v>46006</v>
      </c>
      <c r="G1016" t="str">
        <f>IF(Table3[[#This Row],[Top Parent Account]]="",Table3[[#This Row],[Account Legal Name]],Table3[[#This Row],[Top Parent Account]])</f>
        <v>Corrugados Logo</v>
      </c>
      <c r="H1016" s="1"/>
    </row>
    <row r="1017" spans="1:8" x14ac:dyDescent="0.35">
      <c r="A1017" s="21"/>
      <c r="B1017" t="s">
        <v>70</v>
      </c>
      <c r="C1017" t="s">
        <v>6</v>
      </c>
      <c r="D1017" t="s">
        <v>4563</v>
      </c>
      <c r="E1017" t="s">
        <v>95</v>
      </c>
      <c r="F1017" s="1">
        <v>46006</v>
      </c>
      <c r="G1017" t="str">
        <f>IF(Table3[[#This Row],[Top Parent Account]]="",Table3[[#This Row],[Account Legal Name]],Table3[[#This Row],[Top Parent Account]])</f>
        <v>Operadora San Ángel Inn</v>
      </c>
      <c r="H1017" s="1"/>
    </row>
    <row r="1018" spans="1:8" x14ac:dyDescent="0.35">
      <c r="A1018" s="21"/>
      <c r="B1018" t="s">
        <v>18</v>
      </c>
      <c r="C1018" t="s">
        <v>6</v>
      </c>
      <c r="D1018" t="s">
        <v>4565</v>
      </c>
      <c r="F1018" s="1">
        <v>46006</v>
      </c>
      <c r="G1018" t="str">
        <f>IF(Table3[[#This Row],[Top Parent Account]]="",Table3[[#This Row],[Account Legal Name]],Table3[[#This Row],[Top Parent Account]])</f>
        <v>MARVIC SEGURIDAD INDUSTRIAL</v>
      </c>
      <c r="H1018" s="1"/>
    </row>
    <row r="1019" spans="1:8" x14ac:dyDescent="0.35">
      <c r="A1019" s="21"/>
      <c r="B1019" t="s">
        <v>88</v>
      </c>
      <c r="C1019" t="s">
        <v>6</v>
      </c>
      <c r="D1019" t="s">
        <v>4564</v>
      </c>
      <c r="F1019" s="1">
        <v>46006</v>
      </c>
      <c r="G1019" t="str">
        <f>IF(Table3[[#This Row],[Top Parent Account]]="",Table3[[#This Row],[Account Legal Name]],Table3[[#This Row],[Top Parent Account]])</f>
        <v>PROMOTORA MANTERINACO</v>
      </c>
      <c r="H1019" s="1"/>
    </row>
    <row r="1020" spans="1:8" x14ac:dyDescent="0.35">
      <c r="A1020" s="21"/>
      <c r="B1020" t="s">
        <v>2658</v>
      </c>
      <c r="C1020" t="s">
        <v>6</v>
      </c>
      <c r="D1020" t="s">
        <v>3412</v>
      </c>
      <c r="F1020" s="1">
        <v>46006</v>
      </c>
      <c r="G1020" t="str">
        <f>IF(Table3[[#This Row],[Top Parent Account]]="",Table3[[#This Row],[Account Legal Name]],Table3[[#This Row],[Top Parent Account]])</f>
        <v>IDEALEASE NORESTE</v>
      </c>
      <c r="H1020" s="1"/>
    </row>
    <row r="1021" spans="1:8" x14ac:dyDescent="0.35">
      <c r="A1021" s="21"/>
      <c r="B1021" t="s">
        <v>70</v>
      </c>
      <c r="C1021" t="s">
        <v>22</v>
      </c>
      <c r="D1021" t="s">
        <v>509</v>
      </c>
      <c r="F1021" s="1">
        <v>46006</v>
      </c>
      <c r="G1021" t="str">
        <f>IF(Table3[[#This Row],[Top Parent Account]]="",Table3[[#This Row],[Account Legal Name]],Table3[[#This Row],[Top Parent Account]])</f>
        <v>Franslux</v>
      </c>
      <c r="H1021" s="1"/>
    </row>
    <row r="1022" spans="1:8" x14ac:dyDescent="0.35">
      <c r="A1022" s="21"/>
      <c r="B1022" t="s">
        <v>989</v>
      </c>
      <c r="C1022" t="s">
        <v>6</v>
      </c>
      <c r="D1022" t="s">
        <v>4566</v>
      </c>
      <c r="F1022" s="1">
        <v>46006</v>
      </c>
      <c r="G1022" t="str">
        <f>IF(Table3[[#This Row],[Top Parent Account]]="",Table3[[#This Row],[Account Legal Name]],Table3[[#This Row],[Top Parent Account]])</f>
        <v>SET Industry</v>
      </c>
      <c r="H1022" s="1"/>
    </row>
    <row r="1023" spans="1:8" x14ac:dyDescent="0.35">
      <c r="A1023" s="21"/>
      <c r="B1023" t="s">
        <v>77</v>
      </c>
      <c r="C1023" t="s">
        <v>6</v>
      </c>
      <c r="D1023" t="s">
        <v>4567</v>
      </c>
      <c r="E1023" t="s">
        <v>4568</v>
      </c>
      <c r="F1023" s="1">
        <v>46006</v>
      </c>
      <c r="G1023" t="str">
        <f>IF(Table3[[#This Row],[Top Parent Account]]="",Table3[[#This Row],[Account Legal Name]],Table3[[#This Row],[Top Parent Account]])</f>
        <v>CAMIONES DYCK</v>
      </c>
      <c r="H1023" s="1"/>
    </row>
    <row r="1024" spans="1:8" x14ac:dyDescent="0.35">
      <c r="A1024" s="21"/>
      <c r="B1024" t="s">
        <v>77</v>
      </c>
      <c r="C1024" t="s">
        <v>6</v>
      </c>
      <c r="D1024" t="s">
        <v>696</v>
      </c>
      <c r="F1024" s="1">
        <v>46006</v>
      </c>
      <c r="G1024" t="str">
        <f>IF(Table3[[#This Row],[Top Parent Account]]="",Table3[[#This Row],[Account Legal Name]],Table3[[#This Row],[Top Parent Account]])</f>
        <v>Rancho Pecana Products</v>
      </c>
      <c r="H1024" s="1"/>
    </row>
    <row r="1025" spans="1:8" x14ac:dyDescent="0.35">
      <c r="A1025" s="21"/>
      <c r="B1025" t="s">
        <v>116</v>
      </c>
      <c r="C1025" t="s">
        <v>6</v>
      </c>
      <c r="D1025" t="s">
        <v>642</v>
      </c>
      <c r="F1025" s="1">
        <v>46006</v>
      </c>
      <c r="G1025" t="str">
        <f>IF(Table3[[#This Row],[Top Parent Account]]="",Table3[[#This Row],[Account Legal Name]],Table3[[#This Row],[Top Parent Account]])</f>
        <v>Ganaderos Asociados de Querétaro</v>
      </c>
      <c r="H1025" s="1"/>
    </row>
    <row r="1026" spans="1:8" x14ac:dyDescent="0.35">
      <c r="A1026" s="21"/>
      <c r="B1026" t="s">
        <v>925</v>
      </c>
      <c r="C1026" t="s">
        <v>6</v>
      </c>
      <c r="D1026" t="s">
        <v>4569</v>
      </c>
      <c r="F1026" s="1">
        <v>46006</v>
      </c>
      <c r="G1026" t="str">
        <f>IF(Table3[[#This Row],[Top Parent Account]]="",Table3[[#This Row],[Account Legal Name]],Table3[[#This Row],[Top Parent Account]])</f>
        <v>Ojeda Izajes Gruas y Transportes</v>
      </c>
      <c r="H1026" s="1"/>
    </row>
    <row r="1027" spans="1:8" x14ac:dyDescent="0.35">
      <c r="A1027" s="21"/>
      <c r="B1027" t="s">
        <v>3553</v>
      </c>
      <c r="C1027" t="s">
        <v>6</v>
      </c>
      <c r="D1027" t="s">
        <v>4570</v>
      </c>
      <c r="F1027" s="1">
        <v>46006</v>
      </c>
      <c r="G1027" t="str">
        <f>IF(Table3[[#This Row],[Top Parent Account]]="",Table3[[#This Row],[Account Legal Name]],Table3[[#This Row],[Top Parent Account]])</f>
        <v>Comercializadora Paif</v>
      </c>
      <c r="H1027" s="1"/>
    </row>
    <row r="1028" spans="1:8" x14ac:dyDescent="0.35">
      <c r="A1028" s="21"/>
      <c r="B1028" t="s">
        <v>2693</v>
      </c>
      <c r="C1028" t="s">
        <v>6</v>
      </c>
      <c r="D1028" t="s">
        <v>4572</v>
      </c>
      <c r="F1028" s="1">
        <v>46006</v>
      </c>
      <c r="G1028" t="str">
        <f>IF(Table3[[#This Row],[Top Parent Account]]="",Table3[[#This Row],[Account Legal Name]],Table3[[#This Row],[Top Parent Account]])</f>
        <v>Rancho San Luis Pgmx</v>
      </c>
      <c r="H1028" s="1"/>
    </row>
    <row r="1029" spans="1:8" x14ac:dyDescent="0.35">
      <c r="A1029" s="21"/>
      <c r="B1029" t="s">
        <v>2693</v>
      </c>
      <c r="C1029" t="s">
        <v>4571</v>
      </c>
      <c r="D1029" t="s">
        <v>4572</v>
      </c>
      <c r="F1029" s="1">
        <v>46006</v>
      </c>
      <c r="G1029" t="str">
        <f>IF(Table3[[#This Row],[Top Parent Account]]="",Table3[[#This Row],[Account Legal Name]],Table3[[#This Row],[Top Parent Account]])</f>
        <v>Rancho San Luis Pgmx</v>
      </c>
      <c r="H1029" s="1"/>
    </row>
    <row r="1030" spans="1:8" x14ac:dyDescent="0.35">
      <c r="A1030" s="21"/>
      <c r="B1030" t="s">
        <v>3129</v>
      </c>
      <c r="C1030" t="s">
        <v>6</v>
      </c>
      <c r="D1030" t="s">
        <v>4573</v>
      </c>
      <c r="F1030" s="1">
        <v>46006</v>
      </c>
      <c r="G1030" t="str">
        <f>IF(Table3[[#This Row],[Top Parent Account]]="",Table3[[#This Row],[Account Legal Name]],Table3[[#This Row],[Top Parent Account]])</f>
        <v>NITOMEX</v>
      </c>
      <c r="H1030" s="1"/>
    </row>
    <row r="1031" spans="1:8" x14ac:dyDescent="0.35">
      <c r="A1031" s="21"/>
      <c r="B1031" t="s">
        <v>1006</v>
      </c>
      <c r="C1031" t="s">
        <v>6</v>
      </c>
      <c r="D1031" t="s">
        <v>4574</v>
      </c>
      <c r="F1031" s="1">
        <v>46006</v>
      </c>
      <c r="G1031" t="str">
        <f>IF(Table3[[#This Row],[Top Parent Account]]="",Table3[[#This Row],[Account Legal Name]],Table3[[#This Row],[Top Parent Account]])</f>
        <v>Gdl Smart Developement</v>
      </c>
      <c r="H1031" s="1"/>
    </row>
    <row r="1032" spans="1:8" x14ac:dyDescent="0.35">
      <c r="A1032" s="21"/>
      <c r="B1032" t="s">
        <v>88</v>
      </c>
      <c r="C1032" t="s">
        <v>6</v>
      </c>
      <c r="D1032" t="s">
        <v>4577</v>
      </c>
      <c r="F1032" s="1">
        <v>46006</v>
      </c>
      <c r="G1032" t="str">
        <f>IF(Table3[[#This Row],[Top Parent Account]]="",Table3[[#This Row],[Account Legal Name]],Table3[[#This Row],[Top Parent Account]])</f>
        <v>AM OLEXO FOODS MEXICO</v>
      </c>
      <c r="H1032" s="1"/>
    </row>
    <row r="1033" spans="1:8" x14ac:dyDescent="0.35">
      <c r="A1033" s="21"/>
      <c r="B1033" t="s">
        <v>39</v>
      </c>
      <c r="C1033" t="s">
        <v>4575</v>
      </c>
      <c r="D1033" t="s">
        <v>4442</v>
      </c>
      <c r="F1033" s="1">
        <v>46006</v>
      </c>
      <c r="G1033" t="str">
        <f>IF(Table3[[#This Row],[Top Parent Account]]="",Table3[[#This Row],[Account Legal Name]],Table3[[#This Row],[Top Parent Account]])</f>
        <v>Soriana</v>
      </c>
      <c r="H1033" s="1"/>
    </row>
    <row r="1034" spans="1:8" x14ac:dyDescent="0.35">
      <c r="A1034" s="21"/>
      <c r="B1034" t="s">
        <v>989</v>
      </c>
      <c r="C1034" t="s">
        <v>6</v>
      </c>
      <c r="D1034" t="s">
        <v>4576</v>
      </c>
      <c r="F1034" s="1">
        <v>46006</v>
      </c>
      <c r="G1034" t="str">
        <f>IF(Table3[[#This Row],[Top Parent Account]]="",Table3[[#This Row],[Account Legal Name]],Table3[[#This Row],[Top Parent Account]])</f>
        <v>CREAFLEX</v>
      </c>
      <c r="H1034" s="1"/>
    </row>
    <row r="1035" spans="1:8" x14ac:dyDescent="0.35">
      <c r="A1035" s="21"/>
      <c r="B1035" t="s">
        <v>29</v>
      </c>
      <c r="C1035" t="s">
        <v>6</v>
      </c>
      <c r="D1035" t="s">
        <v>443</v>
      </c>
      <c r="E1035" t="s">
        <v>444</v>
      </c>
      <c r="F1035" s="1">
        <v>46006</v>
      </c>
      <c r="G1035" t="str">
        <f>IF(Table3[[#This Row],[Top Parent Account]]="",Table3[[#This Row],[Account Legal Name]],Table3[[#This Row],[Top Parent Account]])</f>
        <v>Ugasa</v>
      </c>
      <c r="H1035" s="1"/>
    </row>
    <row r="1036" spans="1:8" x14ac:dyDescent="0.35">
      <c r="A1036" s="21"/>
      <c r="B1036" t="s">
        <v>32</v>
      </c>
      <c r="C1036" t="s">
        <v>6</v>
      </c>
      <c r="D1036" t="s">
        <v>4431</v>
      </c>
      <c r="F1036" s="1">
        <v>46004</v>
      </c>
      <c r="G1036" t="str">
        <f>IF(Table3[[#This Row],[Top Parent Account]]="",Table3[[#This Row],[Account Legal Name]],Table3[[#This Row],[Top Parent Account]])</f>
        <v>Merino Telis Café</v>
      </c>
      <c r="H1036" s="1"/>
    </row>
    <row r="1037" spans="1:8" x14ac:dyDescent="0.35">
      <c r="A1037" s="21"/>
      <c r="B1037" t="s">
        <v>3092</v>
      </c>
      <c r="C1037" t="s">
        <v>6</v>
      </c>
      <c r="D1037" t="s">
        <v>3290</v>
      </c>
      <c r="F1037" s="1">
        <v>46002</v>
      </c>
      <c r="G1037" t="str">
        <f>IF(Table3[[#This Row],[Top Parent Account]]="",Table3[[#This Row],[Account Legal Name]],Table3[[#This Row],[Top Parent Account]])</f>
        <v>Grupo Trigave</v>
      </c>
      <c r="H1037" s="1"/>
    </row>
    <row r="1038" spans="1:8" x14ac:dyDescent="0.35">
      <c r="A1038" s="21"/>
      <c r="B1038" t="s">
        <v>121</v>
      </c>
      <c r="C1038" t="s">
        <v>6</v>
      </c>
      <c r="D1038" t="s">
        <v>4425</v>
      </c>
      <c r="F1038" s="1">
        <v>46002</v>
      </c>
      <c r="G1038" t="str">
        <f>IF(Table3[[#This Row],[Top Parent Account]]="",Table3[[#This Row],[Account Legal Name]],Table3[[#This Row],[Top Parent Account]])</f>
        <v>Ecochillers Corporation</v>
      </c>
      <c r="H1038" s="1"/>
    </row>
    <row r="1039" spans="1:8" x14ac:dyDescent="0.35">
      <c r="A1039" s="21"/>
      <c r="B1039" t="s">
        <v>169</v>
      </c>
      <c r="C1039" t="s">
        <v>6</v>
      </c>
      <c r="D1039" t="s">
        <v>4432</v>
      </c>
      <c r="F1039" s="1">
        <v>46002</v>
      </c>
      <c r="G1039" t="str">
        <f>IF(Table3[[#This Row],[Top Parent Account]]="",Table3[[#This Row],[Account Legal Name]],Table3[[#This Row],[Top Parent Account]])</f>
        <v>RM TRACTOVOLTEOS REMOLQUES</v>
      </c>
      <c r="H1039" s="1"/>
    </row>
    <row r="1040" spans="1:8" x14ac:dyDescent="0.35">
      <c r="A1040" s="21"/>
      <c r="B1040" t="s">
        <v>14</v>
      </c>
      <c r="C1040" t="s">
        <v>6</v>
      </c>
      <c r="D1040" t="s">
        <v>4433</v>
      </c>
      <c r="F1040" s="1">
        <v>46002</v>
      </c>
      <c r="G1040" t="str">
        <f>IF(Table3[[#This Row],[Top Parent Account]]="",Table3[[#This Row],[Account Legal Name]],Table3[[#This Row],[Top Parent Account]])</f>
        <v>Farmiral</v>
      </c>
      <c r="H1040" s="1"/>
    </row>
    <row r="1041" spans="1:8" x14ac:dyDescent="0.35">
      <c r="A1041" s="21"/>
      <c r="B1041" t="s">
        <v>208</v>
      </c>
      <c r="C1041" t="s">
        <v>6</v>
      </c>
      <c r="D1041" t="s">
        <v>4434</v>
      </c>
      <c r="F1041" s="1">
        <v>46002</v>
      </c>
      <c r="G1041" t="str">
        <f>IF(Table3[[#This Row],[Top Parent Account]]="",Table3[[#This Row],[Account Legal Name]],Table3[[#This Row],[Top Parent Account]])</f>
        <v>Bostik Mexicana</v>
      </c>
      <c r="H1041" s="1"/>
    </row>
    <row r="1042" spans="1:8" x14ac:dyDescent="0.35">
      <c r="A1042" s="21"/>
      <c r="B1042" t="s">
        <v>3129</v>
      </c>
      <c r="C1042" t="s">
        <v>6</v>
      </c>
      <c r="D1042" t="s">
        <v>4435</v>
      </c>
      <c r="F1042" s="1">
        <v>46002</v>
      </c>
      <c r="G1042" t="str">
        <f>IF(Table3[[#This Row],[Top Parent Account]]="",Table3[[#This Row],[Account Legal Name]],Table3[[#This Row],[Top Parent Account]])</f>
        <v>DSV Contract Logistics</v>
      </c>
      <c r="H1042" s="1"/>
    </row>
    <row r="1043" spans="1:8" x14ac:dyDescent="0.35">
      <c r="A1043" s="21"/>
      <c r="B1043" t="s">
        <v>77</v>
      </c>
      <c r="C1043" t="s">
        <v>6</v>
      </c>
      <c r="D1043" t="s">
        <v>388</v>
      </c>
      <c r="F1043" s="1">
        <v>46002</v>
      </c>
      <c r="G1043" t="str">
        <f>IF(Table3[[#This Row],[Top Parent Account]]="",Table3[[#This Row],[Account Legal Name]],Table3[[#This Row],[Top Parent Account]])</f>
        <v>Ares Comercio de Metales</v>
      </c>
      <c r="H1043" s="1"/>
    </row>
    <row r="1044" spans="1:8" x14ac:dyDescent="0.35">
      <c r="A1044" s="21"/>
      <c r="B1044" t="s">
        <v>28</v>
      </c>
      <c r="C1044" t="s">
        <v>6</v>
      </c>
      <c r="D1044" t="s">
        <v>4474</v>
      </c>
      <c r="F1044" s="1">
        <v>46002</v>
      </c>
      <c r="G1044" t="str">
        <f>IF(Table3[[#This Row],[Top Parent Account]]="",Table3[[#This Row],[Account Legal Name]],Table3[[#This Row],[Top Parent Account]])</f>
        <v>Jar Electrónica Aplicada</v>
      </c>
      <c r="H1044" s="1"/>
    </row>
    <row r="1045" spans="1:8" x14ac:dyDescent="0.35">
      <c r="A1045" s="21"/>
      <c r="B1045" t="s">
        <v>25</v>
      </c>
      <c r="C1045" t="s">
        <v>1542</v>
      </c>
      <c r="D1045" t="s">
        <v>4436</v>
      </c>
      <c r="F1045" s="1">
        <v>46002</v>
      </c>
      <c r="G1045" t="str">
        <f>IF(Table3[[#This Row],[Top Parent Account]]="",Table3[[#This Row],[Account Legal Name]],Table3[[#This Row],[Top Parent Account]])</f>
        <v>Planeación de Logística y movilidad</v>
      </c>
      <c r="H1045" s="1"/>
    </row>
    <row r="1046" spans="1:8" x14ac:dyDescent="0.35">
      <c r="A1046" s="21"/>
      <c r="B1046" t="s">
        <v>37</v>
      </c>
      <c r="C1046" t="s">
        <v>6</v>
      </c>
      <c r="D1046" t="s">
        <v>2525</v>
      </c>
      <c r="F1046" s="1">
        <v>46002</v>
      </c>
      <c r="G1046" t="str">
        <f>IF(Table3[[#This Row],[Top Parent Account]]="",Table3[[#This Row],[Account Legal Name]],Table3[[#This Row],[Top Parent Account]])</f>
        <v>LATECOERE MEXICO</v>
      </c>
      <c r="H1046" s="1"/>
    </row>
    <row r="1047" spans="1:8" x14ac:dyDescent="0.35">
      <c r="A1047" s="21"/>
      <c r="B1047" t="s">
        <v>18</v>
      </c>
      <c r="C1047" t="s">
        <v>22</v>
      </c>
      <c r="D1047" t="s">
        <v>1221</v>
      </c>
      <c r="F1047" s="1">
        <v>46002</v>
      </c>
      <c r="G1047" t="str">
        <f>IF(Table3[[#This Row],[Top Parent Account]]="",Table3[[#This Row],[Account Legal Name]],Table3[[#This Row],[Top Parent Account]])</f>
        <v>Semaqsa</v>
      </c>
      <c r="H1047" s="1"/>
    </row>
    <row r="1048" spans="1:8" x14ac:dyDescent="0.35">
      <c r="A1048" s="21"/>
      <c r="B1048" t="s">
        <v>925</v>
      </c>
      <c r="C1048" t="s">
        <v>6</v>
      </c>
      <c r="D1048" t="s">
        <v>4437</v>
      </c>
      <c r="F1048" s="1">
        <v>46002</v>
      </c>
      <c r="G1048" t="str">
        <f>IF(Table3[[#This Row],[Top Parent Account]]="",Table3[[#This Row],[Account Legal Name]],Table3[[#This Row],[Top Parent Account]])</f>
        <v>Akuasul</v>
      </c>
      <c r="H1048" s="1"/>
    </row>
    <row r="1049" spans="1:8" x14ac:dyDescent="0.35">
      <c r="A1049" s="21"/>
      <c r="B1049" t="s">
        <v>3182</v>
      </c>
      <c r="C1049" t="s">
        <v>22</v>
      </c>
      <c r="D1049" t="s">
        <v>4277</v>
      </c>
      <c r="F1049" s="1">
        <v>46002</v>
      </c>
      <c r="G1049" t="str">
        <f>IF(Table3[[#This Row],[Top Parent Account]]="",Table3[[#This Row],[Account Legal Name]],Table3[[#This Row],[Top Parent Account]])</f>
        <v>CLINICA OFTALMOLOGICA DE OCCIDENTE</v>
      </c>
      <c r="H1049" s="1"/>
    </row>
    <row r="1050" spans="1:8" x14ac:dyDescent="0.35">
      <c r="A1050" s="21"/>
      <c r="B1050" t="s">
        <v>169</v>
      </c>
      <c r="C1050" t="s">
        <v>6</v>
      </c>
      <c r="D1050" t="s">
        <v>4438</v>
      </c>
      <c r="F1050" s="1">
        <v>46002</v>
      </c>
      <c r="G1050" t="str">
        <f>IF(Table3[[#This Row],[Top Parent Account]]="",Table3[[#This Row],[Account Legal Name]],Table3[[#This Row],[Top Parent Account]])</f>
        <v>Totalmente Reflejante</v>
      </c>
      <c r="H1050" s="1"/>
    </row>
    <row r="1051" spans="1:8" x14ac:dyDescent="0.35">
      <c r="A1051" s="21"/>
      <c r="B1051" t="s">
        <v>29</v>
      </c>
      <c r="C1051" t="s">
        <v>6</v>
      </c>
      <c r="D1051" t="s">
        <v>701</v>
      </c>
      <c r="F1051" s="1">
        <v>46002</v>
      </c>
      <c r="G1051" t="str">
        <f>IF(Table3[[#This Row],[Top Parent Account]]="",Table3[[#This Row],[Account Legal Name]],Table3[[#This Row],[Top Parent Account]])</f>
        <v>Ultra Laboratorios</v>
      </c>
      <c r="H1051" s="1"/>
    </row>
    <row r="1052" spans="1:8" x14ac:dyDescent="0.35">
      <c r="A1052" s="21"/>
      <c r="B1052" t="s">
        <v>970</v>
      </c>
      <c r="C1052" t="s">
        <v>6</v>
      </c>
      <c r="D1052" t="s">
        <v>4439</v>
      </c>
      <c r="F1052" s="1">
        <v>46002</v>
      </c>
      <c r="G1052" t="str">
        <f>IF(Table3[[#This Row],[Top Parent Account]]="",Table3[[#This Row],[Account Legal Name]],Table3[[#This Row],[Top Parent Account]])</f>
        <v>Multivac México</v>
      </c>
      <c r="H1052" s="1"/>
    </row>
    <row r="1053" spans="1:8" x14ac:dyDescent="0.35">
      <c r="A1053" s="21"/>
      <c r="B1053" t="s">
        <v>925</v>
      </c>
      <c r="C1053" t="s">
        <v>22</v>
      </c>
      <c r="D1053" t="s">
        <v>4440</v>
      </c>
      <c r="F1053" s="1">
        <v>46002</v>
      </c>
      <c r="G1053" t="str">
        <f>IF(Table3[[#This Row],[Top Parent Account]]="",Table3[[#This Row],[Account Legal Name]],Table3[[#This Row],[Top Parent Account]])</f>
        <v>BEE BLUE GROUP MEXICO</v>
      </c>
      <c r="H1053" s="1"/>
    </row>
    <row r="1054" spans="1:8" x14ac:dyDescent="0.35">
      <c r="A1054" s="21"/>
      <c r="B1054" t="s">
        <v>39</v>
      </c>
      <c r="C1054" t="s">
        <v>4441</v>
      </c>
      <c r="D1054" t="s">
        <v>4442</v>
      </c>
      <c r="F1054" s="1">
        <v>46002</v>
      </c>
      <c r="G1054" t="str">
        <f>IF(Table3[[#This Row],[Top Parent Account]]="",Table3[[#This Row],[Account Legal Name]],Table3[[#This Row],[Top Parent Account]])</f>
        <v>Soriana</v>
      </c>
      <c r="H1054" s="1"/>
    </row>
    <row r="1055" spans="1:8" x14ac:dyDescent="0.35">
      <c r="A1055" s="21"/>
      <c r="B1055" t="s">
        <v>925</v>
      </c>
      <c r="C1055" t="s">
        <v>6</v>
      </c>
      <c r="D1055" t="s">
        <v>4443</v>
      </c>
      <c r="F1055" s="1">
        <v>46002</v>
      </c>
      <c r="G1055" t="str">
        <f>IF(Table3[[#This Row],[Top Parent Account]]="",Table3[[#This Row],[Account Legal Name]],Table3[[#This Row],[Top Parent Account]])</f>
        <v>Autoflex Tech México</v>
      </c>
      <c r="H1055" s="1"/>
    </row>
    <row r="1056" spans="1:8" x14ac:dyDescent="0.35">
      <c r="A1056" s="21"/>
      <c r="B1056" t="s">
        <v>23</v>
      </c>
      <c r="C1056" t="s">
        <v>22</v>
      </c>
      <c r="D1056" t="s">
        <v>4475</v>
      </c>
      <c r="F1056" s="1">
        <v>46002</v>
      </c>
      <c r="G1056" t="str">
        <f>IF(Table3[[#This Row],[Top Parent Account]]="",Table3[[#This Row],[Account Legal Name]],Table3[[#This Row],[Top Parent Account]])</f>
        <v>Construcciones Metal Mecánicas Mexicanas</v>
      </c>
      <c r="H1056" s="1"/>
    </row>
    <row r="1057" spans="1:8" x14ac:dyDescent="0.35">
      <c r="A1057" s="21"/>
      <c r="B1057" t="s">
        <v>38</v>
      </c>
      <c r="C1057" t="s">
        <v>6</v>
      </c>
      <c r="D1057" t="s">
        <v>4476</v>
      </c>
      <c r="F1057" s="1">
        <v>46002</v>
      </c>
      <c r="G1057" t="str">
        <f>IF(Table3[[#This Row],[Top Parent Account]]="",Table3[[#This Row],[Account Legal Name]],Table3[[#This Row],[Top Parent Account]])</f>
        <v>Greenverland Agrotech</v>
      </c>
      <c r="H1057" s="1"/>
    </row>
    <row r="1058" spans="1:8" x14ac:dyDescent="0.35">
      <c r="A1058" s="21"/>
      <c r="B1058" t="s">
        <v>32</v>
      </c>
      <c r="C1058" t="s">
        <v>22</v>
      </c>
      <c r="D1058" t="s">
        <v>289</v>
      </c>
      <c r="F1058" s="1">
        <v>46001</v>
      </c>
      <c r="G1058" t="str">
        <f>IF(Table3[[#This Row],[Top Parent Account]]="",Table3[[#This Row],[Account Legal Name]],Table3[[#This Row],[Top Parent Account]])</f>
        <v>Transmodal</v>
      </c>
      <c r="H1058" s="1"/>
    </row>
    <row r="1059" spans="1:8" x14ac:dyDescent="0.35">
      <c r="A1059" s="21"/>
      <c r="B1059" t="s">
        <v>18</v>
      </c>
      <c r="C1059" t="s">
        <v>6</v>
      </c>
      <c r="D1059" t="s">
        <v>4444</v>
      </c>
      <c r="F1059" s="1">
        <v>46001</v>
      </c>
      <c r="G1059" t="str">
        <f>IF(Table3[[#This Row],[Top Parent Account]]="",Table3[[#This Row],[Account Legal Name]],Table3[[#This Row],[Top Parent Account]])</f>
        <v>Vigomex</v>
      </c>
      <c r="H1059" s="1"/>
    </row>
    <row r="1060" spans="1:8" x14ac:dyDescent="0.35">
      <c r="A1060" s="21"/>
      <c r="B1060" t="s">
        <v>121</v>
      </c>
      <c r="C1060" t="s">
        <v>6</v>
      </c>
      <c r="D1060" t="s">
        <v>4445</v>
      </c>
      <c r="F1060" s="1">
        <v>46001</v>
      </c>
      <c r="G1060" t="str">
        <f>IF(Table3[[#This Row],[Top Parent Account]]="",Table3[[#This Row],[Account Legal Name]],Table3[[#This Row],[Top Parent Account]])</f>
        <v>Asociación de  Agricultores del Río Presido</v>
      </c>
      <c r="H1060" s="1"/>
    </row>
    <row r="1061" spans="1:8" x14ac:dyDescent="0.35">
      <c r="A1061" s="21"/>
      <c r="B1061" t="s">
        <v>3129</v>
      </c>
      <c r="C1061" t="s">
        <v>6</v>
      </c>
      <c r="D1061" t="s">
        <v>1115</v>
      </c>
      <c r="F1061" s="1">
        <v>46001</v>
      </c>
      <c r="G1061" t="str">
        <f>IF(Table3[[#This Row],[Top Parent Account]]="",Table3[[#This Row],[Account Legal Name]],Table3[[#This Row],[Top Parent Account]])</f>
        <v>Aceros Industriales Tuvace</v>
      </c>
      <c r="H1061" s="1"/>
    </row>
    <row r="1062" spans="1:8" x14ac:dyDescent="0.35">
      <c r="A1062" s="21"/>
      <c r="B1062" t="s">
        <v>280</v>
      </c>
      <c r="C1062" t="s">
        <v>6</v>
      </c>
      <c r="D1062" t="s">
        <v>3536</v>
      </c>
      <c r="F1062" s="1">
        <v>46001</v>
      </c>
      <c r="G1062" t="str">
        <f>IF(Table3[[#This Row],[Top Parent Account]]="",Table3[[#This Row],[Account Legal Name]],Table3[[#This Row],[Top Parent Account]])</f>
        <v>AVI G SERCOM</v>
      </c>
      <c r="H1062" s="1"/>
    </row>
    <row r="1063" spans="1:8" x14ac:dyDescent="0.35">
      <c r="A1063" s="21"/>
      <c r="B1063" t="s">
        <v>3553</v>
      </c>
      <c r="C1063" t="s">
        <v>6</v>
      </c>
      <c r="D1063" t="s">
        <v>4446</v>
      </c>
      <c r="F1063" s="1">
        <v>46001</v>
      </c>
      <c r="G1063" t="str">
        <f>IF(Table3[[#This Row],[Top Parent Account]]="",Table3[[#This Row],[Account Legal Name]],Table3[[#This Row],[Top Parent Account]])</f>
        <v>ATRIALA</v>
      </c>
      <c r="H1063" s="1"/>
    </row>
    <row r="1064" spans="1:8" x14ac:dyDescent="0.35">
      <c r="A1064" s="21"/>
      <c r="B1064" t="s">
        <v>29</v>
      </c>
      <c r="C1064" t="s">
        <v>6</v>
      </c>
      <c r="D1064" t="s">
        <v>273</v>
      </c>
      <c r="F1064" s="1">
        <v>46001</v>
      </c>
      <c r="G1064" t="str">
        <f>IF(Table3[[#This Row],[Top Parent Account]]="",Table3[[#This Row],[Account Legal Name]],Table3[[#This Row],[Top Parent Account]])</f>
        <v>Exportadora de Postes GDL</v>
      </c>
      <c r="H1064" s="1"/>
    </row>
    <row r="1065" spans="1:8" x14ac:dyDescent="0.35">
      <c r="A1065" s="21"/>
      <c r="B1065" t="s">
        <v>2345</v>
      </c>
      <c r="C1065" t="s">
        <v>6</v>
      </c>
      <c r="D1065" t="s">
        <v>4447</v>
      </c>
      <c r="F1065" s="1">
        <v>46001</v>
      </c>
      <c r="G1065" t="str">
        <f>IF(Table3[[#This Row],[Top Parent Account]]="",Table3[[#This Row],[Account Legal Name]],Table3[[#This Row],[Top Parent Account]])</f>
        <v>HAICO SOLUCIONES EN CONCRETO</v>
      </c>
      <c r="H1065" s="1"/>
    </row>
    <row r="1066" spans="1:8" x14ac:dyDescent="0.35">
      <c r="A1066" s="21"/>
      <c r="B1066" t="s">
        <v>88</v>
      </c>
      <c r="C1066" t="s">
        <v>6</v>
      </c>
      <c r="D1066" t="s">
        <v>4448</v>
      </c>
      <c r="F1066" s="1">
        <v>46001</v>
      </c>
      <c r="G1066" t="str">
        <f>IF(Table3[[#This Row],[Top Parent Account]]="",Table3[[#This Row],[Account Legal Name]],Table3[[#This Row],[Top Parent Account]])</f>
        <v>Angular Solutions</v>
      </c>
      <c r="H1066" s="1"/>
    </row>
    <row r="1067" spans="1:8" x14ac:dyDescent="0.35">
      <c r="A1067" s="21"/>
      <c r="B1067" t="s">
        <v>14</v>
      </c>
      <c r="C1067" t="s">
        <v>6</v>
      </c>
      <c r="D1067" t="s">
        <v>3359</v>
      </c>
      <c r="F1067" s="1">
        <v>46001</v>
      </c>
      <c r="G1067" t="str">
        <f>IF(Table3[[#This Row],[Top Parent Account]]="",Table3[[#This Row],[Account Legal Name]],Table3[[#This Row],[Top Parent Account]])</f>
        <v>Dasavena Gourmet</v>
      </c>
      <c r="H1067" s="1"/>
    </row>
    <row r="1068" spans="1:8" x14ac:dyDescent="0.35">
      <c r="A1068" s="21"/>
      <c r="B1068" t="s">
        <v>38</v>
      </c>
      <c r="C1068" t="s">
        <v>6</v>
      </c>
      <c r="D1068" t="s">
        <v>560</v>
      </c>
      <c r="F1068" s="1">
        <v>46001</v>
      </c>
      <c r="G1068" t="str">
        <f>IF(Table3[[#This Row],[Top Parent Account]]="",Table3[[#This Row],[Account Legal Name]],Table3[[#This Row],[Top Parent Account]])</f>
        <v>Constructora Chufani</v>
      </c>
      <c r="H1068" s="1"/>
    </row>
    <row r="1069" spans="1:8" x14ac:dyDescent="0.35">
      <c r="A1069" s="21"/>
      <c r="B1069" t="s">
        <v>27</v>
      </c>
      <c r="C1069" t="s">
        <v>6</v>
      </c>
      <c r="D1069" t="s">
        <v>36</v>
      </c>
      <c r="F1069" s="1">
        <v>46001</v>
      </c>
      <c r="G1069" t="str">
        <f>IF(Table3[[#This Row],[Top Parent Account]]="",Table3[[#This Row],[Account Legal Name]],Table3[[#This Row],[Top Parent Account]])</f>
        <v>Grupo TRACSA</v>
      </c>
      <c r="H1069" s="1"/>
    </row>
    <row r="1070" spans="1:8" x14ac:dyDescent="0.35">
      <c r="A1070" s="21"/>
      <c r="B1070" t="s">
        <v>2345</v>
      </c>
      <c r="C1070" t="s">
        <v>6</v>
      </c>
      <c r="D1070" t="s">
        <v>4095</v>
      </c>
      <c r="F1070" s="1">
        <v>46001</v>
      </c>
      <c r="G1070" t="str">
        <f>IF(Table3[[#This Row],[Top Parent Account]]="",Table3[[#This Row],[Account Legal Name]],Table3[[#This Row],[Top Parent Account]])</f>
        <v>Aluminios Desoxidantes de Occidente</v>
      </c>
      <c r="H1070" s="1"/>
    </row>
    <row r="1071" spans="1:8" x14ac:dyDescent="0.35">
      <c r="A1071" s="21"/>
      <c r="B1071" t="s">
        <v>3114</v>
      </c>
      <c r="C1071" t="s">
        <v>52</v>
      </c>
      <c r="D1071" t="s">
        <v>4449</v>
      </c>
      <c r="F1071" s="1">
        <v>46001</v>
      </c>
      <c r="G1071" t="str">
        <f>IF(Table3[[#This Row],[Top Parent Account]]="",Table3[[#This Row],[Account Legal Name]],Table3[[#This Row],[Top Parent Account]])</f>
        <v>Alimentos y Sazonadores Regios</v>
      </c>
      <c r="H1071" s="1"/>
    </row>
    <row r="1072" spans="1:8" x14ac:dyDescent="0.35">
      <c r="A1072" s="21"/>
      <c r="B1072" t="s">
        <v>169</v>
      </c>
      <c r="C1072" t="s">
        <v>6</v>
      </c>
      <c r="D1072" t="s">
        <v>4184</v>
      </c>
      <c r="F1072" s="1">
        <v>46001</v>
      </c>
      <c r="G1072" t="str">
        <f>IF(Table3[[#This Row],[Top Parent Account]]="",Table3[[#This Row],[Account Legal Name]],Table3[[#This Row],[Top Parent Account]])</f>
        <v>JAIR MEJIA ZAMORA</v>
      </c>
      <c r="H1072" s="1"/>
    </row>
    <row r="1073" spans="1:8" x14ac:dyDescent="0.35">
      <c r="A1073" s="21"/>
      <c r="B1073" t="s">
        <v>2693</v>
      </c>
      <c r="C1073" t="s">
        <v>6</v>
      </c>
      <c r="D1073" t="s">
        <v>4450</v>
      </c>
      <c r="F1073" s="1">
        <v>46001</v>
      </c>
      <c r="G1073" t="str">
        <f>IF(Table3[[#This Row],[Top Parent Account]]="",Table3[[#This Row],[Account Legal Name]],Table3[[#This Row],[Top Parent Account]])</f>
        <v>Empacadores y Exportadores Faroma Lima</v>
      </c>
      <c r="H1073" s="1"/>
    </row>
    <row r="1074" spans="1:8" x14ac:dyDescent="0.35">
      <c r="A1074" s="21"/>
      <c r="B1074" t="s">
        <v>88</v>
      </c>
      <c r="C1074" t="s">
        <v>6</v>
      </c>
      <c r="D1074" t="s">
        <v>4451</v>
      </c>
      <c r="F1074" s="1">
        <v>46001</v>
      </c>
      <c r="G1074" t="str">
        <f>IF(Table3[[#This Row],[Top Parent Account]]="",Table3[[#This Row],[Account Legal Name]],Table3[[#This Row],[Top Parent Account]])</f>
        <v>Raúl Armando Jiménez Suaste</v>
      </c>
      <c r="H1074" s="1"/>
    </row>
    <row r="1075" spans="1:8" x14ac:dyDescent="0.35">
      <c r="A1075" s="21"/>
      <c r="B1075" t="s">
        <v>84</v>
      </c>
      <c r="C1075" t="s">
        <v>193</v>
      </c>
      <c r="D1075" t="s">
        <v>4452</v>
      </c>
      <c r="F1075" s="1">
        <v>46001</v>
      </c>
      <c r="G1075" t="str">
        <f>IF(Table3[[#This Row],[Top Parent Account]]="",Table3[[#This Row],[Account Legal Name]],Table3[[#This Row],[Top Parent Account]])</f>
        <v>FRAMA PLASTICS</v>
      </c>
      <c r="H1075" s="1"/>
    </row>
    <row r="1076" spans="1:8" x14ac:dyDescent="0.35">
      <c r="A1076" s="21"/>
      <c r="B1076" t="s">
        <v>208</v>
      </c>
      <c r="C1076" t="s">
        <v>6</v>
      </c>
      <c r="D1076" t="s">
        <v>4453</v>
      </c>
      <c r="F1076" s="1">
        <v>46001</v>
      </c>
      <c r="G1076" t="str">
        <f>IF(Table3[[#This Row],[Top Parent Account]]="",Table3[[#This Row],[Account Legal Name]],Table3[[#This Row],[Top Parent Account]])</f>
        <v>BERGER JOYEROS</v>
      </c>
      <c r="H1076" s="1"/>
    </row>
    <row r="1077" spans="1:8" x14ac:dyDescent="0.35">
      <c r="A1077" s="21"/>
      <c r="B1077" t="s">
        <v>3092</v>
      </c>
      <c r="C1077" t="s">
        <v>6</v>
      </c>
      <c r="D1077" t="s">
        <v>4426</v>
      </c>
      <c r="F1077" s="1">
        <v>46001</v>
      </c>
      <c r="G1077" t="str">
        <f>IF(Table3[[#This Row],[Top Parent Account]]="",Table3[[#This Row],[Account Legal Name]],Table3[[#This Row],[Top Parent Account]])</f>
        <v>Poliuretanos Poma</v>
      </c>
      <c r="H1077" s="1"/>
    </row>
    <row r="1078" spans="1:8" x14ac:dyDescent="0.35">
      <c r="A1078" s="21"/>
      <c r="B1078" t="s">
        <v>1899</v>
      </c>
      <c r="C1078" t="s">
        <v>6</v>
      </c>
      <c r="D1078" t="s">
        <v>4454</v>
      </c>
      <c r="F1078" s="1">
        <v>46001</v>
      </c>
      <c r="G1078" t="str">
        <f>IF(Table3[[#This Row],[Top Parent Account]]="",Table3[[#This Row],[Account Legal Name]],Table3[[#This Row],[Top Parent Account]])</f>
        <v>Zeolita Nacional Mexicana</v>
      </c>
      <c r="H1078" s="1"/>
    </row>
    <row r="1079" spans="1:8" x14ac:dyDescent="0.35">
      <c r="A1079" s="21"/>
      <c r="B1079" t="s">
        <v>3114</v>
      </c>
      <c r="C1079" t="s">
        <v>52</v>
      </c>
      <c r="D1079" t="s">
        <v>3644</v>
      </c>
      <c r="F1079" s="1">
        <v>46001</v>
      </c>
      <c r="G1079" t="str">
        <f>IF(Table3[[#This Row],[Top Parent Account]]="",Table3[[#This Row],[Account Legal Name]],Table3[[#This Row],[Top Parent Account]])</f>
        <v>Emergent cold Latam</v>
      </c>
      <c r="H1079" s="1"/>
    </row>
    <row r="1080" spans="1:8" x14ac:dyDescent="0.35">
      <c r="A1080" s="21"/>
      <c r="B1080" t="s">
        <v>39</v>
      </c>
      <c r="C1080" t="s">
        <v>3753</v>
      </c>
      <c r="D1080" t="s">
        <v>520</v>
      </c>
      <c r="F1080" s="1">
        <v>46001</v>
      </c>
      <c r="G1080" t="str">
        <f>IF(Table3[[#This Row],[Top Parent Account]]="",Table3[[#This Row],[Account Legal Name]],Table3[[#This Row],[Top Parent Account]])</f>
        <v>Comercializadora de Alimentos Ochoa</v>
      </c>
      <c r="H1080" s="1"/>
    </row>
    <row r="1081" spans="1:8" x14ac:dyDescent="0.35">
      <c r="A1081" s="21"/>
      <c r="B1081" t="s">
        <v>26</v>
      </c>
      <c r="C1081" t="s">
        <v>6</v>
      </c>
      <c r="D1081" t="s">
        <v>398</v>
      </c>
      <c r="F1081" s="1">
        <v>46001</v>
      </c>
      <c r="G1081" t="str">
        <f>IF(Table3[[#This Row],[Top Parent Account]]="",Table3[[#This Row],[Account Legal Name]],Table3[[#This Row],[Top Parent Account]])</f>
        <v>Almacenes Refrigerados Consolidados</v>
      </c>
      <c r="H1081" s="1"/>
    </row>
    <row r="1082" spans="1:8" x14ac:dyDescent="0.35">
      <c r="A1082" s="21"/>
      <c r="B1082" t="s">
        <v>3092</v>
      </c>
      <c r="C1082" t="s">
        <v>6</v>
      </c>
      <c r="D1082" t="s">
        <v>4426</v>
      </c>
      <c r="F1082" s="1">
        <v>46001</v>
      </c>
      <c r="G1082" t="str">
        <f>IF(Table3[[#This Row],[Top Parent Account]]="",Table3[[#This Row],[Account Legal Name]],Table3[[#This Row],[Top Parent Account]])</f>
        <v>Poliuretanos Poma</v>
      </c>
      <c r="H1082" s="1"/>
    </row>
    <row r="1083" spans="1:8" x14ac:dyDescent="0.35">
      <c r="A1083" s="21"/>
      <c r="B1083" t="s">
        <v>3114</v>
      </c>
      <c r="C1083" t="s">
        <v>52</v>
      </c>
      <c r="D1083" t="s">
        <v>3237</v>
      </c>
      <c r="F1083" s="1">
        <v>46001</v>
      </c>
      <c r="G1083" t="str">
        <f>IF(Table3[[#This Row],[Top Parent Account]]="",Table3[[#This Row],[Account Legal Name]],Table3[[#This Row],[Top Parent Account]])</f>
        <v>Ranchacero</v>
      </c>
      <c r="H1083" s="1"/>
    </row>
    <row r="1084" spans="1:8" x14ac:dyDescent="0.35">
      <c r="A1084" s="21"/>
      <c r="B1084" t="s">
        <v>23</v>
      </c>
      <c r="C1084" t="s">
        <v>6</v>
      </c>
      <c r="D1084" t="s">
        <v>3708</v>
      </c>
      <c r="F1084" s="1">
        <v>46001</v>
      </c>
      <c r="G1084" t="str">
        <f>IF(Table3[[#This Row],[Top Parent Account]]="",Table3[[#This Row],[Account Legal Name]],Table3[[#This Row],[Top Parent Account]])</f>
        <v>COMPAÑIA CERVECERA HERCULES</v>
      </c>
      <c r="H1084" s="1"/>
    </row>
    <row r="1085" spans="1:8" x14ac:dyDescent="0.35">
      <c r="A1085" s="21"/>
      <c r="B1085" t="s">
        <v>77</v>
      </c>
      <c r="C1085" t="s">
        <v>6</v>
      </c>
      <c r="D1085" t="s">
        <v>4428</v>
      </c>
      <c r="F1085" s="1">
        <v>46001</v>
      </c>
      <c r="G1085" t="str">
        <f>IF(Table3[[#This Row],[Top Parent Account]]="",Table3[[#This Row],[Account Legal Name]],Table3[[#This Row],[Top Parent Account]])</f>
        <v>Forestal MDF el largo</v>
      </c>
      <c r="H1085" s="1"/>
    </row>
    <row r="1086" spans="1:8" x14ac:dyDescent="0.35">
      <c r="A1086" s="21"/>
      <c r="B1086" t="s">
        <v>3114</v>
      </c>
      <c r="C1086" t="s">
        <v>52</v>
      </c>
      <c r="D1086" t="s">
        <v>1748</v>
      </c>
      <c r="F1086" s="1">
        <v>46001</v>
      </c>
      <c r="G1086" t="str">
        <f>IF(Table3[[#This Row],[Top Parent Account]]="",Table3[[#This Row],[Account Legal Name]],Table3[[#This Row],[Top Parent Account]])</f>
        <v>RECUPERACIONES INDUSTRIALES INTERNACIONALES</v>
      </c>
      <c r="H1086" s="1"/>
    </row>
    <row r="1087" spans="1:8" x14ac:dyDescent="0.35">
      <c r="A1087" s="21"/>
      <c r="B1087" t="s">
        <v>169</v>
      </c>
      <c r="C1087" t="s">
        <v>6</v>
      </c>
      <c r="D1087" t="s">
        <v>2166</v>
      </c>
      <c r="F1087" s="1">
        <v>46001</v>
      </c>
      <c r="G1087" t="str">
        <f>IF(Table3[[#This Row],[Top Parent Account]]="",Table3[[#This Row],[Account Legal Name]],Table3[[#This Row],[Top Parent Account]])</f>
        <v>Congelados Alysa</v>
      </c>
      <c r="H1087" s="1"/>
    </row>
    <row r="1088" spans="1:8" x14ac:dyDescent="0.35">
      <c r="A1088" s="21"/>
      <c r="B1088" t="s">
        <v>2345</v>
      </c>
      <c r="C1088" t="s">
        <v>6</v>
      </c>
      <c r="D1088" t="s">
        <v>4455</v>
      </c>
      <c r="F1088" s="1">
        <v>46001</v>
      </c>
      <c r="G1088" t="str">
        <f>IF(Table3[[#This Row],[Top Parent Account]]="",Table3[[#This Row],[Account Legal Name]],Table3[[#This Row],[Top Parent Account]])</f>
        <v>Inobella</v>
      </c>
      <c r="H1088" s="1"/>
    </row>
    <row r="1089" spans="1:8" x14ac:dyDescent="0.35">
      <c r="A1089" s="21"/>
      <c r="B1089" t="s">
        <v>10</v>
      </c>
      <c r="C1089" t="s">
        <v>6</v>
      </c>
      <c r="D1089" t="s">
        <v>239</v>
      </c>
      <c r="F1089" s="1">
        <v>46001</v>
      </c>
      <c r="G1089" t="str">
        <f>IF(Table3[[#This Row],[Top Parent Account]]="",Table3[[#This Row],[Account Legal Name]],Table3[[#This Row],[Top Parent Account]])</f>
        <v>High Pack</v>
      </c>
      <c r="H1089" s="1"/>
    </row>
    <row r="1090" spans="1:8" x14ac:dyDescent="0.35">
      <c r="A1090" s="21"/>
      <c r="B1090" t="s">
        <v>4477</v>
      </c>
      <c r="C1090" t="s">
        <v>4478</v>
      </c>
      <c r="D1090" t="s">
        <v>4479</v>
      </c>
      <c r="F1090" s="1">
        <v>46000</v>
      </c>
      <c r="G1090" t="str">
        <f>IF(Table3[[#This Row],[Top Parent Account]]="",Table3[[#This Row],[Account Legal Name]],Table3[[#This Row],[Top Parent Account]])</f>
        <v>Instalaciones Arbibe</v>
      </c>
      <c r="H1090" s="1"/>
    </row>
    <row r="1091" spans="1:8" x14ac:dyDescent="0.35">
      <c r="A1091" s="21"/>
      <c r="B1091" t="s">
        <v>32</v>
      </c>
      <c r="C1091" t="s">
        <v>22</v>
      </c>
      <c r="D1091" t="s">
        <v>4604</v>
      </c>
      <c r="F1091" s="1">
        <v>46000</v>
      </c>
      <c r="G1091" t="str">
        <f>IF(Table3[[#This Row],[Top Parent Account]]="",Table3[[#This Row],[Account Legal Name]],Table3[[#This Row],[Top Parent Account]])</f>
        <v>Meta 4</v>
      </c>
      <c r="H1091" s="1"/>
    </row>
    <row r="1092" spans="1:8" x14ac:dyDescent="0.35">
      <c r="A1092" s="21"/>
      <c r="B1092" t="s">
        <v>32</v>
      </c>
      <c r="C1092" t="s">
        <v>6</v>
      </c>
      <c r="D1092" t="s">
        <v>4605</v>
      </c>
      <c r="F1092" s="1">
        <v>46000</v>
      </c>
      <c r="G1092" t="str">
        <f>IF(Table3[[#This Row],[Top Parent Account]]="",Table3[[#This Row],[Account Legal Name]],Table3[[#This Row],[Top Parent Account]])</f>
        <v>ROBERTET DE MEXICO</v>
      </c>
      <c r="H1092" s="1"/>
    </row>
    <row r="1093" spans="1:8" x14ac:dyDescent="0.35">
      <c r="A1093" s="21"/>
      <c r="B1093" t="s">
        <v>3628</v>
      </c>
      <c r="C1093" t="s">
        <v>6</v>
      </c>
      <c r="D1093" t="s">
        <v>4456</v>
      </c>
      <c r="F1093" s="1">
        <v>46000</v>
      </c>
      <c r="G1093" t="str">
        <f>IF(Table3[[#This Row],[Top Parent Account]]="",Table3[[#This Row],[Account Legal Name]],Table3[[#This Row],[Top Parent Account]])</f>
        <v>Fibra Inn</v>
      </c>
      <c r="H1093" s="1"/>
    </row>
    <row r="1094" spans="1:8" x14ac:dyDescent="0.35">
      <c r="A1094" s="21"/>
      <c r="B1094" t="s">
        <v>39</v>
      </c>
      <c r="C1094" t="s">
        <v>4457</v>
      </c>
      <c r="D1094" t="s">
        <v>794</v>
      </c>
      <c r="F1094" s="1">
        <v>46000</v>
      </c>
      <c r="G1094" t="str">
        <f>IF(Table3[[#This Row],[Top Parent Account]]="",Table3[[#This Row],[Account Legal Name]],Table3[[#This Row],[Top Parent Account]])</f>
        <v>Granjas Avicolas Rancho Grande</v>
      </c>
      <c r="H1094" s="1"/>
    </row>
    <row r="1095" spans="1:8" x14ac:dyDescent="0.35">
      <c r="A1095" s="21"/>
      <c r="B1095" t="s">
        <v>18</v>
      </c>
      <c r="C1095" t="s">
        <v>6</v>
      </c>
      <c r="D1095" t="s">
        <v>4458</v>
      </c>
      <c r="F1095" s="1">
        <v>46000</v>
      </c>
      <c r="G1095" t="str">
        <f>IF(Table3[[#This Row],[Top Parent Account]]="",Table3[[#This Row],[Account Legal Name]],Table3[[#This Row],[Top Parent Account]])</f>
        <v>Grupo Conocido</v>
      </c>
      <c r="H1095" s="1"/>
    </row>
    <row r="1096" spans="1:8" x14ac:dyDescent="0.35">
      <c r="A1096" s="21"/>
      <c r="B1096" t="s">
        <v>14</v>
      </c>
      <c r="C1096" t="s">
        <v>6</v>
      </c>
      <c r="D1096" t="s">
        <v>4459</v>
      </c>
      <c r="F1096" s="1">
        <v>46000</v>
      </c>
      <c r="G1096" t="str">
        <f>IF(Table3[[#This Row],[Top Parent Account]]="",Table3[[#This Row],[Account Legal Name]],Table3[[#This Row],[Top Parent Account]])</f>
        <v>Moldes Mendoza</v>
      </c>
      <c r="H1096" s="1"/>
    </row>
    <row r="1097" spans="1:8" x14ac:dyDescent="0.35">
      <c r="A1097" s="21"/>
      <c r="B1097" t="s">
        <v>88</v>
      </c>
      <c r="C1097" t="s">
        <v>6</v>
      </c>
      <c r="D1097" t="s">
        <v>4460</v>
      </c>
      <c r="F1097" s="1">
        <v>46000</v>
      </c>
      <c r="G1097" t="str">
        <f>IF(Table3[[#This Row],[Top Parent Account]]="",Table3[[#This Row],[Account Legal Name]],Table3[[#This Row],[Top Parent Account]])</f>
        <v>PERECEDEROS SUPA</v>
      </c>
      <c r="H1097" s="1"/>
    </row>
    <row r="1098" spans="1:8" x14ac:dyDescent="0.35">
      <c r="A1098" s="21"/>
      <c r="B1098" t="s">
        <v>10</v>
      </c>
      <c r="C1098" t="s">
        <v>6</v>
      </c>
      <c r="D1098" t="s">
        <v>389</v>
      </c>
      <c r="F1098" s="1">
        <v>46000</v>
      </c>
      <c r="G1098" t="str">
        <f>IF(Table3[[#This Row],[Top Parent Account]]="",Table3[[#This Row],[Account Legal Name]],Table3[[#This Row],[Top Parent Account]])</f>
        <v>SISTEMAS DE ECOLOGIA SOLAR</v>
      </c>
      <c r="H1098" s="1"/>
    </row>
    <row r="1099" spans="1:8" x14ac:dyDescent="0.35">
      <c r="A1099" s="21"/>
      <c r="B1099" t="s">
        <v>23</v>
      </c>
      <c r="C1099" t="s">
        <v>6</v>
      </c>
      <c r="D1099" t="s">
        <v>4385</v>
      </c>
      <c r="F1099" s="1">
        <v>46000</v>
      </c>
      <c r="G1099" t="str">
        <f>IF(Table3[[#This Row],[Top Parent Account]]="",Table3[[#This Row],[Account Legal Name]],Table3[[#This Row],[Top Parent Account]])</f>
        <v>IBL</v>
      </c>
      <c r="H1099" s="1"/>
    </row>
    <row r="1100" spans="1:8" x14ac:dyDescent="0.35">
      <c r="A1100" s="21"/>
      <c r="B1100" t="s">
        <v>39</v>
      </c>
      <c r="C1100" t="s">
        <v>4165</v>
      </c>
      <c r="D1100" t="s">
        <v>4461</v>
      </c>
      <c r="F1100" s="1">
        <v>46000</v>
      </c>
      <c r="G1100" t="str">
        <f>IF(Table3[[#This Row],[Top Parent Account]]="",Table3[[#This Row],[Account Legal Name]],Table3[[#This Row],[Top Parent Account]])</f>
        <v>Tecno Asfaltos y Terracerias</v>
      </c>
      <c r="H1100" s="1"/>
    </row>
    <row r="1101" spans="1:8" x14ac:dyDescent="0.35">
      <c r="A1101" s="21"/>
      <c r="B1101" t="s">
        <v>2884</v>
      </c>
      <c r="C1101" t="s">
        <v>6</v>
      </c>
      <c r="D1101" t="s">
        <v>3558</v>
      </c>
      <c r="E1101" t="s">
        <v>3558</v>
      </c>
      <c r="F1101" s="1">
        <v>46000</v>
      </c>
      <c r="G1101" t="str">
        <f>IF(Table3[[#This Row],[Top Parent Account]]="",Table3[[#This Row],[Account Legal Name]],Table3[[#This Row],[Top Parent Account]])</f>
        <v>Pandener</v>
      </c>
      <c r="H1101" s="1"/>
    </row>
    <row r="1102" spans="1:8" x14ac:dyDescent="0.35">
      <c r="A1102" s="21"/>
      <c r="B1102" t="s">
        <v>925</v>
      </c>
      <c r="C1102" t="s">
        <v>6</v>
      </c>
      <c r="D1102" t="s">
        <v>3228</v>
      </c>
      <c r="F1102" s="1">
        <v>46000</v>
      </c>
      <c r="G1102" t="str">
        <f>IF(Table3[[#This Row],[Top Parent Account]]="",Table3[[#This Row],[Account Legal Name]],Table3[[#This Row],[Top Parent Account]])</f>
        <v>BELUGA DE MÉXICO</v>
      </c>
      <c r="H1102" s="1"/>
    </row>
    <row r="1103" spans="1:8" x14ac:dyDescent="0.35">
      <c r="A1103" s="21"/>
      <c r="B1103" t="s">
        <v>3182</v>
      </c>
      <c r="C1103" t="s">
        <v>22</v>
      </c>
      <c r="D1103" t="s">
        <v>4348</v>
      </c>
      <c r="F1103" s="1">
        <v>46000</v>
      </c>
      <c r="G1103" t="str">
        <f>IF(Table3[[#This Row],[Top Parent Account]]="",Table3[[#This Row],[Account Legal Name]],Table3[[#This Row],[Top Parent Account]])</f>
        <v>Peliculas Utiles</v>
      </c>
      <c r="H1103" s="1"/>
    </row>
    <row r="1104" spans="1:8" x14ac:dyDescent="0.35">
      <c r="A1104" s="21"/>
      <c r="B1104" t="s">
        <v>28</v>
      </c>
      <c r="C1104" t="s">
        <v>6</v>
      </c>
      <c r="D1104" t="s">
        <v>4462</v>
      </c>
      <c r="F1104" s="1">
        <v>46000</v>
      </c>
      <c r="G1104" t="str">
        <f>IF(Table3[[#This Row],[Top Parent Account]]="",Table3[[#This Row],[Account Legal Name]],Table3[[#This Row],[Top Parent Account]])</f>
        <v>Habilitaciones y Servicios Industriales</v>
      </c>
      <c r="H1104" s="1"/>
    </row>
    <row r="1105" spans="1:8" x14ac:dyDescent="0.35">
      <c r="A1105" s="21"/>
      <c r="B1105" t="s">
        <v>32</v>
      </c>
      <c r="C1105" t="s">
        <v>6</v>
      </c>
      <c r="D1105" t="s">
        <v>3587</v>
      </c>
      <c r="F1105" s="1">
        <v>46000</v>
      </c>
      <c r="G1105" t="str">
        <f>IF(Table3[[#This Row],[Top Parent Account]]="",Table3[[#This Row],[Account Legal Name]],Table3[[#This Row],[Top Parent Account]])</f>
        <v>Cafes Tomari</v>
      </c>
      <c r="H1105" s="1"/>
    </row>
    <row r="1106" spans="1:8" x14ac:dyDescent="0.35">
      <c r="A1106" s="21"/>
      <c r="B1106" t="s">
        <v>3182</v>
      </c>
      <c r="C1106" t="s">
        <v>22</v>
      </c>
      <c r="D1106" t="s">
        <v>4480</v>
      </c>
      <c r="F1106" s="1">
        <v>46000</v>
      </c>
      <c r="G1106" t="str">
        <f>IF(Table3[[#This Row],[Top Parent Account]]="",Table3[[#This Row],[Account Legal Name]],Table3[[#This Row],[Top Parent Account]])</f>
        <v>MYSOFT GLOBAL</v>
      </c>
      <c r="H1106" s="1"/>
    </row>
    <row r="1107" spans="1:8" x14ac:dyDescent="0.35">
      <c r="A1107" s="21"/>
      <c r="B1107" t="s">
        <v>18</v>
      </c>
      <c r="C1107" t="s">
        <v>6</v>
      </c>
      <c r="D1107" t="s">
        <v>4329</v>
      </c>
      <c r="F1107" s="1">
        <v>46000</v>
      </c>
      <c r="G1107" t="str">
        <f>IF(Table3[[#This Row],[Top Parent Account]]="",Table3[[#This Row],[Account Legal Name]],Table3[[#This Row],[Top Parent Account]])</f>
        <v>Controladora De Autotransporte y Servicios Comerciales</v>
      </c>
      <c r="H1107" s="1"/>
    </row>
    <row r="1108" spans="1:8" x14ac:dyDescent="0.35">
      <c r="A1108" s="21"/>
      <c r="B1108" t="s">
        <v>88</v>
      </c>
      <c r="C1108" t="s">
        <v>6</v>
      </c>
      <c r="D1108" t="s">
        <v>4430</v>
      </c>
      <c r="F1108" s="1">
        <v>46000</v>
      </c>
      <c r="G1108" t="str">
        <f>IF(Table3[[#This Row],[Top Parent Account]]="",Table3[[#This Row],[Account Legal Name]],Table3[[#This Row],[Top Parent Account]])</f>
        <v>Butler de México</v>
      </c>
      <c r="H1108" s="1"/>
    </row>
    <row r="1109" spans="1:8" x14ac:dyDescent="0.35">
      <c r="A1109" s="21"/>
      <c r="B1109" t="s">
        <v>39</v>
      </c>
      <c r="C1109" t="s">
        <v>4165</v>
      </c>
      <c r="D1109" t="s">
        <v>2558</v>
      </c>
      <c r="F1109" s="1">
        <v>46000</v>
      </c>
      <c r="G1109" t="str">
        <f>IF(Table3[[#This Row],[Top Parent Account]]="",Table3[[#This Row],[Account Legal Name]],Table3[[#This Row],[Top Parent Account]])</f>
        <v>Grupo Construcciones Planificadas</v>
      </c>
      <c r="H1109" s="1"/>
    </row>
    <row r="1110" spans="1:8" x14ac:dyDescent="0.35">
      <c r="A1110" s="21"/>
      <c r="B1110" t="s">
        <v>925</v>
      </c>
      <c r="C1110" t="s">
        <v>6</v>
      </c>
      <c r="D1110" t="s">
        <v>2957</v>
      </c>
      <c r="F1110" s="1">
        <v>46000</v>
      </c>
      <c r="G1110" t="str">
        <f>IF(Table3[[#This Row],[Top Parent Account]]="",Table3[[#This Row],[Account Legal Name]],Table3[[#This Row],[Top Parent Account]])</f>
        <v>Somaki de México</v>
      </c>
      <c r="H1110" s="1"/>
    </row>
    <row r="1111" spans="1:8" x14ac:dyDescent="0.35">
      <c r="A1111" s="21"/>
      <c r="B1111" t="s">
        <v>88</v>
      </c>
      <c r="C1111" t="s">
        <v>6</v>
      </c>
      <c r="D1111" t="s">
        <v>4423</v>
      </c>
      <c r="F1111" s="1">
        <v>46000</v>
      </c>
      <c r="G1111" t="str">
        <f>IF(Table3[[#This Row],[Top Parent Account]]="",Table3[[#This Row],[Account Legal Name]],Table3[[#This Row],[Top Parent Account]])</f>
        <v>EH MAQUINARIA</v>
      </c>
      <c r="H1111" s="1"/>
    </row>
    <row r="1112" spans="1:8" x14ac:dyDescent="0.35">
      <c r="A1112" s="21"/>
      <c r="B1112" t="s">
        <v>77</v>
      </c>
      <c r="C1112" t="s">
        <v>6</v>
      </c>
      <c r="D1112" t="s">
        <v>4463</v>
      </c>
      <c r="F1112" s="1">
        <v>46000</v>
      </c>
      <c r="G1112" t="str">
        <f>IF(Table3[[#This Row],[Top Parent Account]]="",Table3[[#This Row],[Account Legal Name]],Table3[[#This Row],[Top Parent Account]])</f>
        <v>Aviproductos Blanqhof</v>
      </c>
      <c r="H1112" s="1"/>
    </row>
    <row r="1113" spans="1:8" x14ac:dyDescent="0.35">
      <c r="A1113" s="21"/>
      <c r="B1113" t="s">
        <v>739</v>
      </c>
      <c r="C1113" t="s">
        <v>6</v>
      </c>
      <c r="D1113" t="s">
        <v>4464</v>
      </c>
      <c r="F1113" s="1">
        <v>45999</v>
      </c>
      <c r="G1113" t="str">
        <f>IF(Table3[[#This Row],[Top Parent Account]]="",Table3[[#This Row],[Account Legal Name]],Table3[[#This Row],[Top Parent Account]])</f>
        <v>Aramark México</v>
      </c>
      <c r="H1113" s="1"/>
    </row>
    <row r="1114" spans="1:8" x14ac:dyDescent="0.35">
      <c r="A1114" s="21"/>
      <c r="B1114" t="s">
        <v>2693</v>
      </c>
      <c r="C1114" t="s">
        <v>6</v>
      </c>
      <c r="D1114" t="s">
        <v>2132</v>
      </c>
      <c r="F1114" s="1">
        <v>45999</v>
      </c>
      <c r="G1114" t="str">
        <f>IF(Table3[[#This Row],[Top Parent Account]]="",Table3[[#This Row],[Account Legal Name]],Table3[[#This Row],[Top Parent Account]])</f>
        <v>Driller Cimentaciones</v>
      </c>
      <c r="H1114" s="1"/>
    </row>
    <row r="1115" spans="1:8" x14ac:dyDescent="0.35">
      <c r="A1115" s="21"/>
      <c r="B1115" t="s">
        <v>121</v>
      </c>
      <c r="C1115" t="s">
        <v>6</v>
      </c>
      <c r="D1115" t="s">
        <v>4427</v>
      </c>
      <c r="F1115" s="1">
        <v>45999</v>
      </c>
      <c r="G1115" t="str">
        <f>IF(Table3[[#This Row],[Top Parent Account]]="",Table3[[#This Row],[Account Legal Name]],Table3[[#This Row],[Top Parent Account]])</f>
        <v>LUXURY FRUIT</v>
      </c>
      <c r="H1115" s="1"/>
    </row>
    <row r="1116" spans="1:8" x14ac:dyDescent="0.35">
      <c r="A1116" s="21"/>
      <c r="B1116" t="s">
        <v>208</v>
      </c>
      <c r="C1116" t="s">
        <v>6</v>
      </c>
      <c r="D1116" t="s">
        <v>470</v>
      </c>
      <c r="F1116" s="1">
        <v>45999</v>
      </c>
      <c r="G1116" t="str">
        <f>IF(Table3[[#This Row],[Top Parent Account]]="",Table3[[#This Row],[Account Legal Name]],Table3[[#This Row],[Top Parent Account]])</f>
        <v>Mad Arquitectura y Diseño</v>
      </c>
      <c r="H1116" s="1"/>
    </row>
    <row r="1117" spans="1:8" x14ac:dyDescent="0.35">
      <c r="A1117" s="21"/>
      <c r="B1117" t="s">
        <v>88</v>
      </c>
      <c r="C1117" t="s">
        <v>6</v>
      </c>
      <c r="D1117" t="s">
        <v>4465</v>
      </c>
      <c r="F1117" s="1">
        <v>45999</v>
      </c>
      <c r="G1117" t="str">
        <f>IF(Table3[[#This Row],[Top Parent Account]]="",Table3[[#This Row],[Account Legal Name]],Table3[[#This Row],[Top Parent Account]])</f>
        <v>Proyectos Constructivos Kiribati Del Noreste</v>
      </c>
      <c r="H1117" s="1"/>
    </row>
    <row r="1118" spans="1:8" x14ac:dyDescent="0.35">
      <c r="A1118" s="21"/>
      <c r="B1118" t="s">
        <v>18</v>
      </c>
      <c r="C1118" t="s">
        <v>6</v>
      </c>
      <c r="D1118" t="s">
        <v>4424</v>
      </c>
      <c r="F1118" s="1">
        <v>45999</v>
      </c>
      <c r="G1118" t="str">
        <f>IF(Table3[[#This Row],[Top Parent Account]]="",Table3[[#This Row],[Account Legal Name]],Table3[[#This Row],[Top Parent Account]])</f>
        <v>Alimientos SR Natural</v>
      </c>
      <c r="H1118" s="1"/>
    </row>
    <row r="1119" spans="1:8" x14ac:dyDescent="0.35">
      <c r="A1119" s="21"/>
      <c r="B1119" t="s">
        <v>39</v>
      </c>
      <c r="C1119" t="s">
        <v>4466</v>
      </c>
      <c r="D1119" t="s">
        <v>2537</v>
      </c>
      <c r="F1119" s="1">
        <v>45999</v>
      </c>
      <c r="G1119" t="str">
        <f>IF(Table3[[#This Row],[Top Parent Account]]="",Table3[[#This Row],[Account Legal Name]],Table3[[#This Row],[Top Parent Account]])</f>
        <v>Salsas Castillo</v>
      </c>
      <c r="H1119" s="1"/>
    </row>
    <row r="1120" spans="1:8" x14ac:dyDescent="0.35">
      <c r="A1120" s="21"/>
      <c r="B1120" t="s">
        <v>70</v>
      </c>
      <c r="C1120" t="s">
        <v>22</v>
      </c>
      <c r="D1120" t="s">
        <v>568</v>
      </c>
      <c r="F1120" s="1">
        <v>45999</v>
      </c>
      <c r="G1120" t="str">
        <f>IF(Table3[[#This Row],[Top Parent Account]]="",Table3[[#This Row],[Account Legal Name]],Table3[[#This Row],[Top Parent Account]])</f>
        <v>COI Centro Oncológico Internacional</v>
      </c>
      <c r="H1120" s="1"/>
    </row>
    <row r="1121" spans="1:8" x14ac:dyDescent="0.35">
      <c r="A1121" s="21"/>
      <c r="B1121" t="s">
        <v>26</v>
      </c>
      <c r="C1121" t="s">
        <v>6</v>
      </c>
      <c r="D1121" t="s">
        <v>4467</v>
      </c>
      <c r="E1121" t="s">
        <v>4468</v>
      </c>
      <c r="F1121" s="1">
        <v>45999</v>
      </c>
      <c r="G1121" t="str">
        <f>IF(Table3[[#This Row],[Top Parent Account]]="",Table3[[#This Row],[Account Legal Name]],Table3[[#This Row],[Top Parent Account]])</f>
        <v>Applus IDIADA</v>
      </c>
      <c r="H1121" s="1"/>
    </row>
    <row r="1122" spans="1:8" x14ac:dyDescent="0.35">
      <c r="A1122" s="21"/>
      <c r="B1122" t="s">
        <v>925</v>
      </c>
      <c r="C1122" t="s">
        <v>6</v>
      </c>
      <c r="D1122" t="s">
        <v>3228</v>
      </c>
      <c r="F1122" s="1">
        <v>45999</v>
      </c>
      <c r="G1122" t="str">
        <f>IF(Table3[[#This Row],[Top Parent Account]]="",Table3[[#This Row],[Account Legal Name]],Table3[[#This Row],[Top Parent Account]])</f>
        <v>BELUGA DE MÉXICO</v>
      </c>
      <c r="H1122" s="1"/>
    </row>
    <row r="1123" spans="1:8" x14ac:dyDescent="0.35">
      <c r="A1123" s="21"/>
      <c r="B1123" t="s">
        <v>27</v>
      </c>
      <c r="C1123" t="s">
        <v>6</v>
      </c>
      <c r="D1123" t="s">
        <v>4429</v>
      </c>
      <c r="F1123" s="1">
        <v>45999</v>
      </c>
      <c r="G1123" t="str">
        <f>IF(Table3[[#This Row],[Top Parent Account]]="",Table3[[#This Row],[Account Legal Name]],Table3[[#This Row],[Top Parent Account]])</f>
        <v>Sistemas Industriales Acelum</v>
      </c>
      <c r="H1123" s="1"/>
    </row>
    <row r="1124" spans="1:8" x14ac:dyDescent="0.35">
      <c r="A1124" s="21"/>
      <c r="B1124" t="s">
        <v>27</v>
      </c>
      <c r="C1124" t="s">
        <v>6</v>
      </c>
      <c r="D1124" t="s">
        <v>4429</v>
      </c>
      <c r="F1124" s="1">
        <v>45999</v>
      </c>
      <c r="G1124" t="str">
        <f>IF(Table3[[#This Row],[Top Parent Account]]="",Table3[[#This Row],[Account Legal Name]],Table3[[#This Row],[Top Parent Account]])</f>
        <v>Sistemas Industriales Acelum</v>
      </c>
      <c r="H1124" s="1"/>
    </row>
    <row r="1125" spans="1:8" x14ac:dyDescent="0.35">
      <c r="A1125" s="21"/>
      <c r="B1125" t="s">
        <v>70</v>
      </c>
      <c r="C1125" t="s">
        <v>22</v>
      </c>
      <c r="D1125" t="s">
        <v>1428</v>
      </c>
      <c r="F1125" s="1">
        <v>45999</v>
      </c>
      <c r="G1125" t="str">
        <f>IF(Table3[[#This Row],[Top Parent Account]]="",Table3[[#This Row],[Account Legal Name]],Table3[[#This Row],[Top Parent Account]])</f>
        <v>Il Diagnostics</v>
      </c>
      <c r="H1125" s="1"/>
    </row>
    <row r="1126" spans="1:8" x14ac:dyDescent="0.35">
      <c r="A1126" s="21"/>
      <c r="B1126" t="s">
        <v>18</v>
      </c>
      <c r="C1126" t="s">
        <v>6</v>
      </c>
      <c r="D1126" t="s">
        <v>4469</v>
      </c>
      <c r="F1126" s="1">
        <v>45999</v>
      </c>
      <c r="G1126" t="str">
        <f>IF(Table3[[#This Row],[Top Parent Account]]="",Table3[[#This Row],[Account Legal Name]],Table3[[#This Row],[Top Parent Account]])</f>
        <v>INDUSTRIAS SCR</v>
      </c>
      <c r="H1126" s="1"/>
    </row>
    <row r="1127" spans="1:8" x14ac:dyDescent="0.35">
      <c r="A1127" s="21"/>
      <c r="B1127" t="s">
        <v>32</v>
      </c>
      <c r="C1127" t="s">
        <v>6</v>
      </c>
      <c r="D1127" t="s">
        <v>4406</v>
      </c>
      <c r="F1127" s="1">
        <v>45996</v>
      </c>
      <c r="G1127" t="str">
        <f>IF(Table3[[#This Row],[Top Parent Account]]="",Table3[[#This Row],[Account Legal Name]],Table3[[#This Row],[Top Parent Account]])</f>
        <v>Hellmann Contract Logistics</v>
      </c>
      <c r="H1127" s="1"/>
    </row>
    <row r="1128" spans="1:8" x14ac:dyDescent="0.35">
      <c r="A1128" s="21"/>
      <c r="B1128" t="s">
        <v>932</v>
      </c>
      <c r="C1128" t="s">
        <v>4407</v>
      </c>
      <c r="D1128" t="s">
        <v>3080</v>
      </c>
      <c r="F1128" s="1">
        <v>45996</v>
      </c>
      <c r="G1128" t="str">
        <f>IF(Table3[[#This Row],[Top Parent Account]]="",Table3[[#This Row],[Account Legal Name]],Table3[[#This Row],[Top Parent Account]])</f>
        <v>M Chem</v>
      </c>
      <c r="H1128" s="1"/>
    </row>
    <row r="1129" spans="1:8" x14ac:dyDescent="0.35">
      <c r="A1129" s="21"/>
      <c r="B1129" t="s">
        <v>2912</v>
      </c>
      <c r="C1129" t="s">
        <v>6</v>
      </c>
      <c r="D1129" t="s">
        <v>3505</v>
      </c>
      <c r="F1129" s="1">
        <v>45996</v>
      </c>
      <c r="G1129" t="str">
        <f>IF(Table3[[#This Row],[Top Parent Account]]="",Table3[[#This Row],[Account Legal Name]],Table3[[#This Row],[Top Parent Account]])</f>
        <v>Kua Mex Foods</v>
      </c>
      <c r="H1129" s="1"/>
    </row>
    <row r="1130" spans="1:8" x14ac:dyDescent="0.35">
      <c r="A1130" s="21"/>
      <c r="B1130" t="s">
        <v>77</v>
      </c>
      <c r="C1130" t="s">
        <v>6</v>
      </c>
      <c r="D1130" t="s">
        <v>888</v>
      </c>
      <c r="F1130" s="1">
        <v>45996</v>
      </c>
      <c r="G1130" t="str">
        <f>IF(Table3[[#This Row],[Top Parent Account]]="",Table3[[#This Row],[Account Legal Name]],Table3[[#This Row],[Top Parent Account]])</f>
        <v>Smyle Clean</v>
      </c>
      <c r="H1130" s="1"/>
    </row>
    <row r="1131" spans="1:8" x14ac:dyDescent="0.35">
      <c r="A1131" s="21"/>
      <c r="B1131" t="s">
        <v>207</v>
      </c>
      <c r="C1131" t="s">
        <v>6</v>
      </c>
      <c r="D1131" t="s">
        <v>4408</v>
      </c>
      <c r="F1131" s="1">
        <v>45996</v>
      </c>
      <c r="G1131" t="str">
        <f>IF(Table3[[#This Row],[Top Parent Account]]="",Table3[[#This Row],[Account Legal Name]],Table3[[#This Row],[Top Parent Account]])</f>
        <v>Proveedora General Popo</v>
      </c>
      <c r="H1131" s="1"/>
    </row>
    <row r="1132" spans="1:8" x14ac:dyDescent="0.35">
      <c r="A1132" s="21"/>
      <c r="B1132" t="s">
        <v>10</v>
      </c>
      <c r="C1132" t="s">
        <v>6</v>
      </c>
      <c r="D1132" t="s">
        <v>445</v>
      </c>
      <c r="F1132" s="1">
        <v>45996</v>
      </c>
      <c r="G1132" t="str">
        <f>IF(Table3[[#This Row],[Top Parent Account]]="",Table3[[#This Row],[Account Legal Name]],Table3[[#This Row],[Top Parent Account]])</f>
        <v>GRUPO CASA MAZATLAN</v>
      </c>
      <c r="H1132" s="1"/>
    </row>
    <row r="1133" spans="1:8" x14ac:dyDescent="0.35">
      <c r="A1133" s="21"/>
      <c r="B1133" t="s">
        <v>2693</v>
      </c>
      <c r="C1133" t="s">
        <v>6</v>
      </c>
      <c r="D1133" t="s">
        <v>3845</v>
      </c>
      <c r="F1133" s="1">
        <v>45996</v>
      </c>
      <c r="G1133" t="str">
        <f>IF(Table3[[#This Row],[Top Parent Account]]="",Table3[[#This Row],[Account Legal Name]],Table3[[#This Row],[Top Parent Account]])</f>
        <v>COFFEE MATTERS</v>
      </c>
      <c r="H1133" s="1"/>
    </row>
    <row r="1134" spans="1:8" x14ac:dyDescent="0.35">
      <c r="A1134" s="21"/>
      <c r="B1134" t="s">
        <v>29</v>
      </c>
      <c r="C1134" t="s">
        <v>6</v>
      </c>
      <c r="D1134" t="s">
        <v>4290</v>
      </c>
      <c r="F1134" s="1">
        <v>45995</v>
      </c>
      <c r="G1134" t="str">
        <f>IF(Table3[[#This Row],[Top Parent Account]]="",Table3[[#This Row],[Account Legal Name]],Table3[[#This Row],[Top Parent Account]])</f>
        <v>Empacadora De Carnes San Francisco</v>
      </c>
      <c r="H1134" s="1"/>
    </row>
    <row r="1135" spans="1:8" x14ac:dyDescent="0.35">
      <c r="A1135" s="21"/>
      <c r="B1135" t="s">
        <v>70</v>
      </c>
      <c r="C1135" t="s">
        <v>22</v>
      </c>
      <c r="D1135" t="s">
        <v>493</v>
      </c>
      <c r="E1135" t="s">
        <v>356</v>
      </c>
      <c r="F1135" s="1">
        <v>45995</v>
      </c>
      <c r="G1135" t="str">
        <f>IF(Table3[[#This Row],[Top Parent Account]]="",Table3[[#This Row],[Account Legal Name]],Table3[[#This Row],[Top Parent Account]])</f>
        <v>Grupo Vitalmex</v>
      </c>
      <c r="H1135" s="1"/>
    </row>
    <row r="1136" spans="1:8" x14ac:dyDescent="0.35">
      <c r="A1136" s="21"/>
      <c r="B1136" t="s">
        <v>14</v>
      </c>
      <c r="C1136" t="s">
        <v>6</v>
      </c>
      <c r="D1136" t="s">
        <v>3359</v>
      </c>
      <c r="F1136" s="1">
        <v>45995</v>
      </c>
      <c r="G1136" t="str">
        <f>IF(Table3[[#This Row],[Top Parent Account]]="",Table3[[#This Row],[Account Legal Name]],Table3[[#This Row],[Top Parent Account]])</f>
        <v>Dasavena Gourmet</v>
      </c>
      <c r="H1136" s="1"/>
    </row>
    <row r="1137" spans="1:8" x14ac:dyDescent="0.35">
      <c r="A1137" s="21"/>
      <c r="B1137" t="s">
        <v>2912</v>
      </c>
      <c r="C1137" t="s">
        <v>6</v>
      </c>
      <c r="D1137" t="s">
        <v>3134</v>
      </c>
      <c r="F1137" s="1">
        <v>45995</v>
      </c>
      <c r="G1137" t="str">
        <f>IF(Table3[[#This Row],[Top Parent Account]]="",Table3[[#This Row],[Account Legal Name]],Table3[[#This Row],[Top Parent Account]])</f>
        <v>Alianza Eléctrica</v>
      </c>
      <c r="H1137" s="1"/>
    </row>
    <row r="1138" spans="1:8" x14ac:dyDescent="0.35">
      <c r="A1138" s="21"/>
      <c r="B1138" t="s">
        <v>207</v>
      </c>
      <c r="C1138" t="s">
        <v>6</v>
      </c>
      <c r="D1138" t="s">
        <v>4291</v>
      </c>
      <c r="F1138" s="1">
        <v>45995</v>
      </c>
      <c r="G1138" t="str">
        <f>IF(Table3[[#This Row],[Top Parent Account]]="",Table3[[#This Row],[Account Legal Name]],Table3[[#This Row],[Top Parent Account]])</f>
        <v>Abastecedora De Colchones Y Accesorios</v>
      </c>
      <c r="H1138" s="1"/>
    </row>
    <row r="1139" spans="1:8" x14ac:dyDescent="0.35">
      <c r="A1139" s="21"/>
      <c r="B1139" t="s">
        <v>25</v>
      </c>
      <c r="C1139" t="s">
        <v>6</v>
      </c>
      <c r="D1139" t="s">
        <v>1863</v>
      </c>
      <c r="F1139" s="1">
        <v>45995</v>
      </c>
      <c r="G1139" t="str">
        <f>IF(Table3[[#This Row],[Top Parent Account]]="",Table3[[#This Row],[Account Legal Name]],Table3[[#This Row],[Top Parent Account]])</f>
        <v>Aerogel México</v>
      </c>
      <c r="H1139" s="1"/>
    </row>
    <row r="1140" spans="1:8" x14ac:dyDescent="0.35">
      <c r="A1140" s="21"/>
      <c r="B1140" t="s">
        <v>26</v>
      </c>
      <c r="C1140" t="s">
        <v>6</v>
      </c>
      <c r="D1140" t="s">
        <v>3712</v>
      </c>
      <c r="F1140" s="1">
        <v>45995</v>
      </c>
      <c r="G1140" t="str">
        <f>IF(Table3[[#This Row],[Top Parent Account]]="",Table3[[#This Row],[Account Legal Name]],Table3[[#This Row],[Top Parent Account]])</f>
        <v>SEÑOR PISTACHO</v>
      </c>
      <c r="H1140" s="1"/>
    </row>
    <row r="1141" spans="1:8" x14ac:dyDescent="0.35">
      <c r="A1141" s="21"/>
      <c r="B1141" t="s">
        <v>23</v>
      </c>
      <c r="C1141" t="s">
        <v>6</v>
      </c>
      <c r="D1141" t="s">
        <v>4409</v>
      </c>
      <c r="F1141" s="1">
        <v>45995</v>
      </c>
      <c r="G1141" t="str">
        <f>IF(Table3[[#This Row],[Top Parent Account]]="",Table3[[#This Row],[Account Legal Name]],Table3[[#This Row],[Top Parent Account]])</f>
        <v>TAFE MOTORS MEXICO</v>
      </c>
      <c r="H1141" s="1"/>
    </row>
    <row r="1142" spans="1:8" x14ac:dyDescent="0.35">
      <c r="A1142" s="21"/>
      <c r="B1142" t="s">
        <v>2345</v>
      </c>
      <c r="C1142" t="s">
        <v>6</v>
      </c>
      <c r="D1142" t="s">
        <v>4292</v>
      </c>
      <c r="F1142" s="1">
        <v>45995</v>
      </c>
      <c r="G1142" t="str">
        <f>IF(Table3[[#This Row],[Top Parent Account]]="",Table3[[#This Row],[Account Legal Name]],Table3[[#This Row],[Top Parent Account]])</f>
        <v>Xtrapak</v>
      </c>
      <c r="H1142" s="1"/>
    </row>
    <row r="1143" spans="1:8" x14ac:dyDescent="0.35">
      <c r="A1143" s="21"/>
      <c r="B1143" t="s">
        <v>3553</v>
      </c>
      <c r="C1143" t="s">
        <v>6</v>
      </c>
      <c r="D1143" t="s">
        <v>4158</v>
      </c>
      <c r="F1143" s="1">
        <v>45995</v>
      </c>
      <c r="G1143" t="str">
        <f>IF(Table3[[#This Row],[Top Parent Account]]="",Table3[[#This Row],[Account Legal Name]],Table3[[#This Row],[Top Parent Account]])</f>
        <v>T-LINE MEXICO</v>
      </c>
      <c r="H1143" s="1"/>
    </row>
    <row r="1144" spans="1:8" x14ac:dyDescent="0.35">
      <c r="A1144" s="21"/>
      <c r="B1144" t="s">
        <v>932</v>
      </c>
      <c r="C1144" t="s">
        <v>6</v>
      </c>
      <c r="D1144" t="s">
        <v>4420</v>
      </c>
      <c r="F1144" s="1">
        <v>45995</v>
      </c>
      <c r="G1144" t="str">
        <f>IF(Table3[[#This Row],[Top Parent Account]]="",Table3[[#This Row],[Account Legal Name]],Table3[[#This Row],[Top Parent Account]])</f>
        <v>Mujer Plenna Salud</v>
      </c>
      <c r="H1144" s="1"/>
    </row>
    <row r="1145" spans="1:8" x14ac:dyDescent="0.35">
      <c r="A1145" s="21"/>
      <c r="B1145" t="s">
        <v>32</v>
      </c>
      <c r="C1145" t="s">
        <v>6</v>
      </c>
      <c r="D1145" t="s">
        <v>461</v>
      </c>
      <c r="F1145" s="1">
        <v>45995</v>
      </c>
      <c r="G1145" t="str">
        <f>IF(Table3[[#This Row],[Top Parent Account]]="",Table3[[#This Row],[Account Legal Name]],Table3[[#This Row],[Top Parent Account]])</f>
        <v>Prefamovil Infraestructura</v>
      </c>
      <c r="H1145" s="1"/>
    </row>
    <row r="1146" spans="1:8" x14ac:dyDescent="0.35">
      <c r="A1146" s="21"/>
      <c r="B1146" t="s">
        <v>24</v>
      </c>
      <c r="C1146" t="s">
        <v>6</v>
      </c>
      <c r="D1146" t="s">
        <v>4293</v>
      </c>
      <c r="F1146" s="1">
        <v>45995</v>
      </c>
      <c r="G1146" t="str">
        <f>IF(Table3[[#This Row],[Top Parent Account]]="",Table3[[#This Row],[Account Legal Name]],Table3[[#This Row],[Top Parent Account]])</f>
        <v>BIOGOLD</v>
      </c>
      <c r="H1146" s="1"/>
    </row>
    <row r="1147" spans="1:8" x14ac:dyDescent="0.35">
      <c r="A1147" s="21"/>
      <c r="B1147" t="s">
        <v>3182</v>
      </c>
      <c r="C1147" t="s">
        <v>22</v>
      </c>
      <c r="D1147" t="s">
        <v>480</v>
      </c>
      <c r="F1147" s="1">
        <v>45995</v>
      </c>
      <c r="G1147" t="str">
        <f>IF(Table3[[#This Row],[Top Parent Account]]="",Table3[[#This Row],[Account Legal Name]],Table3[[#This Row],[Top Parent Account]])</f>
        <v>Minera Media Luna</v>
      </c>
      <c r="H1147" s="1"/>
    </row>
    <row r="1148" spans="1:8" x14ac:dyDescent="0.35">
      <c r="A1148" s="21"/>
      <c r="B1148" t="s">
        <v>3129</v>
      </c>
      <c r="C1148" t="s">
        <v>6</v>
      </c>
      <c r="D1148" t="s">
        <v>42</v>
      </c>
      <c r="F1148" s="1">
        <v>45995</v>
      </c>
      <c r="G1148" t="str">
        <f>IF(Table3[[#This Row],[Top Parent Account]]="",Table3[[#This Row],[Account Legal Name]],Table3[[#This Row],[Top Parent Account]])</f>
        <v>Coca-Cola FEMSA</v>
      </c>
      <c r="H1148" s="1"/>
    </row>
    <row r="1149" spans="1:8" x14ac:dyDescent="0.35">
      <c r="A1149" s="21"/>
      <c r="B1149" t="s">
        <v>25</v>
      </c>
      <c r="C1149" t="s">
        <v>22</v>
      </c>
      <c r="D1149" t="s">
        <v>4294</v>
      </c>
      <c r="F1149" s="1">
        <v>45995</v>
      </c>
      <c r="G1149" t="str">
        <f>IF(Table3[[#This Row],[Top Parent Account]]="",Table3[[#This Row],[Account Legal Name]],Table3[[#This Row],[Top Parent Account]])</f>
        <v>Servicio y Mantenimiento Integral</v>
      </c>
      <c r="H1149" s="1"/>
    </row>
    <row r="1150" spans="1:8" x14ac:dyDescent="0.35">
      <c r="A1150" s="21"/>
      <c r="B1150" t="s">
        <v>70</v>
      </c>
      <c r="C1150" t="s">
        <v>22</v>
      </c>
      <c r="D1150" t="s">
        <v>447</v>
      </c>
      <c r="F1150" s="1">
        <v>45995</v>
      </c>
      <c r="G1150" t="str">
        <f>IF(Table3[[#This Row],[Top Parent Account]]="",Table3[[#This Row],[Account Legal Name]],Table3[[#This Row],[Top Parent Account]])</f>
        <v>Intermet</v>
      </c>
      <c r="H1150" s="1"/>
    </row>
    <row r="1151" spans="1:8" x14ac:dyDescent="0.35">
      <c r="A1151" s="21"/>
      <c r="B1151" t="s">
        <v>2345</v>
      </c>
      <c r="C1151" t="s">
        <v>6</v>
      </c>
      <c r="D1151" t="s">
        <v>4295</v>
      </c>
      <c r="F1151" s="1">
        <v>45995</v>
      </c>
      <c r="G1151" t="str">
        <f>IF(Table3[[#This Row],[Top Parent Account]]="",Table3[[#This Row],[Account Legal Name]],Table3[[#This Row],[Top Parent Account]])</f>
        <v>INGENIERIA OFRE</v>
      </c>
      <c r="H1151" s="1"/>
    </row>
    <row r="1152" spans="1:8" x14ac:dyDescent="0.35">
      <c r="A1152" s="21"/>
      <c r="B1152" t="s">
        <v>932</v>
      </c>
      <c r="C1152" t="s">
        <v>6</v>
      </c>
      <c r="D1152" t="s">
        <v>3715</v>
      </c>
      <c r="F1152" s="1">
        <v>45995</v>
      </c>
      <c r="G1152" t="str">
        <f>IF(Table3[[#This Row],[Top Parent Account]]="",Table3[[#This Row],[Account Legal Name]],Table3[[#This Row],[Top Parent Account]])</f>
        <v>Image Resources</v>
      </c>
      <c r="H1152" s="1"/>
    </row>
    <row r="1153" spans="1:8" x14ac:dyDescent="0.35">
      <c r="A1153" s="21"/>
      <c r="B1153" t="s">
        <v>39</v>
      </c>
      <c r="C1153" t="s">
        <v>4421</v>
      </c>
      <c r="D1153" t="s">
        <v>2537</v>
      </c>
      <c r="F1153" s="1">
        <v>45995</v>
      </c>
      <c r="G1153" t="str">
        <f>IF(Table3[[#This Row],[Top Parent Account]]="",Table3[[#This Row],[Account Legal Name]],Table3[[#This Row],[Top Parent Account]])</f>
        <v>Salsas Castillo</v>
      </c>
      <c r="H1153" s="1"/>
    </row>
    <row r="1154" spans="1:8" x14ac:dyDescent="0.35">
      <c r="A1154" s="21"/>
      <c r="B1154" t="s">
        <v>3553</v>
      </c>
      <c r="C1154" t="s">
        <v>6</v>
      </c>
      <c r="D1154" t="s">
        <v>4296</v>
      </c>
      <c r="F1154" s="1">
        <v>45995</v>
      </c>
      <c r="G1154" t="str">
        <f>IF(Table3[[#This Row],[Top Parent Account]]="",Table3[[#This Row],[Account Legal Name]],Table3[[#This Row],[Top Parent Account]])</f>
        <v>M Arco &amp; M Arcos de México</v>
      </c>
      <c r="H1154" s="1"/>
    </row>
    <row r="1155" spans="1:8" x14ac:dyDescent="0.35">
      <c r="A1155" s="21"/>
      <c r="B1155" t="s">
        <v>26</v>
      </c>
      <c r="C1155" t="s">
        <v>6</v>
      </c>
      <c r="D1155" t="s">
        <v>554</v>
      </c>
      <c r="F1155" s="1">
        <v>45995</v>
      </c>
      <c r="G1155" t="str">
        <f>IF(Table3[[#This Row],[Top Parent Account]]="",Table3[[#This Row],[Account Legal Name]],Table3[[#This Row],[Top Parent Account]])</f>
        <v>Atco México</v>
      </c>
      <c r="H1155" s="1"/>
    </row>
    <row r="1156" spans="1:8" x14ac:dyDescent="0.35">
      <c r="A1156" s="21"/>
      <c r="B1156" t="s">
        <v>2912</v>
      </c>
      <c r="C1156" t="s">
        <v>6</v>
      </c>
      <c r="D1156" t="s">
        <v>4297</v>
      </c>
      <c r="E1156" t="s">
        <v>4298</v>
      </c>
      <c r="F1156" s="1">
        <v>45995</v>
      </c>
      <c r="G1156" t="str">
        <f>IF(Table3[[#This Row],[Top Parent Account]]="",Table3[[#This Row],[Account Legal Name]],Table3[[#This Row],[Top Parent Account]])</f>
        <v>Nadro</v>
      </c>
      <c r="H1156" s="1"/>
    </row>
    <row r="1157" spans="1:8" x14ac:dyDescent="0.35">
      <c r="A1157" s="21"/>
      <c r="B1157" t="s">
        <v>3182</v>
      </c>
      <c r="C1157" t="s">
        <v>6</v>
      </c>
      <c r="D1157" t="s">
        <v>515</v>
      </c>
      <c r="F1157" s="1">
        <v>45995</v>
      </c>
      <c r="G1157" t="str">
        <f>IF(Table3[[#This Row],[Top Parent Account]]="",Table3[[#This Row],[Account Legal Name]],Table3[[#This Row],[Top Parent Account]])</f>
        <v>Grupo Empresarial BSV</v>
      </c>
      <c r="H1157" s="1"/>
    </row>
    <row r="1158" spans="1:8" x14ac:dyDescent="0.35">
      <c r="A1158" s="21"/>
      <c r="B1158" t="s">
        <v>3114</v>
      </c>
      <c r="C1158" t="s">
        <v>6</v>
      </c>
      <c r="D1158" t="s">
        <v>4299</v>
      </c>
      <c r="F1158" s="1">
        <v>45995</v>
      </c>
      <c r="G1158" t="str">
        <f>IF(Table3[[#This Row],[Top Parent Account]]="",Table3[[#This Row],[Account Legal Name]],Table3[[#This Row],[Top Parent Account]])</f>
        <v>ALFRIGO FRIGORIFICOS</v>
      </c>
      <c r="H1158" s="1"/>
    </row>
    <row r="1159" spans="1:8" x14ac:dyDescent="0.35">
      <c r="A1159" s="21"/>
      <c r="B1159" t="s">
        <v>12</v>
      </c>
      <c r="C1159" t="s">
        <v>6</v>
      </c>
      <c r="D1159" t="s">
        <v>2475</v>
      </c>
      <c r="F1159" s="1">
        <v>45994</v>
      </c>
      <c r="G1159" t="str">
        <f>IF(Table3[[#This Row],[Top Parent Account]]="",Table3[[#This Row],[Account Legal Name]],Table3[[#This Row],[Top Parent Account]])</f>
        <v>Marca Prefabricados</v>
      </c>
      <c r="H1159" s="1"/>
    </row>
    <row r="1160" spans="1:8" x14ac:dyDescent="0.35">
      <c r="A1160" s="21"/>
      <c r="B1160" t="s">
        <v>280</v>
      </c>
      <c r="C1160" t="s">
        <v>6</v>
      </c>
      <c r="D1160" t="s">
        <v>4410</v>
      </c>
      <c r="F1160" s="1">
        <v>45994</v>
      </c>
      <c r="G1160" t="str">
        <f>IF(Table3[[#This Row],[Top Parent Account]]="",Table3[[#This Row],[Account Legal Name]],Table3[[#This Row],[Top Parent Account]])</f>
        <v>AGRICOLA EL CAMPANARIO</v>
      </c>
      <c r="H1160" s="1"/>
    </row>
    <row r="1161" spans="1:8" x14ac:dyDescent="0.35">
      <c r="A1161" s="21"/>
      <c r="B1161" t="s">
        <v>2912</v>
      </c>
      <c r="C1161" t="s">
        <v>6</v>
      </c>
      <c r="D1161" t="s">
        <v>1426</v>
      </c>
      <c r="F1161" s="1">
        <v>45994</v>
      </c>
      <c r="G1161" t="str">
        <f>IF(Table3[[#This Row],[Top Parent Account]]="",Table3[[#This Row],[Account Legal Name]],Table3[[#This Row],[Top Parent Account]])</f>
        <v>Silodisa Servicio Integral De Logística y Distribución</v>
      </c>
      <c r="H1161" s="1"/>
    </row>
    <row r="1162" spans="1:8" x14ac:dyDescent="0.35">
      <c r="A1162" s="21"/>
      <c r="B1162" t="s">
        <v>3092</v>
      </c>
      <c r="C1162" t="s">
        <v>6</v>
      </c>
      <c r="D1162" t="s">
        <v>4280</v>
      </c>
      <c r="F1162" s="1">
        <v>45994</v>
      </c>
      <c r="G1162" t="str">
        <f>IF(Table3[[#This Row],[Top Parent Account]]="",Table3[[#This Row],[Account Legal Name]],Table3[[#This Row],[Top Parent Account]])</f>
        <v>Transportes de Carga Madulsa</v>
      </c>
      <c r="H1162" s="1"/>
    </row>
    <row r="1163" spans="1:8" x14ac:dyDescent="0.35">
      <c r="A1163" s="21"/>
      <c r="B1163" t="s">
        <v>3182</v>
      </c>
      <c r="C1163" t="s">
        <v>22</v>
      </c>
      <c r="D1163" t="s">
        <v>1021</v>
      </c>
      <c r="F1163" s="1">
        <v>45994</v>
      </c>
      <c r="G1163" t="str">
        <f>IF(Table3[[#This Row],[Top Parent Account]]="",Table3[[#This Row],[Account Legal Name]],Table3[[#This Row],[Top Parent Account]])</f>
        <v>Puratos de México</v>
      </c>
      <c r="H1163" s="1"/>
    </row>
    <row r="1164" spans="1:8" x14ac:dyDescent="0.35">
      <c r="A1164" s="21"/>
      <c r="B1164" t="s">
        <v>3182</v>
      </c>
      <c r="C1164" t="s">
        <v>22</v>
      </c>
      <c r="D1164" t="s">
        <v>3183</v>
      </c>
      <c r="E1164" t="s">
        <v>919</v>
      </c>
      <c r="F1164" s="1">
        <v>45994</v>
      </c>
      <c r="G1164" t="str">
        <f>IF(Table3[[#This Row],[Top Parent Account]]="",Table3[[#This Row],[Account Legal Name]],Table3[[#This Row],[Top Parent Account]])</f>
        <v>Caabsa</v>
      </c>
      <c r="H1164" s="1"/>
    </row>
    <row r="1165" spans="1:8" x14ac:dyDescent="0.35">
      <c r="A1165" s="21"/>
      <c r="B1165" t="s">
        <v>88</v>
      </c>
      <c r="C1165" t="s">
        <v>6</v>
      </c>
      <c r="D1165" t="s">
        <v>4300</v>
      </c>
      <c r="E1165" t="s">
        <v>4301</v>
      </c>
      <c r="F1165" s="1">
        <v>45994</v>
      </c>
      <c r="G1165" t="str">
        <f>IF(Table3[[#This Row],[Top Parent Account]]="",Table3[[#This Row],[Account Legal Name]],Table3[[#This Row],[Top Parent Account]])</f>
        <v>Especialidades Santa Maria</v>
      </c>
      <c r="H1165" s="1"/>
    </row>
    <row r="1166" spans="1:8" x14ac:dyDescent="0.35">
      <c r="A1166" s="21"/>
      <c r="B1166" t="s">
        <v>3114</v>
      </c>
      <c r="C1166" t="s">
        <v>52</v>
      </c>
      <c r="D1166" t="s">
        <v>4302</v>
      </c>
      <c r="F1166" s="1">
        <v>45994</v>
      </c>
      <c r="G1166" t="str">
        <f>IF(Table3[[#This Row],[Top Parent Account]]="",Table3[[#This Row],[Account Legal Name]],Table3[[#This Row],[Top Parent Account]])</f>
        <v>POWERLUBE</v>
      </c>
      <c r="H1166" s="1"/>
    </row>
    <row r="1167" spans="1:8" x14ac:dyDescent="0.35">
      <c r="A1167" s="21"/>
      <c r="B1167" t="s">
        <v>2345</v>
      </c>
      <c r="C1167" t="s">
        <v>6</v>
      </c>
      <c r="D1167" t="s">
        <v>1093</v>
      </c>
      <c r="F1167" s="1">
        <v>45994</v>
      </c>
      <c r="G1167" t="str">
        <f>IF(Table3[[#This Row],[Top Parent Account]]="",Table3[[#This Row],[Account Legal Name]],Table3[[#This Row],[Top Parent Account]])</f>
        <v>Nb Foods</v>
      </c>
      <c r="H1167" s="1"/>
    </row>
    <row r="1168" spans="1:8" x14ac:dyDescent="0.35">
      <c r="A1168" s="21"/>
      <c r="B1168" t="s">
        <v>88</v>
      </c>
      <c r="C1168" t="s">
        <v>6</v>
      </c>
      <c r="D1168" t="s">
        <v>4303</v>
      </c>
      <c r="F1168" s="1">
        <v>45994</v>
      </c>
      <c r="G1168" t="str">
        <f>IF(Table3[[#This Row],[Top Parent Account]]="",Table3[[#This Row],[Account Legal Name]],Table3[[#This Row],[Top Parent Account]])</f>
        <v>Siirto</v>
      </c>
      <c r="H1168" s="1"/>
    </row>
    <row r="1169" spans="1:8" x14ac:dyDescent="0.35">
      <c r="A1169" s="21"/>
      <c r="B1169" t="s">
        <v>280</v>
      </c>
      <c r="C1169" t="s">
        <v>6</v>
      </c>
      <c r="D1169" t="s">
        <v>4411</v>
      </c>
      <c r="F1169" s="1">
        <v>45994</v>
      </c>
      <c r="G1169" t="str">
        <f>IF(Table3[[#This Row],[Top Parent Account]]="",Table3[[#This Row],[Account Legal Name]],Table3[[#This Row],[Top Parent Account]])</f>
        <v>JALISCAVO</v>
      </c>
      <c r="H1169" s="1"/>
    </row>
    <row r="1170" spans="1:8" x14ac:dyDescent="0.35">
      <c r="A1170" s="21"/>
      <c r="B1170" t="s">
        <v>2693</v>
      </c>
      <c r="C1170" t="s">
        <v>6</v>
      </c>
      <c r="D1170" t="s">
        <v>4304</v>
      </c>
      <c r="F1170" s="1">
        <v>45994</v>
      </c>
      <c r="G1170" t="str">
        <f>IF(Table3[[#This Row],[Top Parent Account]]="",Table3[[#This Row],[Account Legal Name]],Table3[[#This Row],[Top Parent Account]])</f>
        <v>Packnovel</v>
      </c>
      <c r="H1170" s="1"/>
    </row>
    <row r="1171" spans="1:8" x14ac:dyDescent="0.35">
      <c r="A1171" s="21"/>
      <c r="B1171" t="s">
        <v>88</v>
      </c>
      <c r="C1171" t="s">
        <v>6</v>
      </c>
      <c r="D1171" t="s">
        <v>4305</v>
      </c>
      <c r="F1171" s="1">
        <v>45994</v>
      </c>
      <c r="G1171" t="str">
        <f>IF(Table3[[#This Row],[Top Parent Account]]="",Table3[[#This Row],[Account Legal Name]],Table3[[#This Row],[Top Parent Account]])</f>
        <v>José Antonio Montecinos Olivera</v>
      </c>
      <c r="H1171" s="1"/>
    </row>
    <row r="1172" spans="1:8" x14ac:dyDescent="0.35">
      <c r="A1172" s="21"/>
      <c r="B1172" t="s">
        <v>32</v>
      </c>
      <c r="C1172" t="s">
        <v>6</v>
      </c>
      <c r="D1172" t="s">
        <v>93</v>
      </c>
      <c r="F1172" s="1">
        <v>45994</v>
      </c>
      <c r="G1172" t="str">
        <f>IF(Table3[[#This Row],[Top Parent Account]]="",Table3[[#This Row],[Account Legal Name]],Table3[[#This Row],[Top Parent Account]])</f>
        <v>Beta San Miguel</v>
      </c>
      <c r="H1172" s="1"/>
    </row>
    <row r="1173" spans="1:8" x14ac:dyDescent="0.35">
      <c r="A1173" s="21"/>
      <c r="B1173" t="s">
        <v>280</v>
      </c>
      <c r="C1173" t="s">
        <v>6</v>
      </c>
      <c r="D1173" t="s">
        <v>4412</v>
      </c>
      <c r="F1173" s="1">
        <v>45994</v>
      </c>
      <c r="G1173" t="str">
        <f>IF(Table3[[#This Row],[Top Parent Account]]="",Table3[[#This Row],[Account Legal Name]],Table3[[#This Row],[Top Parent Account]])</f>
        <v>ASPERSORAS ARSARO</v>
      </c>
      <c r="H1173" s="1"/>
    </row>
    <row r="1174" spans="1:8" x14ac:dyDescent="0.35">
      <c r="A1174" s="21"/>
      <c r="B1174" t="s">
        <v>2912</v>
      </c>
      <c r="C1174" t="s">
        <v>6</v>
      </c>
      <c r="D1174" t="s">
        <v>4212</v>
      </c>
      <c r="E1174" t="s">
        <v>3617</v>
      </c>
      <c r="F1174" s="1">
        <v>45994</v>
      </c>
      <c r="G1174" t="str">
        <f>IF(Table3[[#This Row],[Top Parent Account]]="",Table3[[#This Row],[Account Legal Name]],Table3[[#This Row],[Top Parent Account]])</f>
        <v>Mill Foods</v>
      </c>
      <c r="H1174" s="1"/>
    </row>
    <row r="1175" spans="1:8" x14ac:dyDescent="0.35">
      <c r="A1175" s="21"/>
      <c r="B1175" t="s">
        <v>2693</v>
      </c>
      <c r="C1175" t="s">
        <v>6</v>
      </c>
      <c r="D1175" t="s">
        <v>1727</v>
      </c>
      <c r="E1175" t="s">
        <v>204</v>
      </c>
      <c r="F1175" s="1">
        <v>45994</v>
      </c>
      <c r="G1175" t="str">
        <f>IF(Table3[[#This Row],[Top Parent Account]]="",Table3[[#This Row],[Account Legal Name]],Table3[[#This Row],[Top Parent Account]])</f>
        <v>JC MOLDS</v>
      </c>
      <c r="H1175" s="1"/>
    </row>
    <row r="1176" spans="1:8" x14ac:dyDescent="0.35">
      <c r="A1176" s="21"/>
      <c r="B1176" t="s">
        <v>32</v>
      </c>
      <c r="C1176" t="s">
        <v>6</v>
      </c>
      <c r="D1176" t="s">
        <v>277</v>
      </c>
      <c r="F1176" s="1">
        <v>45994</v>
      </c>
      <c r="G1176" t="str">
        <f>IF(Table3[[#This Row],[Top Parent Account]]="",Table3[[#This Row],[Account Legal Name]],Table3[[#This Row],[Top Parent Account]])</f>
        <v>Grupo Cice</v>
      </c>
      <c r="H1176" s="1"/>
    </row>
    <row r="1177" spans="1:8" x14ac:dyDescent="0.35">
      <c r="A1177" s="21"/>
      <c r="B1177" t="s">
        <v>27</v>
      </c>
      <c r="C1177" t="s">
        <v>6</v>
      </c>
      <c r="D1177" t="s">
        <v>1284</v>
      </c>
      <c r="F1177" s="1">
        <v>45994</v>
      </c>
      <c r="G1177" t="str">
        <f>IF(Table3[[#This Row],[Top Parent Account]]="",Table3[[#This Row],[Account Legal Name]],Table3[[#This Row],[Top Parent Account]])</f>
        <v>Asfaltos Guadalajara</v>
      </c>
      <c r="H1177" s="1"/>
    </row>
    <row r="1178" spans="1:8" x14ac:dyDescent="0.35">
      <c r="A1178" s="21"/>
      <c r="B1178" t="s">
        <v>39</v>
      </c>
      <c r="C1178" t="s">
        <v>4306</v>
      </c>
      <c r="D1178" t="s">
        <v>875</v>
      </c>
      <c r="F1178" s="1">
        <v>45994</v>
      </c>
      <c r="G1178" t="str">
        <f>IF(Table3[[#This Row],[Top Parent Account]]="",Table3[[#This Row],[Account Legal Name]],Table3[[#This Row],[Top Parent Account]])</f>
        <v>Construcciones Rotter</v>
      </c>
      <c r="H1178" s="1"/>
    </row>
    <row r="1179" spans="1:8" x14ac:dyDescent="0.35">
      <c r="A1179" s="21"/>
      <c r="B1179" t="s">
        <v>2884</v>
      </c>
      <c r="C1179" t="s">
        <v>6</v>
      </c>
      <c r="D1179" t="s">
        <v>1044</v>
      </c>
      <c r="F1179" s="1">
        <v>45994</v>
      </c>
      <c r="G1179" t="str">
        <f>IF(Table3[[#This Row],[Top Parent Account]]="",Table3[[#This Row],[Account Legal Name]],Table3[[#This Row],[Top Parent Account]])</f>
        <v>MONTAJES INDUSTRIALES MYCA</v>
      </c>
      <c r="H1179" s="1"/>
    </row>
    <row r="1180" spans="1:8" x14ac:dyDescent="0.35">
      <c r="A1180" s="21"/>
      <c r="B1180" t="s">
        <v>10</v>
      </c>
      <c r="C1180" t="s">
        <v>6</v>
      </c>
      <c r="D1180" t="s">
        <v>666</v>
      </c>
      <c r="F1180" s="1">
        <v>45994</v>
      </c>
      <c r="G1180" t="str">
        <f>IF(Table3[[#This Row],[Top Parent Account]]="",Table3[[#This Row],[Account Legal Name]],Table3[[#This Row],[Top Parent Account]])</f>
        <v>Hospital San Javier</v>
      </c>
      <c r="H1180" s="1"/>
    </row>
    <row r="1181" spans="1:8" x14ac:dyDescent="0.35">
      <c r="A1181" s="21"/>
      <c r="B1181" t="s">
        <v>2912</v>
      </c>
      <c r="C1181" t="s">
        <v>6</v>
      </c>
      <c r="D1181" t="s">
        <v>4413</v>
      </c>
      <c r="F1181" s="1">
        <v>45994</v>
      </c>
      <c r="G1181" t="str">
        <f>IF(Table3[[#This Row],[Top Parent Account]]="",Table3[[#This Row],[Account Legal Name]],Table3[[#This Row],[Top Parent Account]])</f>
        <v>Durst Image Technology Latin America</v>
      </c>
      <c r="H1181" s="1"/>
    </row>
    <row r="1182" spans="1:8" x14ac:dyDescent="0.35">
      <c r="A1182" s="21"/>
      <c r="B1182" t="s">
        <v>280</v>
      </c>
      <c r="C1182" t="s">
        <v>6</v>
      </c>
      <c r="D1182" t="s">
        <v>4414</v>
      </c>
      <c r="F1182" s="1">
        <v>45994</v>
      </c>
      <c r="G1182" t="str">
        <f>IF(Table3[[#This Row],[Top Parent Account]]="",Table3[[#This Row],[Account Legal Name]],Table3[[#This Row],[Top Parent Account]])</f>
        <v>SEMILLAS Y CEREALES ABRAHAM SANTANA</v>
      </c>
      <c r="H1182" s="1"/>
    </row>
    <row r="1183" spans="1:8" x14ac:dyDescent="0.35">
      <c r="A1183" s="21"/>
      <c r="B1183" t="s">
        <v>3182</v>
      </c>
      <c r="C1183" t="s">
        <v>22</v>
      </c>
      <c r="D1183" t="s">
        <v>427</v>
      </c>
      <c r="E1183" t="s">
        <v>63</v>
      </c>
      <c r="F1183" s="1">
        <v>45994</v>
      </c>
      <c r="G1183" t="str">
        <f>IF(Table3[[#This Row],[Top Parent Account]]="",Table3[[#This Row],[Account Legal Name]],Table3[[#This Row],[Top Parent Account]])</f>
        <v>General Electric México</v>
      </c>
      <c r="H1183" s="1"/>
    </row>
    <row r="1184" spans="1:8" x14ac:dyDescent="0.35">
      <c r="A1184" s="21"/>
      <c r="B1184" t="s">
        <v>925</v>
      </c>
      <c r="C1184" t="s">
        <v>6</v>
      </c>
      <c r="D1184" t="s">
        <v>4307</v>
      </c>
      <c r="F1184" s="1">
        <v>45994</v>
      </c>
      <c r="G1184" t="str">
        <f>IF(Table3[[#This Row],[Top Parent Account]]="",Table3[[#This Row],[Account Legal Name]],Table3[[#This Row],[Top Parent Account]])</f>
        <v>Nuevas Industrias Rodamex</v>
      </c>
      <c r="H1184" s="1"/>
    </row>
    <row r="1185" spans="1:8" x14ac:dyDescent="0.35">
      <c r="A1185" s="21"/>
      <c r="B1185" t="s">
        <v>26</v>
      </c>
      <c r="C1185" t="s">
        <v>6</v>
      </c>
      <c r="D1185" t="s">
        <v>483</v>
      </c>
      <c r="F1185" s="1">
        <v>45994</v>
      </c>
      <c r="G1185" t="str">
        <f>IF(Table3[[#This Row],[Top Parent Account]]="",Table3[[#This Row],[Account Legal Name]],Table3[[#This Row],[Top Parent Account]])</f>
        <v>Entretelas Brinco</v>
      </c>
      <c r="H1185" s="1"/>
    </row>
    <row r="1186" spans="1:8" x14ac:dyDescent="0.35">
      <c r="A1186" s="21"/>
      <c r="B1186" t="s">
        <v>1495</v>
      </c>
      <c r="C1186" t="s">
        <v>6</v>
      </c>
      <c r="D1186" t="s">
        <v>4470</v>
      </c>
      <c r="F1186" s="1">
        <v>45994</v>
      </c>
      <c r="G1186" t="str">
        <f>IF(Table3[[#This Row],[Top Parent Account]]="",Table3[[#This Row],[Account Legal Name]],Table3[[#This Row],[Top Parent Account]])</f>
        <v>Android Servicios de México</v>
      </c>
      <c r="H1186" s="1"/>
    </row>
    <row r="1187" spans="1:8" x14ac:dyDescent="0.35">
      <c r="A1187" s="21"/>
      <c r="B1187" t="s">
        <v>280</v>
      </c>
      <c r="C1187" t="s">
        <v>6</v>
      </c>
      <c r="D1187" t="s">
        <v>4415</v>
      </c>
      <c r="F1187" s="1">
        <v>45994</v>
      </c>
      <c r="G1187" t="str">
        <f>IF(Table3[[#This Row],[Top Parent Account]]="",Table3[[#This Row],[Account Legal Name]],Table3[[#This Row],[Top Parent Account]])</f>
        <v>FERTILIZANTES CHRIJAZA</v>
      </c>
      <c r="H1187" s="1"/>
    </row>
    <row r="1188" spans="1:8" x14ac:dyDescent="0.35">
      <c r="A1188" s="21"/>
      <c r="B1188" t="s">
        <v>37</v>
      </c>
      <c r="C1188" t="s">
        <v>6</v>
      </c>
      <c r="D1188" t="s">
        <v>3971</v>
      </c>
      <c r="F1188" s="1">
        <v>45994</v>
      </c>
      <c r="G1188" t="str">
        <f>IF(Table3[[#This Row],[Top Parent Account]]="",Table3[[#This Row],[Account Legal Name]],Table3[[#This Row],[Top Parent Account]])</f>
        <v>Construccion y Urbanizacion Prizma</v>
      </c>
      <c r="H1188" s="1"/>
    </row>
    <row r="1189" spans="1:8" x14ac:dyDescent="0.35">
      <c r="A1189" s="21"/>
      <c r="B1189" t="s">
        <v>70</v>
      </c>
      <c r="C1189" t="s">
        <v>22</v>
      </c>
      <c r="D1189" t="s">
        <v>1818</v>
      </c>
      <c r="F1189" s="1">
        <v>45993</v>
      </c>
      <c r="G1189" t="str">
        <f>IF(Table3[[#This Row],[Top Parent Account]]="",Table3[[#This Row],[Account Legal Name]],Table3[[#This Row],[Top Parent Account]])</f>
        <v>Hospital y Clínica Oca</v>
      </c>
      <c r="H1189" s="1"/>
    </row>
    <row r="1190" spans="1:8" x14ac:dyDescent="0.35">
      <c r="A1190" s="21"/>
      <c r="B1190" t="s">
        <v>280</v>
      </c>
      <c r="C1190" t="s">
        <v>6</v>
      </c>
      <c r="D1190" t="s">
        <v>4416</v>
      </c>
      <c r="F1190" s="1">
        <v>45993</v>
      </c>
      <c r="G1190" t="str">
        <f>IF(Table3[[#This Row],[Top Parent Account]]="",Table3[[#This Row],[Account Legal Name]],Table3[[#This Row],[Top Parent Account]])</f>
        <v>Maquilas Forrajes y Nutrimentos</v>
      </c>
      <c r="H1190" s="1"/>
    </row>
    <row r="1191" spans="1:8" x14ac:dyDescent="0.35">
      <c r="A1191" s="21"/>
      <c r="B1191" t="s">
        <v>3114</v>
      </c>
      <c r="C1191" t="s">
        <v>52</v>
      </c>
      <c r="D1191" t="s">
        <v>1748</v>
      </c>
      <c r="F1191" s="1">
        <v>45993</v>
      </c>
      <c r="G1191" t="str">
        <f>IF(Table3[[#This Row],[Top Parent Account]]="",Table3[[#This Row],[Account Legal Name]],Table3[[#This Row],[Top Parent Account]])</f>
        <v>RECUPERACIONES INDUSTRIALES INTERNACIONALES</v>
      </c>
      <c r="H1191" s="1"/>
    </row>
    <row r="1192" spans="1:8" x14ac:dyDescent="0.35">
      <c r="A1192" s="21"/>
      <c r="B1192" t="s">
        <v>28</v>
      </c>
      <c r="C1192" t="s">
        <v>6</v>
      </c>
      <c r="D1192" t="s">
        <v>4308</v>
      </c>
      <c r="F1192" s="1">
        <v>45993</v>
      </c>
      <c r="G1192" t="str">
        <f>IF(Table3[[#This Row],[Top Parent Account]]="",Table3[[#This Row],[Account Legal Name]],Table3[[#This Row],[Top Parent Account]])</f>
        <v>SOLUBLES Y CONCENTRADOS DEL NORTE</v>
      </c>
      <c r="H1192" s="1"/>
    </row>
    <row r="1193" spans="1:8" x14ac:dyDescent="0.35">
      <c r="A1193" s="21"/>
      <c r="B1193" t="s">
        <v>14</v>
      </c>
      <c r="C1193" t="s">
        <v>6</v>
      </c>
      <c r="D1193" t="s">
        <v>4418</v>
      </c>
      <c r="F1193" s="1">
        <v>45993</v>
      </c>
      <c r="G1193" t="str">
        <f>IF(Table3[[#This Row],[Top Parent Account]]="",Table3[[#This Row],[Account Legal Name]],Table3[[#This Row],[Top Parent Account]])</f>
        <v>Mexstamp</v>
      </c>
      <c r="H1193" s="1"/>
    </row>
    <row r="1194" spans="1:8" x14ac:dyDescent="0.35">
      <c r="A1194" s="21"/>
      <c r="B1194" t="s">
        <v>38</v>
      </c>
      <c r="C1194" t="s">
        <v>6</v>
      </c>
      <c r="D1194" t="s">
        <v>456</v>
      </c>
      <c r="F1194" s="1">
        <v>45993</v>
      </c>
      <c r="G1194" t="str">
        <f>IF(Table3[[#This Row],[Top Parent Account]]="",Table3[[#This Row],[Account Legal Name]],Table3[[#This Row],[Top Parent Account]])</f>
        <v>Corporación Dalton</v>
      </c>
      <c r="H1194" s="1"/>
    </row>
    <row r="1195" spans="1:8" x14ac:dyDescent="0.35">
      <c r="A1195" s="21"/>
      <c r="B1195" t="s">
        <v>3129</v>
      </c>
      <c r="C1195" t="s">
        <v>6</v>
      </c>
      <c r="D1195" t="s">
        <v>4309</v>
      </c>
      <c r="F1195" s="1">
        <v>45993</v>
      </c>
      <c r="G1195" t="str">
        <f>IF(Table3[[#This Row],[Top Parent Account]]="",Table3[[#This Row],[Account Legal Name]],Table3[[#This Row],[Top Parent Account]])</f>
        <v>Action Black</v>
      </c>
      <c r="H1195" s="1"/>
    </row>
    <row r="1196" spans="1:8" x14ac:dyDescent="0.35">
      <c r="A1196" s="21"/>
      <c r="B1196" t="s">
        <v>3092</v>
      </c>
      <c r="C1196" t="s">
        <v>6</v>
      </c>
      <c r="D1196" t="s">
        <v>4310</v>
      </c>
      <c r="F1196" s="1">
        <v>45993</v>
      </c>
      <c r="G1196" t="str">
        <f>IF(Table3[[#This Row],[Top Parent Account]]="",Table3[[#This Row],[Account Legal Name]],Table3[[#This Row],[Top Parent Account]])</f>
        <v>Grupo Sinotek</v>
      </c>
      <c r="H1196" s="1"/>
    </row>
    <row r="1197" spans="1:8" x14ac:dyDescent="0.35">
      <c r="A1197" s="21"/>
      <c r="B1197" t="s">
        <v>739</v>
      </c>
      <c r="C1197" t="s">
        <v>6</v>
      </c>
      <c r="D1197" t="s">
        <v>2518</v>
      </c>
      <c r="F1197" s="1">
        <v>45993</v>
      </c>
      <c r="G1197" t="str">
        <f>IF(Table3[[#This Row],[Top Parent Account]]="",Table3[[#This Row],[Account Legal Name]],Table3[[#This Row],[Top Parent Account]])</f>
        <v>Vive Grupo Constructor</v>
      </c>
      <c r="H1197" s="1"/>
    </row>
    <row r="1198" spans="1:8" x14ac:dyDescent="0.35">
      <c r="A1198" s="21"/>
      <c r="B1198" t="s">
        <v>932</v>
      </c>
      <c r="C1198" t="s">
        <v>1693</v>
      </c>
      <c r="D1198" t="s">
        <v>4422</v>
      </c>
      <c r="F1198" s="1">
        <v>45993</v>
      </c>
      <c r="G1198" t="str">
        <f>IF(Table3[[#This Row],[Top Parent Account]]="",Table3[[#This Row],[Account Legal Name]],Table3[[#This Row],[Top Parent Account]])</f>
        <v>SOLUCIONES COMSYS</v>
      </c>
      <c r="H1198" s="1"/>
    </row>
    <row r="1199" spans="1:8" x14ac:dyDescent="0.35">
      <c r="A1199" s="21"/>
      <c r="B1199" t="s">
        <v>3553</v>
      </c>
      <c r="C1199" t="s">
        <v>6</v>
      </c>
      <c r="D1199" t="s">
        <v>4311</v>
      </c>
      <c r="F1199" s="1">
        <v>45993</v>
      </c>
      <c r="G1199" t="str">
        <f>IF(Table3[[#This Row],[Top Parent Account]]="",Table3[[#This Row],[Account Legal Name]],Table3[[#This Row],[Top Parent Account]])</f>
        <v>Grupo Promotor de Vivienda para Mexico</v>
      </c>
      <c r="H1199" s="1"/>
    </row>
    <row r="1200" spans="1:8" x14ac:dyDescent="0.35">
      <c r="A1200" s="21"/>
      <c r="B1200" t="s">
        <v>208</v>
      </c>
      <c r="C1200" t="s">
        <v>6</v>
      </c>
      <c r="D1200" t="s">
        <v>3792</v>
      </c>
      <c r="F1200" s="1">
        <v>45993</v>
      </c>
      <c r="G1200" t="str">
        <f>IF(Table3[[#This Row],[Top Parent Account]]="",Table3[[#This Row],[Account Legal Name]],Table3[[#This Row],[Top Parent Account]])</f>
        <v>Envialo Mexico</v>
      </c>
      <c r="H1200" s="1"/>
    </row>
    <row r="1201" spans="1:8" x14ac:dyDescent="0.35">
      <c r="A1201" s="21"/>
      <c r="B1201" t="s">
        <v>43</v>
      </c>
      <c r="C1201" t="s">
        <v>6</v>
      </c>
      <c r="D1201" t="s">
        <v>4312</v>
      </c>
      <c r="F1201" s="1">
        <v>45993</v>
      </c>
      <c r="G1201" t="str">
        <f>IF(Table3[[#This Row],[Top Parent Account]]="",Table3[[#This Row],[Account Legal Name]],Table3[[#This Row],[Top Parent Account]])</f>
        <v>YntegraPlast Industrial</v>
      </c>
      <c r="H1201" s="1"/>
    </row>
    <row r="1202" spans="1:8" x14ac:dyDescent="0.35">
      <c r="A1202" s="21"/>
      <c r="B1202" t="s">
        <v>280</v>
      </c>
      <c r="C1202" t="s">
        <v>6</v>
      </c>
      <c r="D1202" t="s">
        <v>4419</v>
      </c>
      <c r="F1202" s="1">
        <v>45993</v>
      </c>
      <c r="G1202" t="str">
        <f>IF(Table3[[#This Row],[Top Parent Account]]="",Table3[[#This Row],[Account Legal Name]],Table3[[#This Row],[Top Parent Account]])</f>
        <v>MEXFRUT</v>
      </c>
      <c r="H1202" s="1"/>
    </row>
    <row r="1203" spans="1:8" x14ac:dyDescent="0.35">
      <c r="A1203" s="21"/>
      <c r="B1203" t="s">
        <v>2693</v>
      </c>
      <c r="C1203" t="s">
        <v>6</v>
      </c>
      <c r="D1203" t="s">
        <v>2132</v>
      </c>
      <c r="F1203" s="1">
        <v>45993</v>
      </c>
      <c r="G1203" t="str">
        <f>IF(Table3[[#This Row],[Top Parent Account]]="",Table3[[#This Row],[Account Legal Name]],Table3[[#This Row],[Top Parent Account]])</f>
        <v>Driller Cimentaciones</v>
      </c>
      <c r="H1203" s="1"/>
    </row>
    <row r="1204" spans="1:8" x14ac:dyDescent="0.35">
      <c r="A1204" s="21"/>
      <c r="B1204" t="s">
        <v>208</v>
      </c>
      <c r="C1204" t="s">
        <v>6</v>
      </c>
      <c r="D1204" t="s">
        <v>4313</v>
      </c>
      <c r="F1204" s="1">
        <v>45993</v>
      </c>
      <c r="G1204" t="str">
        <f>IF(Table3[[#This Row],[Top Parent Account]]="",Table3[[#This Row],[Account Legal Name]],Table3[[#This Row],[Top Parent Account]])</f>
        <v>NBIO HEALTHCARE LOGISTICS</v>
      </c>
      <c r="H1204" s="1"/>
    </row>
    <row r="1205" spans="1:8" x14ac:dyDescent="0.35">
      <c r="A1205" s="21"/>
      <c r="B1205" t="s">
        <v>3182</v>
      </c>
      <c r="C1205" t="s">
        <v>22</v>
      </c>
      <c r="D1205" t="s">
        <v>427</v>
      </c>
      <c r="E1205" t="s">
        <v>63</v>
      </c>
      <c r="F1205" s="1">
        <v>45993</v>
      </c>
      <c r="G1205" t="str">
        <f>IF(Table3[[#This Row],[Top Parent Account]]="",Table3[[#This Row],[Account Legal Name]],Table3[[#This Row],[Top Parent Account]])</f>
        <v>General Electric México</v>
      </c>
      <c r="H1205" s="1"/>
    </row>
    <row r="1206" spans="1:8" x14ac:dyDescent="0.35">
      <c r="A1206" s="21"/>
      <c r="B1206" t="s">
        <v>39</v>
      </c>
      <c r="C1206" t="s">
        <v>4314</v>
      </c>
      <c r="D1206" t="s">
        <v>2537</v>
      </c>
      <c r="F1206" s="1">
        <v>45993</v>
      </c>
      <c r="G1206" t="str">
        <f>IF(Table3[[#This Row],[Top Parent Account]]="",Table3[[#This Row],[Account Legal Name]],Table3[[#This Row],[Top Parent Account]])</f>
        <v>Salsas Castillo</v>
      </c>
      <c r="H1206" s="1"/>
    </row>
    <row r="1207" spans="1:8" x14ac:dyDescent="0.35">
      <c r="A1207" s="21"/>
      <c r="B1207" t="s">
        <v>23</v>
      </c>
      <c r="C1207" t="s">
        <v>6</v>
      </c>
      <c r="D1207" t="s">
        <v>4315</v>
      </c>
      <c r="F1207" s="1">
        <v>45993</v>
      </c>
      <c r="G1207" t="str">
        <f>IF(Table3[[#This Row],[Top Parent Account]]="",Table3[[#This Row],[Account Legal Name]],Table3[[#This Row],[Top Parent Account]])</f>
        <v>International Relocations de México</v>
      </c>
      <c r="H1207" s="1"/>
    </row>
    <row r="1208" spans="1:8" x14ac:dyDescent="0.35">
      <c r="A1208" s="21"/>
      <c r="B1208" t="s">
        <v>208</v>
      </c>
      <c r="C1208" t="s">
        <v>6</v>
      </c>
      <c r="D1208" t="s">
        <v>2333</v>
      </c>
      <c r="F1208" s="1">
        <v>45993</v>
      </c>
      <c r="G1208" t="str">
        <f>IF(Table3[[#This Row],[Top Parent Account]]="",Table3[[#This Row],[Account Legal Name]],Table3[[#This Row],[Top Parent Account]])</f>
        <v>Flexotecnia</v>
      </c>
      <c r="H1208" s="1"/>
    </row>
    <row r="1209" spans="1:8" x14ac:dyDescent="0.35">
      <c r="A1209" s="21"/>
      <c r="B1209" t="s">
        <v>28</v>
      </c>
      <c r="C1209" t="s">
        <v>6</v>
      </c>
      <c r="D1209" t="s">
        <v>4471</v>
      </c>
      <c r="F1209" s="1">
        <v>45992</v>
      </c>
      <c r="G1209" t="str">
        <f>IF(Table3[[#This Row],[Top Parent Account]]="",Table3[[#This Row],[Account Legal Name]],Table3[[#This Row],[Top Parent Account]])</f>
        <v>METALPOL</v>
      </c>
      <c r="H1209" s="1"/>
    </row>
    <row r="1210" spans="1:8" x14ac:dyDescent="0.35">
      <c r="A1210" s="21"/>
      <c r="B1210" t="s">
        <v>3093</v>
      </c>
      <c r="C1210" t="s">
        <v>6</v>
      </c>
      <c r="D1210" t="s">
        <v>4316</v>
      </c>
      <c r="F1210" s="1">
        <v>45992</v>
      </c>
      <c r="G1210" t="str">
        <f>IF(Table3[[#This Row],[Top Parent Account]]="",Table3[[#This Row],[Account Legal Name]],Table3[[#This Row],[Top Parent Account]])</f>
        <v>Mini Grip de México</v>
      </c>
      <c r="H1210" s="1"/>
    </row>
    <row r="1211" spans="1:8" x14ac:dyDescent="0.35">
      <c r="A1211" s="21"/>
      <c r="B1211" t="s">
        <v>2912</v>
      </c>
      <c r="C1211" t="s">
        <v>6</v>
      </c>
      <c r="D1211" t="s">
        <v>316</v>
      </c>
      <c r="F1211" s="1">
        <v>45992</v>
      </c>
      <c r="G1211" t="str">
        <f>IF(Table3[[#This Row],[Top Parent Account]]="",Table3[[#This Row],[Account Legal Name]],Table3[[#This Row],[Top Parent Account]])</f>
        <v>Interland Transport</v>
      </c>
      <c r="H1211" s="1"/>
    </row>
    <row r="1212" spans="1:8" x14ac:dyDescent="0.35">
      <c r="A1212" s="21"/>
      <c r="B1212" t="s">
        <v>2912</v>
      </c>
      <c r="C1212" t="s">
        <v>6</v>
      </c>
      <c r="D1212" t="s">
        <v>316</v>
      </c>
      <c r="F1212" s="1">
        <v>45992</v>
      </c>
      <c r="G1212" t="str">
        <f>IF(Table3[[#This Row],[Top Parent Account]]="",Table3[[#This Row],[Account Legal Name]],Table3[[#This Row],[Top Parent Account]])</f>
        <v>Interland Transport</v>
      </c>
      <c r="H1212" s="1"/>
    </row>
    <row r="1213" spans="1:8" x14ac:dyDescent="0.35">
      <c r="A1213" s="21"/>
      <c r="B1213" t="s">
        <v>70</v>
      </c>
      <c r="C1213" t="s">
        <v>6</v>
      </c>
      <c r="D1213" t="s">
        <v>4317</v>
      </c>
      <c r="F1213" s="1">
        <v>45992</v>
      </c>
      <c r="G1213" t="str">
        <f>IF(Table3[[#This Row],[Top Parent Account]]="",Table3[[#This Row],[Account Legal Name]],Table3[[#This Row],[Top Parent Account]])</f>
        <v>Clinica Panamericana de Chihuahua</v>
      </c>
      <c r="H1213" s="1"/>
    </row>
    <row r="1214" spans="1:8" x14ac:dyDescent="0.35">
      <c r="A1214" s="21"/>
      <c r="B1214" t="s">
        <v>739</v>
      </c>
      <c r="C1214" t="s">
        <v>6</v>
      </c>
      <c r="D1214" t="s">
        <v>2982</v>
      </c>
      <c r="F1214" s="1">
        <v>45992</v>
      </c>
      <c r="G1214" t="str">
        <f>IF(Table3[[#This Row],[Top Parent Account]]="",Table3[[#This Row],[Account Legal Name]],Table3[[#This Row],[Top Parent Account]])</f>
        <v>Mexichem</v>
      </c>
      <c r="H1214" s="1"/>
    </row>
    <row r="1215" spans="1:8" x14ac:dyDescent="0.35">
      <c r="A1215" s="21"/>
      <c r="B1215" t="s">
        <v>925</v>
      </c>
      <c r="C1215" t="s">
        <v>6</v>
      </c>
      <c r="D1215" t="s">
        <v>4318</v>
      </c>
      <c r="F1215" s="1">
        <v>45992</v>
      </c>
      <c r="G1215" t="str">
        <f>IF(Table3[[#This Row],[Top Parent Account]]="",Table3[[#This Row],[Account Legal Name]],Table3[[#This Row],[Top Parent Account]])</f>
        <v>AGROINDUSTRIA Y AVICOLA DEL MEZQUITAL</v>
      </c>
      <c r="H1215" s="1"/>
    </row>
    <row r="1216" spans="1:8" x14ac:dyDescent="0.35">
      <c r="A1216" s="21"/>
      <c r="B1216" t="s">
        <v>70</v>
      </c>
      <c r="C1216" t="s">
        <v>22</v>
      </c>
      <c r="D1216" t="s">
        <v>479</v>
      </c>
      <c r="F1216" s="1">
        <v>45992</v>
      </c>
      <c r="G1216" t="str">
        <f>IF(Table3[[#This Row],[Top Parent Account]]="",Table3[[#This Row],[Account Legal Name]],Table3[[#This Row],[Top Parent Account]])</f>
        <v>Santoyo Gabinete Radiológico</v>
      </c>
      <c r="H1216" s="1"/>
    </row>
    <row r="1217" spans="1:8" x14ac:dyDescent="0.35">
      <c r="A1217" s="21"/>
      <c r="B1217" t="s">
        <v>2884</v>
      </c>
      <c r="C1217" t="s">
        <v>22</v>
      </c>
      <c r="D1217" t="s">
        <v>3436</v>
      </c>
      <c r="F1217" s="1">
        <v>45992</v>
      </c>
      <c r="G1217" t="str">
        <f>IF(Table3[[#This Row],[Top Parent Account]]="",Table3[[#This Row],[Account Legal Name]],Table3[[#This Row],[Top Parent Account]])</f>
        <v>Bandai Corporación México</v>
      </c>
      <c r="H1217" s="1"/>
    </row>
    <row r="1218" spans="1:8" x14ac:dyDescent="0.35">
      <c r="A1218" s="21"/>
      <c r="B1218" t="s">
        <v>70</v>
      </c>
      <c r="C1218" t="s">
        <v>6</v>
      </c>
      <c r="D1218" t="s">
        <v>4320</v>
      </c>
      <c r="F1218" s="1">
        <v>45992</v>
      </c>
      <c r="G1218" t="str">
        <f>IF(Table3[[#This Row],[Top Parent Account]]="",Table3[[#This Row],[Account Legal Name]],Table3[[#This Row],[Top Parent Account]])</f>
        <v>Karcher México</v>
      </c>
      <c r="H1218" s="1"/>
    </row>
    <row r="1219" spans="1:8" x14ac:dyDescent="0.35">
      <c r="A1219" s="21"/>
      <c r="B1219" t="s">
        <v>88</v>
      </c>
      <c r="C1219" t="s">
        <v>22</v>
      </c>
      <c r="D1219" t="s">
        <v>4319</v>
      </c>
      <c r="F1219" s="1">
        <v>45992</v>
      </c>
      <c r="G1219" t="str">
        <f>IF(Table3[[#This Row],[Top Parent Account]]="",Table3[[#This Row],[Account Legal Name]],Table3[[#This Row],[Top Parent Account]])</f>
        <v>FLS DIVISION SEDANES</v>
      </c>
      <c r="H1219" s="1"/>
    </row>
    <row r="1220" spans="1:8" x14ac:dyDescent="0.35">
      <c r="A1220" s="21"/>
      <c r="B1220" t="s">
        <v>3114</v>
      </c>
      <c r="C1220" t="s">
        <v>52</v>
      </c>
      <c r="D1220" t="s">
        <v>3226</v>
      </c>
      <c r="F1220" s="1">
        <v>45992</v>
      </c>
      <c r="G1220" t="str">
        <f>IF(Table3[[#This Row],[Top Parent Account]]="",Table3[[#This Row],[Account Legal Name]],Table3[[#This Row],[Top Parent Account]])</f>
        <v>Arrendadora Datamovil</v>
      </c>
      <c r="H1220" s="1"/>
    </row>
    <row r="1221" spans="1:8" x14ac:dyDescent="0.35">
      <c r="A1221" s="21"/>
      <c r="B1221" t="s">
        <v>18</v>
      </c>
      <c r="C1221" t="s">
        <v>6</v>
      </c>
      <c r="D1221" t="s">
        <v>4321</v>
      </c>
      <c r="F1221" s="1">
        <v>45992</v>
      </c>
      <c r="G1221" t="str">
        <f>IF(Table3[[#This Row],[Top Parent Account]]="",Table3[[#This Row],[Account Legal Name]],Table3[[#This Row],[Top Parent Account]])</f>
        <v>Asesoria y Servicios Industriales ISI Nuevo Leon</v>
      </c>
      <c r="H1221" s="1"/>
    </row>
    <row r="1222" spans="1:8" x14ac:dyDescent="0.35">
      <c r="A1222" s="21"/>
      <c r="B1222" t="s">
        <v>3114</v>
      </c>
      <c r="C1222" t="s">
        <v>4322</v>
      </c>
      <c r="D1222" t="s">
        <v>1927</v>
      </c>
      <c r="F1222" s="1">
        <v>45989</v>
      </c>
      <c r="G1222" t="str">
        <f>IF(Table3[[#This Row],[Top Parent Account]]="",Table3[[#This Row],[Account Legal Name]],Table3[[#This Row],[Top Parent Account]])</f>
        <v>Grupo American Industries</v>
      </c>
      <c r="H1222" s="1"/>
    </row>
    <row r="1223" spans="1:8" x14ac:dyDescent="0.35">
      <c r="A1223" s="21"/>
      <c r="B1223" t="s">
        <v>989</v>
      </c>
      <c r="C1223" t="s">
        <v>6</v>
      </c>
      <c r="D1223" t="s">
        <v>4323</v>
      </c>
      <c r="F1223" s="1">
        <v>45989</v>
      </c>
      <c r="G1223" t="str">
        <f>IF(Table3[[#This Row],[Top Parent Account]]="",Table3[[#This Row],[Account Legal Name]],Table3[[#This Row],[Top Parent Account]])</f>
        <v>Integración de Negocios TAE</v>
      </c>
      <c r="H1223" s="1"/>
    </row>
    <row r="1224" spans="1:8" x14ac:dyDescent="0.35">
      <c r="A1224" s="21"/>
      <c r="B1224" t="s">
        <v>70</v>
      </c>
      <c r="C1224" t="s">
        <v>6</v>
      </c>
      <c r="D1224" t="s">
        <v>434</v>
      </c>
      <c r="F1224" s="1">
        <v>45989</v>
      </c>
      <c r="G1224" t="str">
        <f>IF(Table3[[#This Row],[Top Parent Account]]="",Table3[[#This Row],[Account Legal Name]],Table3[[#This Row],[Top Parent Account]])</f>
        <v>Electrónica y Medicina</v>
      </c>
      <c r="H1224" s="1"/>
    </row>
    <row r="1225" spans="1:8" x14ac:dyDescent="0.35">
      <c r="A1225" s="21"/>
      <c r="B1225" t="s">
        <v>10</v>
      </c>
      <c r="C1225" t="s">
        <v>6</v>
      </c>
      <c r="D1225" t="s">
        <v>4324</v>
      </c>
      <c r="F1225" s="1">
        <v>45989</v>
      </c>
      <c r="G1225" t="str">
        <f>IF(Table3[[#This Row],[Top Parent Account]]="",Table3[[#This Row],[Account Legal Name]],Table3[[#This Row],[Top Parent Account]])</f>
        <v>INDUSTRIA REAL</v>
      </c>
      <c r="H1225" s="1"/>
    </row>
    <row r="1226" spans="1:8" x14ac:dyDescent="0.35">
      <c r="A1226" s="21"/>
      <c r="B1226" t="s">
        <v>27</v>
      </c>
      <c r="C1226" t="s">
        <v>22</v>
      </c>
      <c r="D1226" t="s">
        <v>4325</v>
      </c>
      <c r="F1226" s="1">
        <v>45989</v>
      </c>
      <c r="G1226" t="str">
        <f>IF(Table3[[#This Row],[Top Parent Account]]="",Table3[[#This Row],[Account Legal Name]],Table3[[#This Row],[Top Parent Account]])</f>
        <v>Meditiva Medical</v>
      </c>
      <c r="H1226" s="1"/>
    </row>
    <row r="1227" spans="1:8" x14ac:dyDescent="0.35">
      <c r="A1227" s="21"/>
      <c r="B1227" t="s">
        <v>18</v>
      </c>
      <c r="C1227" t="s">
        <v>6</v>
      </c>
      <c r="D1227" t="s">
        <v>4329</v>
      </c>
      <c r="F1227" s="1">
        <v>45989</v>
      </c>
      <c r="G1227" t="str">
        <f>IF(Table3[[#This Row],[Top Parent Account]]="",Table3[[#This Row],[Account Legal Name]],Table3[[#This Row],[Top Parent Account]])</f>
        <v>Controladora De Autotransporte y Servicios Comerciales</v>
      </c>
      <c r="H1227" s="1"/>
    </row>
    <row r="1228" spans="1:8" x14ac:dyDescent="0.35">
      <c r="A1228" s="21"/>
      <c r="B1228" t="s">
        <v>38</v>
      </c>
      <c r="C1228" t="s">
        <v>6</v>
      </c>
      <c r="D1228" t="s">
        <v>4330</v>
      </c>
      <c r="F1228" s="1">
        <v>45989</v>
      </c>
      <c r="G1228" t="str">
        <f>IF(Table3[[#This Row],[Top Parent Account]]="",Table3[[#This Row],[Account Legal Name]],Table3[[#This Row],[Top Parent Account]])</f>
        <v>Maxion Wheels de México</v>
      </c>
      <c r="H1228" s="1"/>
    </row>
    <row r="1229" spans="1:8" x14ac:dyDescent="0.35">
      <c r="A1229" s="21"/>
      <c r="B1229" t="s">
        <v>207</v>
      </c>
      <c r="C1229" t="s">
        <v>4327</v>
      </c>
      <c r="D1229" t="s">
        <v>4328</v>
      </c>
      <c r="F1229" s="1">
        <v>45989</v>
      </c>
      <c r="G1229" t="str">
        <f>IF(Table3[[#This Row],[Top Parent Account]]="",Table3[[#This Row],[Account Legal Name]],Table3[[#This Row],[Top Parent Account]])</f>
        <v>Kaizen Institute</v>
      </c>
      <c r="H1229" s="1"/>
    </row>
    <row r="1230" spans="1:8" x14ac:dyDescent="0.35">
      <c r="A1230" s="21"/>
      <c r="B1230" t="s">
        <v>121</v>
      </c>
      <c r="C1230" t="s">
        <v>6</v>
      </c>
      <c r="D1230" t="s">
        <v>4198</v>
      </c>
      <c r="F1230" s="1">
        <v>45989</v>
      </c>
      <c r="G1230" t="str">
        <f>IF(Table3[[#This Row],[Top Parent Account]]="",Table3[[#This Row],[Account Legal Name]],Table3[[#This Row],[Top Parent Account]])</f>
        <v>Artes Gráficas Sinaloenses</v>
      </c>
      <c r="H1230" s="1"/>
    </row>
    <row r="1231" spans="1:8" x14ac:dyDescent="0.35">
      <c r="A1231" s="21"/>
      <c r="B1231" t="s">
        <v>29</v>
      </c>
      <c r="C1231" t="s">
        <v>6</v>
      </c>
      <c r="D1231" t="s">
        <v>4326</v>
      </c>
      <c r="E1231" t="s">
        <v>3848</v>
      </c>
      <c r="F1231" s="1">
        <v>45989</v>
      </c>
      <c r="G1231" t="str">
        <f>IF(Table3[[#This Row],[Top Parent Account]]="",Table3[[#This Row],[Account Legal Name]],Table3[[#This Row],[Top Parent Account]])</f>
        <v>Diseko Soluciones</v>
      </c>
      <c r="H1231" s="1"/>
    </row>
    <row r="1232" spans="1:8" x14ac:dyDescent="0.35">
      <c r="A1232" s="21"/>
      <c r="B1232" t="s">
        <v>121</v>
      </c>
      <c r="C1232" t="s">
        <v>6</v>
      </c>
      <c r="D1232" t="s">
        <v>1082</v>
      </c>
      <c r="F1232" s="1">
        <v>45989</v>
      </c>
      <c r="G1232" t="str">
        <f>IF(Table3[[#This Row],[Top Parent Account]]="",Table3[[#This Row],[Account Legal Name]],Table3[[#This Row],[Top Parent Account]])</f>
        <v>Alvajal Equipos y Servicios</v>
      </c>
      <c r="H1232" s="1"/>
    </row>
    <row r="1233" spans="1:8" x14ac:dyDescent="0.35">
      <c r="A1233" s="21"/>
      <c r="B1233" t="s">
        <v>121</v>
      </c>
      <c r="C1233" t="s">
        <v>6</v>
      </c>
      <c r="D1233" t="s">
        <v>2937</v>
      </c>
      <c r="F1233" s="1">
        <v>45989</v>
      </c>
      <c r="G1233" t="str">
        <f>IF(Table3[[#This Row],[Top Parent Account]]="",Table3[[#This Row],[Account Legal Name]],Table3[[#This Row],[Top Parent Account]])</f>
        <v>TERRAFLUX</v>
      </c>
      <c r="H1233" s="1"/>
    </row>
    <row r="1234" spans="1:8" x14ac:dyDescent="0.35">
      <c r="A1234" s="21"/>
      <c r="B1234" t="s">
        <v>121</v>
      </c>
      <c r="C1234" t="s">
        <v>6</v>
      </c>
      <c r="D1234" t="s">
        <v>4199</v>
      </c>
      <c r="F1234" s="1">
        <v>45989</v>
      </c>
      <c r="G1234" t="str">
        <f>IF(Table3[[#This Row],[Top Parent Account]]="",Table3[[#This Row],[Account Legal Name]],Table3[[#This Row],[Top Parent Account]])</f>
        <v>Olympo Farms</v>
      </c>
      <c r="H1234" s="1"/>
    </row>
    <row r="1235" spans="1:8" x14ac:dyDescent="0.35">
      <c r="A1235" s="21"/>
      <c r="B1235" t="s">
        <v>1899</v>
      </c>
      <c r="C1235" t="s">
        <v>6</v>
      </c>
      <c r="D1235" t="s">
        <v>4331</v>
      </c>
      <c r="F1235" s="1">
        <v>45989</v>
      </c>
      <c r="G1235" t="str">
        <f>IF(Table3[[#This Row],[Top Parent Account]]="",Table3[[#This Row],[Account Legal Name]],Table3[[#This Row],[Top Parent Account]])</f>
        <v>Comercializadora de Pollos y Carnes Yesaki</v>
      </c>
      <c r="H1235" s="1"/>
    </row>
    <row r="1236" spans="1:8" x14ac:dyDescent="0.35">
      <c r="A1236" s="21"/>
      <c r="B1236" t="s">
        <v>1899</v>
      </c>
      <c r="C1236" t="s">
        <v>6</v>
      </c>
      <c r="D1236" t="s">
        <v>4136</v>
      </c>
      <c r="F1236" s="1">
        <v>45989</v>
      </c>
      <c r="G1236" t="str">
        <f>IF(Table3[[#This Row],[Top Parent Account]]="",Table3[[#This Row],[Account Legal Name]],Table3[[#This Row],[Top Parent Account]])</f>
        <v>Franquicias Josephinos</v>
      </c>
      <c r="H1236" s="1"/>
    </row>
    <row r="1237" spans="1:8" x14ac:dyDescent="0.35">
      <c r="A1237" s="21"/>
      <c r="B1237" t="s">
        <v>25</v>
      </c>
      <c r="C1237" t="s">
        <v>6</v>
      </c>
      <c r="D1237" t="s">
        <v>4332</v>
      </c>
      <c r="F1237" s="1">
        <v>45989</v>
      </c>
      <c r="G1237" t="str">
        <f>IF(Table3[[#This Row],[Top Parent Account]]="",Table3[[#This Row],[Account Legal Name]],Table3[[#This Row],[Top Parent Account]])</f>
        <v>CAJAS Y CORRUGADOS PARA EMPAQUE</v>
      </c>
      <c r="H1237" s="1"/>
    </row>
    <row r="1238" spans="1:8" x14ac:dyDescent="0.35">
      <c r="A1238" s="21"/>
      <c r="B1238" t="s">
        <v>3093</v>
      </c>
      <c r="C1238" t="s">
        <v>6</v>
      </c>
      <c r="D1238" t="s">
        <v>4333</v>
      </c>
      <c r="F1238" s="1">
        <v>45989</v>
      </c>
      <c r="G1238" t="str">
        <f>IF(Table3[[#This Row],[Top Parent Account]]="",Table3[[#This Row],[Account Legal Name]],Table3[[#This Row],[Top Parent Account]])</f>
        <v>Grupo Espinosa</v>
      </c>
      <c r="H1238" s="1"/>
    </row>
    <row r="1239" spans="1:8" x14ac:dyDescent="0.35">
      <c r="A1239" s="21"/>
      <c r="B1239" t="s">
        <v>1006</v>
      </c>
      <c r="C1239" t="s">
        <v>6</v>
      </c>
      <c r="D1239" t="s">
        <v>4114</v>
      </c>
      <c r="F1239" s="1">
        <v>45989</v>
      </c>
      <c r="G1239" t="str">
        <f>IF(Table3[[#This Row],[Top Parent Account]]="",Table3[[#This Row],[Account Legal Name]],Table3[[#This Row],[Top Parent Account]])</f>
        <v>Juan Francisco Solis Gonzalez</v>
      </c>
      <c r="H1239" s="1"/>
    </row>
    <row r="1240" spans="1:8" x14ac:dyDescent="0.35">
      <c r="A1240" s="21"/>
      <c r="B1240" t="s">
        <v>925</v>
      </c>
      <c r="C1240" t="s">
        <v>6</v>
      </c>
      <c r="D1240" t="s">
        <v>2836</v>
      </c>
      <c r="F1240" s="1">
        <v>45989</v>
      </c>
      <c r="G1240" t="str">
        <f>IF(Table3[[#This Row],[Top Parent Account]]="",Table3[[#This Row],[Account Legal Name]],Table3[[#This Row],[Top Parent Account]])</f>
        <v>Alfredo Ismael Roman Masso</v>
      </c>
      <c r="H1240" s="1"/>
    </row>
    <row r="1241" spans="1:8" x14ac:dyDescent="0.35">
      <c r="A1241" s="21"/>
      <c r="B1241" t="s">
        <v>14</v>
      </c>
      <c r="C1241" t="s">
        <v>6</v>
      </c>
      <c r="D1241" t="s">
        <v>3359</v>
      </c>
      <c r="F1241" s="1">
        <v>45989</v>
      </c>
      <c r="G1241" t="str">
        <f>IF(Table3[[#This Row],[Top Parent Account]]="",Table3[[#This Row],[Account Legal Name]],Table3[[#This Row],[Top Parent Account]])</f>
        <v>Dasavena Gourmet</v>
      </c>
      <c r="H1241" s="1"/>
    </row>
    <row r="1242" spans="1:8" x14ac:dyDescent="0.35">
      <c r="A1242" s="21"/>
      <c r="B1242" t="s">
        <v>12</v>
      </c>
      <c r="C1242" t="s">
        <v>6</v>
      </c>
      <c r="D1242" t="s">
        <v>4335</v>
      </c>
      <c r="F1242" s="1">
        <v>45989</v>
      </c>
      <c r="G1242" t="str">
        <f>IF(Table3[[#This Row],[Top Parent Account]]="",Table3[[#This Row],[Account Legal Name]],Table3[[#This Row],[Top Parent Account]])</f>
        <v>Hamak Hotels</v>
      </c>
      <c r="H1242" s="1"/>
    </row>
    <row r="1243" spans="1:8" x14ac:dyDescent="0.35">
      <c r="A1243" s="21"/>
      <c r="B1243" t="s">
        <v>3553</v>
      </c>
      <c r="C1243" t="s">
        <v>6</v>
      </c>
      <c r="D1243" t="s">
        <v>4336</v>
      </c>
      <c r="F1243" s="1">
        <v>45989</v>
      </c>
      <c r="G1243" t="str">
        <f>IF(Table3[[#This Row],[Top Parent Account]]="",Table3[[#This Row],[Account Legal Name]],Table3[[#This Row],[Top Parent Account]])</f>
        <v>Transportes Dedicados Arboleda</v>
      </c>
      <c r="H1243" s="1"/>
    </row>
    <row r="1244" spans="1:8" x14ac:dyDescent="0.35">
      <c r="A1244" s="21"/>
      <c r="B1244" t="s">
        <v>51</v>
      </c>
      <c r="C1244" t="s">
        <v>6</v>
      </c>
      <c r="D1244" t="s">
        <v>4334</v>
      </c>
      <c r="F1244" s="1">
        <v>45989</v>
      </c>
      <c r="G1244" t="str">
        <f>IF(Table3[[#This Row],[Top Parent Account]]="",Table3[[#This Row],[Account Legal Name]],Table3[[#This Row],[Top Parent Account]])</f>
        <v>Productos Eiffel</v>
      </c>
      <c r="H1244" s="1"/>
    </row>
    <row r="1245" spans="1:8" x14ac:dyDescent="0.35">
      <c r="A1245" s="21"/>
      <c r="B1245" t="s">
        <v>70</v>
      </c>
      <c r="C1245" t="s">
        <v>6</v>
      </c>
      <c r="D1245" t="s">
        <v>981</v>
      </c>
      <c r="F1245" s="1">
        <v>45988</v>
      </c>
      <c r="G1245" t="str">
        <f>IF(Table3[[#This Row],[Top Parent Account]]="",Table3[[#This Row],[Account Legal Name]],Table3[[#This Row],[Top Parent Account]])</f>
        <v>Medical Scope</v>
      </c>
      <c r="H1245" s="1"/>
    </row>
    <row r="1246" spans="1:8" x14ac:dyDescent="0.35">
      <c r="A1246" s="21"/>
      <c r="B1246" t="s">
        <v>84</v>
      </c>
      <c r="C1246" t="s">
        <v>4337</v>
      </c>
      <c r="D1246" t="s">
        <v>806</v>
      </c>
      <c r="F1246" s="1">
        <v>45988</v>
      </c>
      <c r="G1246" t="str">
        <f>IF(Table3[[#This Row],[Top Parent Account]]="",Table3[[#This Row],[Account Legal Name]],Table3[[#This Row],[Top Parent Account]])</f>
        <v>Emicol de México</v>
      </c>
      <c r="H1246" s="1"/>
    </row>
    <row r="1247" spans="1:8" x14ac:dyDescent="0.35">
      <c r="A1247" s="21"/>
      <c r="B1247" t="s">
        <v>989</v>
      </c>
      <c r="C1247" t="s">
        <v>6</v>
      </c>
      <c r="D1247" t="s">
        <v>3422</v>
      </c>
      <c r="F1247" s="1">
        <v>45988</v>
      </c>
      <c r="G1247" t="str">
        <f>IF(Table3[[#This Row],[Top Parent Account]]="",Table3[[#This Row],[Account Legal Name]],Table3[[#This Row],[Top Parent Account]])</f>
        <v>Werner de Mexico</v>
      </c>
      <c r="H1247" s="1"/>
    </row>
    <row r="1248" spans="1:8" x14ac:dyDescent="0.35">
      <c r="A1248" s="21"/>
      <c r="B1248" t="s">
        <v>18</v>
      </c>
      <c r="C1248" t="s">
        <v>6</v>
      </c>
      <c r="D1248" t="s">
        <v>2680</v>
      </c>
      <c r="F1248" s="1">
        <v>45988</v>
      </c>
      <c r="G1248" t="str">
        <f>IF(Table3[[#This Row],[Top Parent Account]]="",Table3[[#This Row],[Account Legal Name]],Table3[[#This Row],[Top Parent Account]])</f>
        <v>Grupo Coinsa</v>
      </c>
      <c r="H1248" s="1"/>
    </row>
    <row r="1249" spans="1:8" x14ac:dyDescent="0.35">
      <c r="A1249" s="21"/>
      <c r="B1249" t="s">
        <v>989</v>
      </c>
      <c r="C1249" t="s">
        <v>6</v>
      </c>
      <c r="D1249" t="s">
        <v>2134</v>
      </c>
      <c r="F1249" s="1">
        <v>45988</v>
      </c>
      <c r="G1249" t="str">
        <f>IF(Table3[[#This Row],[Top Parent Account]]="",Table3[[#This Row],[Account Legal Name]],Table3[[#This Row],[Top Parent Account]])</f>
        <v>SINOBOOM</v>
      </c>
      <c r="H1249" s="1"/>
    </row>
    <row r="1250" spans="1:8" x14ac:dyDescent="0.35">
      <c r="A1250" s="21"/>
      <c r="B1250" t="s">
        <v>989</v>
      </c>
      <c r="C1250" t="s">
        <v>6</v>
      </c>
      <c r="D1250" t="s">
        <v>3257</v>
      </c>
      <c r="F1250" s="1">
        <v>45988</v>
      </c>
      <c r="G1250" t="str">
        <f>IF(Table3[[#This Row],[Top Parent Account]]="",Table3[[#This Row],[Account Legal Name]],Table3[[#This Row],[Top Parent Account]])</f>
        <v>Seidor México</v>
      </c>
      <c r="H1250" s="1"/>
    </row>
    <row r="1251" spans="1:8" x14ac:dyDescent="0.35">
      <c r="A1251" s="21"/>
      <c r="B1251" t="s">
        <v>121</v>
      </c>
      <c r="C1251" t="s">
        <v>6</v>
      </c>
      <c r="D1251" t="s">
        <v>2760</v>
      </c>
      <c r="F1251" s="1">
        <v>45988</v>
      </c>
      <c r="G1251" t="str">
        <f>IF(Table3[[#This Row],[Top Parent Account]]="",Table3[[#This Row],[Account Legal Name]],Table3[[#This Row],[Top Parent Account]])</f>
        <v>Kilker</v>
      </c>
      <c r="H1251" s="1"/>
    </row>
    <row r="1252" spans="1:8" x14ac:dyDescent="0.35">
      <c r="A1252" s="21"/>
      <c r="B1252" t="s">
        <v>18</v>
      </c>
      <c r="C1252" t="s">
        <v>6</v>
      </c>
      <c r="D1252" t="s">
        <v>2974</v>
      </c>
      <c r="F1252" s="1">
        <v>45988</v>
      </c>
      <c r="G1252" t="str">
        <f>IF(Table3[[#This Row],[Top Parent Account]]="",Table3[[#This Row],[Account Legal Name]],Table3[[#This Row],[Top Parent Account]])</f>
        <v>PL COCINA</v>
      </c>
      <c r="H1252" s="1"/>
    </row>
    <row r="1253" spans="1:8" x14ac:dyDescent="0.35">
      <c r="A1253" s="21"/>
      <c r="B1253" t="s">
        <v>989</v>
      </c>
      <c r="C1253" t="s">
        <v>6</v>
      </c>
      <c r="D1253" t="s">
        <v>4338</v>
      </c>
      <c r="F1253" s="1">
        <v>45988</v>
      </c>
      <c r="G1253" t="str">
        <f>IF(Table3[[#This Row],[Top Parent Account]]="",Table3[[#This Row],[Account Legal Name]],Table3[[#This Row],[Top Parent Account]])</f>
        <v>Tdr Transportes</v>
      </c>
      <c r="H1253" s="1"/>
    </row>
    <row r="1254" spans="1:8" x14ac:dyDescent="0.35">
      <c r="A1254" s="21"/>
      <c r="B1254" t="s">
        <v>88</v>
      </c>
      <c r="C1254" t="s">
        <v>6</v>
      </c>
      <c r="D1254" t="s">
        <v>4339</v>
      </c>
      <c r="F1254" s="1">
        <v>45988</v>
      </c>
      <c r="G1254" t="str">
        <f>IF(Table3[[#This Row],[Top Parent Account]]="",Table3[[#This Row],[Account Legal Name]],Table3[[#This Row],[Top Parent Account]])</f>
        <v>Servicios Asturianos de Turismo</v>
      </c>
      <c r="H1254" s="1"/>
    </row>
    <row r="1255" spans="1:8" x14ac:dyDescent="0.35">
      <c r="A1255" s="21"/>
      <c r="B1255" t="s">
        <v>172</v>
      </c>
      <c r="C1255" t="s">
        <v>6</v>
      </c>
      <c r="D1255" t="s">
        <v>4341</v>
      </c>
      <c r="F1255" s="1">
        <v>45988</v>
      </c>
      <c r="G1255" t="str">
        <f>IF(Table3[[#This Row],[Top Parent Account]]="",Table3[[#This Row],[Account Legal Name]],Table3[[#This Row],[Top Parent Account]])</f>
        <v>Grupo Costeño</v>
      </c>
      <c r="H1255" s="1"/>
    </row>
    <row r="1256" spans="1:8" x14ac:dyDescent="0.35">
      <c r="A1256" s="21"/>
      <c r="B1256" t="s">
        <v>28</v>
      </c>
      <c r="C1256" t="s">
        <v>6</v>
      </c>
      <c r="D1256" t="s">
        <v>4340</v>
      </c>
      <c r="F1256" s="1">
        <v>45988</v>
      </c>
      <c r="G1256" t="str">
        <f>IF(Table3[[#This Row],[Top Parent Account]]="",Table3[[#This Row],[Account Legal Name]],Table3[[#This Row],[Top Parent Account]])</f>
        <v>Güntner de México</v>
      </c>
      <c r="H1256" s="1"/>
    </row>
    <row r="1257" spans="1:8" x14ac:dyDescent="0.35">
      <c r="A1257" s="21"/>
      <c r="B1257" t="s">
        <v>39</v>
      </c>
      <c r="C1257" t="s">
        <v>4342</v>
      </c>
      <c r="D1257" t="s">
        <v>2537</v>
      </c>
      <c r="F1257" s="1">
        <v>45988</v>
      </c>
      <c r="G1257" t="str">
        <f>IF(Table3[[#This Row],[Top Parent Account]]="",Table3[[#This Row],[Account Legal Name]],Table3[[#This Row],[Top Parent Account]])</f>
        <v>Salsas Castillo</v>
      </c>
      <c r="H1257" s="1"/>
    </row>
    <row r="1258" spans="1:8" x14ac:dyDescent="0.35">
      <c r="A1258" s="21"/>
      <c r="B1258" t="s">
        <v>37</v>
      </c>
      <c r="C1258" t="s">
        <v>6</v>
      </c>
      <c r="D1258" t="s">
        <v>4343</v>
      </c>
      <c r="F1258" s="1">
        <v>45988</v>
      </c>
      <c r="G1258" t="str">
        <f>IF(Table3[[#This Row],[Top Parent Account]]="",Table3[[#This Row],[Account Legal Name]],Table3[[#This Row],[Top Parent Account]])</f>
        <v>Bloquera Rochin</v>
      </c>
      <c r="H1258" s="1"/>
    </row>
    <row r="1259" spans="1:8" x14ac:dyDescent="0.35">
      <c r="A1259" s="21"/>
      <c r="B1259" t="s">
        <v>24</v>
      </c>
      <c r="C1259" t="s">
        <v>6</v>
      </c>
      <c r="D1259" t="s">
        <v>4344</v>
      </c>
      <c r="F1259" s="1">
        <v>45988</v>
      </c>
      <c r="G1259" t="str">
        <f>IF(Table3[[#This Row],[Top Parent Account]]="",Table3[[#This Row],[Account Legal Name]],Table3[[#This Row],[Top Parent Account]])</f>
        <v>GRANJA LA CONSENTIDA</v>
      </c>
      <c r="H1259" s="1"/>
    </row>
    <row r="1260" spans="1:8" x14ac:dyDescent="0.35">
      <c r="A1260" s="21"/>
      <c r="B1260" t="s">
        <v>12</v>
      </c>
      <c r="C1260" t="s">
        <v>6</v>
      </c>
      <c r="D1260" t="s">
        <v>4345</v>
      </c>
      <c r="F1260" s="1">
        <v>45988</v>
      </c>
      <c r="G1260" t="str">
        <f>IF(Table3[[#This Row],[Top Parent Account]]="",Table3[[#This Row],[Account Legal Name]],Table3[[#This Row],[Top Parent Account]])</f>
        <v>Lt&amp;I Group</v>
      </c>
      <c r="H1260" s="1"/>
    </row>
    <row r="1261" spans="1:8" x14ac:dyDescent="0.35">
      <c r="A1261" s="21"/>
      <c r="B1261" t="s">
        <v>12</v>
      </c>
      <c r="C1261" t="s">
        <v>6</v>
      </c>
      <c r="D1261" t="s">
        <v>3460</v>
      </c>
      <c r="F1261" s="1">
        <v>45988</v>
      </c>
      <c r="G1261" t="str">
        <f>IF(Table3[[#This Row],[Top Parent Account]]="",Table3[[#This Row],[Account Legal Name]],Table3[[#This Row],[Top Parent Account]])</f>
        <v>Cocofrut de Cancun</v>
      </c>
      <c r="H1261" s="1"/>
    </row>
    <row r="1262" spans="1:8" x14ac:dyDescent="0.35">
      <c r="A1262" s="21"/>
      <c r="B1262" t="s">
        <v>3553</v>
      </c>
      <c r="C1262" t="s">
        <v>6</v>
      </c>
      <c r="D1262" t="s">
        <v>3640</v>
      </c>
      <c r="F1262" s="1">
        <v>45988</v>
      </c>
      <c r="G1262" t="str">
        <f>IF(Table3[[#This Row],[Top Parent Account]]="",Table3[[#This Row],[Account Legal Name]],Table3[[#This Row],[Top Parent Account]])</f>
        <v>FC FASHION</v>
      </c>
      <c r="H1262" s="1"/>
    </row>
    <row r="1263" spans="1:8" x14ac:dyDescent="0.35">
      <c r="A1263" s="21"/>
      <c r="B1263" t="s">
        <v>932</v>
      </c>
      <c r="C1263" t="s">
        <v>4347</v>
      </c>
      <c r="D1263" t="s">
        <v>65</v>
      </c>
      <c r="F1263" s="1">
        <v>45988</v>
      </c>
      <c r="G1263" t="str">
        <f>IF(Table3[[#This Row],[Top Parent Account]]="",Table3[[#This Row],[Account Legal Name]],Table3[[#This Row],[Top Parent Account]])</f>
        <v>Smart Center</v>
      </c>
      <c r="H1263" s="1"/>
    </row>
    <row r="1264" spans="1:8" x14ac:dyDescent="0.35">
      <c r="A1264" s="21"/>
      <c r="B1264" t="s">
        <v>1131</v>
      </c>
      <c r="C1264" t="s">
        <v>6</v>
      </c>
      <c r="D1264" t="s">
        <v>4346</v>
      </c>
      <c r="F1264" s="1">
        <v>45988</v>
      </c>
      <c r="G1264" t="str">
        <f>IF(Table3[[#This Row],[Top Parent Account]]="",Table3[[#This Row],[Account Legal Name]],Table3[[#This Row],[Top Parent Account]])</f>
        <v>ASL PRODUCE</v>
      </c>
      <c r="H1264" s="1"/>
    </row>
    <row r="1265" spans="1:8" x14ac:dyDescent="0.35">
      <c r="A1265" s="21"/>
      <c r="B1265" t="s">
        <v>10</v>
      </c>
      <c r="C1265" t="s">
        <v>6</v>
      </c>
      <c r="D1265" t="s">
        <v>491</v>
      </c>
      <c r="F1265" s="1">
        <v>45988</v>
      </c>
      <c r="G1265" t="str">
        <f>IF(Table3[[#This Row],[Top Parent Account]]="",Table3[[#This Row],[Account Legal Name]],Table3[[#This Row],[Top Parent Account]])</f>
        <v>RDCM</v>
      </c>
      <c r="H1265" s="1"/>
    </row>
    <row r="1266" spans="1:8" x14ac:dyDescent="0.35">
      <c r="A1266" s="21"/>
      <c r="B1266" t="s">
        <v>3182</v>
      </c>
      <c r="C1266" t="s">
        <v>6</v>
      </c>
      <c r="D1266" t="s">
        <v>4348</v>
      </c>
      <c r="F1266" s="1">
        <v>45988</v>
      </c>
      <c r="G1266" t="str">
        <f>IF(Table3[[#This Row],[Top Parent Account]]="",Table3[[#This Row],[Account Legal Name]],Table3[[#This Row],[Top Parent Account]])</f>
        <v>Peliculas Utiles</v>
      </c>
      <c r="H1266" s="1"/>
    </row>
    <row r="1267" spans="1:8" x14ac:dyDescent="0.35">
      <c r="A1267" s="21"/>
      <c r="B1267" t="s">
        <v>1511</v>
      </c>
      <c r="C1267" t="s">
        <v>6</v>
      </c>
      <c r="D1267" t="s">
        <v>4350</v>
      </c>
      <c r="F1267" s="1">
        <v>45988</v>
      </c>
      <c r="G1267" t="str">
        <f>IF(Table3[[#This Row],[Top Parent Account]]="",Table3[[#This Row],[Account Legal Name]],Table3[[#This Row],[Top Parent Account]])</f>
        <v>RegioPak</v>
      </c>
      <c r="H1267" s="1"/>
    </row>
    <row r="1268" spans="1:8" x14ac:dyDescent="0.35">
      <c r="A1268" s="21"/>
      <c r="B1268" t="s">
        <v>77</v>
      </c>
      <c r="C1268" t="s">
        <v>6</v>
      </c>
      <c r="D1268" t="s">
        <v>2390</v>
      </c>
      <c r="F1268" s="1">
        <v>45988</v>
      </c>
      <c r="G1268" t="str">
        <f>IF(Table3[[#This Row],[Top Parent Account]]="",Table3[[#This Row],[Account Legal Name]],Table3[[#This Row],[Top Parent Account]])</f>
        <v>INDUSTRIAS FRIMAR</v>
      </c>
      <c r="H1268" s="1"/>
    </row>
    <row r="1269" spans="1:8" x14ac:dyDescent="0.35">
      <c r="A1269" s="21"/>
      <c r="B1269" t="s">
        <v>169</v>
      </c>
      <c r="C1269" t="s">
        <v>6</v>
      </c>
      <c r="D1269" t="s">
        <v>1784</v>
      </c>
      <c r="F1269" s="1">
        <v>45988</v>
      </c>
      <c r="G1269" t="str">
        <f>IF(Table3[[#This Row],[Top Parent Account]]="",Table3[[#This Row],[Account Legal Name]],Table3[[#This Row],[Top Parent Account]])</f>
        <v>Agropecuaria Foresta y Avícola U</v>
      </c>
      <c r="H1269" s="1"/>
    </row>
    <row r="1270" spans="1:8" x14ac:dyDescent="0.35">
      <c r="A1270" s="21"/>
      <c r="B1270" t="s">
        <v>932</v>
      </c>
      <c r="C1270" t="s">
        <v>1693</v>
      </c>
      <c r="D1270" t="s">
        <v>4349</v>
      </c>
      <c r="F1270" s="1">
        <v>45988</v>
      </c>
      <c r="G1270" t="str">
        <f>IF(Table3[[#This Row],[Top Parent Account]]="",Table3[[#This Row],[Account Legal Name]],Table3[[#This Row],[Top Parent Account]])</f>
        <v>Marmoles Puente</v>
      </c>
      <c r="H1270" s="1"/>
    </row>
    <row r="1271" spans="1:8" x14ac:dyDescent="0.35">
      <c r="A1271" s="21"/>
      <c r="B1271" t="s">
        <v>207</v>
      </c>
      <c r="C1271" t="s">
        <v>6</v>
      </c>
      <c r="D1271" t="s">
        <v>4353</v>
      </c>
      <c r="F1271" s="1">
        <v>45988</v>
      </c>
      <c r="G1271" t="str">
        <f>IF(Table3[[#This Row],[Top Parent Account]]="",Table3[[#This Row],[Account Legal Name]],Table3[[#This Row],[Top Parent Account]])</f>
        <v>JG Troquelados</v>
      </c>
      <c r="H1271" s="1"/>
    </row>
    <row r="1272" spans="1:8" x14ac:dyDescent="0.35">
      <c r="A1272" s="21"/>
      <c r="B1272" t="s">
        <v>23</v>
      </c>
      <c r="C1272" t="s">
        <v>6</v>
      </c>
      <c r="D1272" t="s">
        <v>4354</v>
      </c>
      <c r="F1272" s="1">
        <v>45988</v>
      </c>
      <c r="G1272" t="str">
        <f>IF(Table3[[#This Row],[Top Parent Account]]="",Table3[[#This Row],[Account Legal Name]],Table3[[#This Row],[Top Parent Account]])</f>
        <v>DIEGO CORTES ALVAREZ</v>
      </c>
      <c r="H1272" s="1"/>
    </row>
    <row r="1273" spans="1:8" x14ac:dyDescent="0.35">
      <c r="A1273" s="21"/>
      <c r="B1273" t="s">
        <v>925</v>
      </c>
      <c r="C1273" t="s">
        <v>6</v>
      </c>
      <c r="D1273" t="s">
        <v>4351</v>
      </c>
      <c r="F1273" s="1">
        <v>45988</v>
      </c>
      <c r="G1273" t="str">
        <f>IF(Table3[[#This Row],[Top Parent Account]]="",Table3[[#This Row],[Account Legal Name]],Table3[[#This Row],[Top Parent Account]])</f>
        <v>Enfoque Quimico</v>
      </c>
      <c r="H1273" s="1"/>
    </row>
    <row r="1274" spans="1:8" x14ac:dyDescent="0.35">
      <c r="A1274" s="21"/>
      <c r="B1274" t="s">
        <v>18</v>
      </c>
      <c r="C1274" t="s">
        <v>6</v>
      </c>
      <c r="D1274" t="s">
        <v>1321</v>
      </c>
      <c r="F1274" s="1">
        <v>45988</v>
      </c>
      <c r="G1274" t="str">
        <f>IF(Table3[[#This Row],[Top Parent Account]]="",Table3[[#This Row],[Account Legal Name]],Table3[[#This Row],[Top Parent Account]])</f>
        <v>Transportadora Carga Mundial</v>
      </c>
      <c r="H1274" s="1"/>
    </row>
    <row r="1275" spans="1:8" x14ac:dyDescent="0.35">
      <c r="A1275" s="21"/>
      <c r="B1275" t="s">
        <v>3628</v>
      </c>
      <c r="C1275" t="s">
        <v>6</v>
      </c>
      <c r="D1275" t="s">
        <v>4352</v>
      </c>
      <c r="F1275" s="1">
        <v>45988</v>
      </c>
      <c r="G1275" t="str">
        <f>IF(Table3[[#This Row],[Top Parent Account]]="",Table3[[#This Row],[Account Legal Name]],Table3[[#This Row],[Top Parent Account]])</f>
        <v>Diken International</v>
      </c>
      <c r="H1275" s="1"/>
    </row>
    <row r="1276" spans="1:8" x14ac:dyDescent="0.35">
      <c r="A1276" s="21"/>
      <c r="B1276" t="s">
        <v>3114</v>
      </c>
      <c r="C1276" t="s">
        <v>52</v>
      </c>
      <c r="D1276" t="s">
        <v>4232</v>
      </c>
      <c r="E1276" t="s">
        <v>4233</v>
      </c>
      <c r="F1276" s="1">
        <v>45988</v>
      </c>
      <c r="G1276" t="str">
        <f>IF(Table3[[#This Row],[Top Parent Account]]="",Table3[[#This Row],[Account Legal Name]],Table3[[#This Row],[Top Parent Account]])</f>
        <v>Promotora Ambiental</v>
      </c>
      <c r="H1276" s="1"/>
    </row>
    <row r="1277" spans="1:8" x14ac:dyDescent="0.35">
      <c r="A1277" s="21"/>
      <c r="B1277" t="s">
        <v>2884</v>
      </c>
      <c r="C1277" t="s">
        <v>6</v>
      </c>
      <c r="D1277" t="s">
        <v>3952</v>
      </c>
      <c r="F1277" s="1">
        <v>45988</v>
      </c>
      <c r="G1277" t="str">
        <f>IF(Table3[[#This Row],[Top Parent Account]]="",Table3[[#This Row],[Account Legal Name]],Table3[[#This Row],[Top Parent Account]])</f>
        <v>TELECOMUNICACIONES Y TECNOLOGIAS DEL NOROESTE, S. de R.L. de C.V.</v>
      </c>
      <c r="H1277" s="1"/>
    </row>
    <row r="1278" spans="1:8" x14ac:dyDescent="0.35">
      <c r="A1278" s="21"/>
      <c r="B1278" t="s">
        <v>1006</v>
      </c>
      <c r="C1278" t="s">
        <v>6</v>
      </c>
      <c r="D1278" t="s">
        <v>3039</v>
      </c>
      <c r="F1278" s="1">
        <v>45988</v>
      </c>
      <c r="G1278" t="str">
        <f>IF(Table3[[#This Row],[Top Parent Account]]="",Table3[[#This Row],[Account Legal Name]],Table3[[#This Row],[Top Parent Account]])</f>
        <v>Hospital San José Zamora</v>
      </c>
      <c r="H1278" s="1"/>
    </row>
    <row r="1279" spans="1:8" x14ac:dyDescent="0.35">
      <c r="A1279" s="21"/>
      <c r="B1279" t="s">
        <v>1511</v>
      </c>
      <c r="C1279" t="s">
        <v>6</v>
      </c>
      <c r="D1279" t="s">
        <v>4356</v>
      </c>
      <c r="F1279" s="1">
        <v>45988</v>
      </c>
      <c r="G1279" t="str">
        <f>IF(Table3[[#This Row],[Top Parent Account]]="",Table3[[#This Row],[Account Legal Name]],Table3[[#This Row],[Top Parent Account]])</f>
        <v>Portenntum de México</v>
      </c>
      <c r="H1279" s="1"/>
    </row>
    <row r="1280" spans="1:8" x14ac:dyDescent="0.35">
      <c r="A1280" s="21"/>
      <c r="B1280" t="s">
        <v>12</v>
      </c>
      <c r="C1280" t="s">
        <v>6</v>
      </c>
      <c r="D1280" t="s">
        <v>4355</v>
      </c>
      <c r="F1280" s="1">
        <v>45988</v>
      </c>
      <c r="G1280" t="str">
        <f>IF(Table3[[#This Row],[Top Parent Account]]="",Table3[[#This Row],[Account Legal Name]],Table3[[#This Row],[Top Parent Account]])</f>
        <v>Grupo Bospatex</v>
      </c>
      <c r="H1280" s="1"/>
    </row>
    <row r="1281" spans="1:8" x14ac:dyDescent="0.35">
      <c r="A1281" s="21"/>
      <c r="B1281" t="s">
        <v>3114</v>
      </c>
      <c r="C1281" t="s">
        <v>52</v>
      </c>
      <c r="D1281" t="s">
        <v>4358</v>
      </c>
      <c r="F1281" s="1">
        <v>45988</v>
      </c>
      <c r="G1281" t="str">
        <f>IF(Table3[[#This Row],[Top Parent Account]]="",Table3[[#This Row],[Account Legal Name]],Table3[[#This Row],[Top Parent Account]])</f>
        <v>TRALUBSA</v>
      </c>
      <c r="H1281" s="1"/>
    </row>
    <row r="1282" spans="1:8" x14ac:dyDescent="0.35">
      <c r="A1282" s="21"/>
      <c r="B1282" t="s">
        <v>77</v>
      </c>
      <c r="C1282" t="s">
        <v>6</v>
      </c>
      <c r="D1282" t="s">
        <v>3169</v>
      </c>
      <c r="F1282" s="1">
        <v>45988</v>
      </c>
      <c r="G1282" t="str">
        <f>IF(Table3[[#This Row],[Top Parent Account]]="",Table3[[#This Row],[Account Legal Name]],Table3[[#This Row],[Top Parent Account]])</f>
        <v>Rawmaxx</v>
      </c>
      <c r="H1282" s="1"/>
    </row>
    <row r="1283" spans="1:8" x14ac:dyDescent="0.35">
      <c r="A1283" s="21"/>
      <c r="B1283" t="s">
        <v>28</v>
      </c>
      <c r="C1283" t="s">
        <v>6</v>
      </c>
      <c r="D1283" t="s">
        <v>4357</v>
      </c>
      <c r="F1283" s="1">
        <v>45988</v>
      </c>
      <c r="G1283" t="str">
        <f>IF(Table3[[#This Row],[Top Parent Account]]="",Table3[[#This Row],[Account Legal Name]],Table3[[#This Row],[Top Parent Account]])</f>
        <v>TIENDAS NATURISTA DEPORVIDA</v>
      </c>
      <c r="H1283" s="1"/>
    </row>
    <row r="1284" spans="1:8" x14ac:dyDescent="0.35">
      <c r="A1284" s="21"/>
      <c r="B1284" t="s">
        <v>12</v>
      </c>
      <c r="C1284" t="s">
        <v>6</v>
      </c>
      <c r="D1284" t="s">
        <v>1644</v>
      </c>
      <c r="F1284" s="1">
        <v>45987</v>
      </c>
      <c r="G1284" t="str">
        <f>IF(Table3[[#This Row],[Top Parent Account]]="",Table3[[#This Row],[Account Legal Name]],Table3[[#This Row],[Top Parent Account]])</f>
        <v>Botanas La Lupita</v>
      </c>
      <c r="H1284" s="1"/>
    </row>
    <row r="1285" spans="1:8" x14ac:dyDescent="0.35">
      <c r="A1285" s="21"/>
      <c r="B1285" t="s">
        <v>10</v>
      </c>
      <c r="C1285" t="s">
        <v>6</v>
      </c>
      <c r="D1285" t="s">
        <v>912</v>
      </c>
      <c r="E1285" t="s">
        <v>3554</v>
      </c>
      <c r="F1285" s="1">
        <v>45987</v>
      </c>
      <c r="G1285" t="str">
        <f>IF(Table3[[#This Row],[Top Parent Account]]="",Table3[[#This Row],[Account Legal Name]],Table3[[#This Row],[Top Parent Account]])</f>
        <v>Sesajal</v>
      </c>
      <c r="H1285" s="1"/>
    </row>
    <row r="1286" spans="1:8" x14ac:dyDescent="0.35">
      <c r="A1286" s="21"/>
      <c r="B1286" t="s">
        <v>207</v>
      </c>
      <c r="C1286" t="s">
        <v>6</v>
      </c>
      <c r="D1286" t="s">
        <v>4359</v>
      </c>
      <c r="F1286" s="1">
        <v>45987</v>
      </c>
      <c r="G1286" t="str">
        <f>IF(Table3[[#This Row],[Top Parent Account]]="",Table3[[#This Row],[Account Legal Name]],Table3[[#This Row],[Top Parent Account]])</f>
        <v>Steel Cab</v>
      </c>
      <c r="H1286" s="1"/>
    </row>
    <row r="1287" spans="1:8" x14ac:dyDescent="0.35">
      <c r="A1287" s="21"/>
      <c r="B1287" t="s">
        <v>3114</v>
      </c>
      <c r="C1287" t="s">
        <v>52</v>
      </c>
      <c r="D1287" t="s">
        <v>3237</v>
      </c>
      <c r="F1287" s="1">
        <v>45987</v>
      </c>
      <c r="G1287" t="str">
        <f>IF(Table3[[#This Row],[Top Parent Account]]="",Table3[[#This Row],[Account Legal Name]],Table3[[#This Row],[Top Parent Account]])</f>
        <v>Ranchacero</v>
      </c>
      <c r="H1287" s="1"/>
    </row>
    <row r="1288" spans="1:8" x14ac:dyDescent="0.35">
      <c r="A1288" s="21"/>
      <c r="B1288" t="s">
        <v>3628</v>
      </c>
      <c r="C1288" t="s">
        <v>6</v>
      </c>
      <c r="D1288" t="s">
        <v>4361</v>
      </c>
      <c r="F1288" s="1">
        <v>45987</v>
      </c>
      <c r="G1288" t="str">
        <f>IF(Table3[[#This Row],[Top Parent Account]]="",Table3[[#This Row],[Account Legal Name]],Table3[[#This Row],[Top Parent Account]])</f>
        <v>Bromo Productos Químicos</v>
      </c>
      <c r="H1288" s="1"/>
    </row>
    <row r="1289" spans="1:8" x14ac:dyDescent="0.35">
      <c r="A1289" s="21"/>
      <c r="B1289" t="s">
        <v>28</v>
      </c>
      <c r="C1289" t="s">
        <v>6</v>
      </c>
      <c r="D1289" t="s">
        <v>4362</v>
      </c>
      <c r="F1289" s="1">
        <v>45987</v>
      </c>
      <c r="G1289" t="str">
        <f>IF(Table3[[#This Row],[Top Parent Account]]="",Table3[[#This Row],[Account Legal Name]],Table3[[#This Row],[Top Parent Account]])</f>
        <v>Abastecedora De Carnes Los Corrales</v>
      </c>
      <c r="H1289" s="1"/>
    </row>
    <row r="1290" spans="1:8" x14ac:dyDescent="0.35">
      <c r="A1290" s="21"/>
      <c r="B1290" t="s">
        <v>1006</v>
      </c>
      <c r="C1290" t="s">
        <v>6</v>
      </c>
      <c r="D1290" t="s">
        <v>4360</v>
      </c>
      <c r="F1290" s="1">
        <v>45987</v>
      </c>
      <c r="G1290" t="str">
        <f>IF(Table3[[#This Row],[Top Parent Account]]="",Table3[[#This Row],[Account Legal Name]],Table3[[#This Row],[Top Parent Account]])</f>
        <v>Grupo Typ De Jalisco</v>
      </c>
      <c r="H1290" s="1"/>
    </row>
    <row r="1291" spans="1:8" x14ac:dyDescent="0.35">
      <c r="A1291" s="21"/>
      <c r="B1291" t="s">
        <v>925</v>
      </c>
      <c r="C1291" t="s">
        <v>6</v>
      </c>
      <c r="D1291" t="s">
        <v>826</v>
      </c>
      <c r="F1291" s="1">
        <v>45987</v>
      </c>
      <c r="G1291" t="str">
        <f>IF(Table3[[#This Row],[Top Parent Account]]="",Table3[[#This Row],[Account Legal Name]],Table3[[#This Row],[Top Parent Account]])</f>
        <v>ELASTOMEROS TAZA</v>
      </c>
      <c r="H1291" s="1"/>
    </row>
    <row r="1292" spans="1:8" x14ac:dyDescent="0.35">
      <c r="A1292" s="21"/>
      <c r="B1292" t="s">
        <v>77</v>
      </c>
      <c r="C1292" t="s">
        <v>6</v>
      </c>
      <c r="D1292" t="s">
        <v>2535</v>
      </c>
      <c r="F1292" s="1">
        <v>45987</v>
      </c>
      <c r="G1292" t="str">
        <f>IF(Table3[[#This Row],[Top Parent Account]]="",Table3[[#This Row],[Account Legal Name]],Table3[[#This Row],[Top Parent Account]])</f>
        <v>ARQCON J+E</v>
      </c>
      <c r="H1292" s="1"/>
    </row>
    <row r="1293" spans="1:8" x14ac:dyDescent="0.35">
      <c r="A1293" s="21"/>
      <c r="B1293" t="s">
        <v>3092</v>
      </c>
      <c r="C1293" t="s">
        <v>6</v>
      </c>
      <c r="D1293" t="s">
        <v>628</v>
      </c>
      <c r="F1293" s="1">
        <v>45987</v>
      </c>
      <c r="G1293" t="str">
        <f>IF(Table3[[#This Row],[Top Parent Account]]="",Table3[[#This Row],[Account Legal Name]],Table3[[#This Row],[Top Parent Account]])</f>
        <v>Envases Plásticos Industriales De Guadalajara</v>
      </c>
      <c r="H1293" s="1"/>
    </row>
    <row r="1294" spans="1:8" x14ac:dyDescent="0.35">
      <c r="A1294" s="21"/>
      <c r="B1294" t="s">
        <v>121</v>
      </c>
      <c r="C1294" t="s">
        <v>6</v>
      </c>
      <c r="D1294" t="s">
        <v>4364</v>
      </c>
      <c r="F1294" s="1">
        <v>45987</v>
      </c>
      <c r="G1294" t="str">
        <f>IF(Table3[[#This Row],[Top Parent Account]]="",Table3[[#This Row],[Account Legal Name]],Table3[[#This Row],[Top Parent Account]])</f>
        <v>AGRICOLA COMERCIAL DE LA TRINIDAD</v>
      </c>
      <c r="H1294" s="1"/>
    </row>
    <row r="1295" spans="1:8" x14ac:dyDescent="0.35">
      <c r="A1295" s="21"/>
      <c r="B1295" t="s">
        <v>169</v>
      </c>
      <c r="C1295" t="s">
        <v>6</v>
      </c>
      <c r="D1295" t="s">
        <v>4365</v>
      </c>
      <c r="F1295" s="1">
        <v>45987</v>
      </c>
      <c r="G1295" t="str">
        <f>IF(Table3[[#This Row],[Top Parent Account]]="",Table3[[#This Row],[Account Legal Name]],Table3[[#This Row],[Top Parent Account]])</f>
        <v>KIRU PHARMA</v>
      </c>
      <c r="H1295" s="1"/>
    </row>
    <row r="1296" spans="1:8" x14ac:dyDescent="0.35">
      <c r="A1296" s="21"/>
      <c r="B1296" t="s">
        <v>116</v>
      </c>
      <c r="C1296" t="s">
        <v>6</v>
      </c>
      <c r="D1296" t="s">
        <v>4363</v>
      </c>
      <c r="F1296" s="1">
        <v>45987</v>
      </c>
      <c r="G1296" t="str">
        <f>IF(Table3[[#This Row],[Top Parent Account]]="",Table3[[#This Row],[Account Legal Name]],Table3[[#This Row],[Top Parent Account]])</f>
        <v>Industrias Ochoa Mexicana</v>
      </c>
      <c r="H1296" s="1"/>
    </row>
    <row r="1297" spans="1:8" x14ac:dyDescent="0.35">
      <c r="A1297" s="21"/>
      <c r="B1297" t="s">
        <v>88</v>
      </c>
      <c r="C1297" t="s">
        <v>22</v>
      </c>
      <c r="D1297" t="s">
        <v>4366</v>
      </c>
      <c r="F1297" s="1">
        <v>45987</v>
      </c>
      <c r="G1297" t="str">
        <f>IF(Table3[[#This Row],[Top Parent Account]]="",Table3[[#This Row],[Account Legal Name]],Table3[[#This Row],[Top Parent Account]])</f>
        <v>GRUPO MONTESSORI DE QUERETARO</v>
      </c>
      <c r="H1297" s="1"/>
    </row>
    <row r="1298" spans="1:8" x14ac:dyDescent="0.35">
      <c r="A1298" s="21"/>
      <c r="B1298" t="s">
        <v>2912</v>
      </c>
      <c r="C1298" t="s">
        <v>6</v>
      </c>
      <c r="D1298" t="s">
        <v>1426</v>
      </c>
      <c r="F1298" s="1">
        <v>45987</v>
      </c>
      <c r="G1298" t="str">
        <f>IF(Table3[[#This Row],[Top Parent Account]]="",Table3[[#This Row],[Account Legal Name]],Table3[[#This Row],[Top Parent Account]])</f>
        <v>Silodisa Servicio Integral De Logística y Distribución</v>
      </c>
      <c r="H1298" s="1"/>
    </row>
    <row r="1299" spans="1:8" x14ac:dyDescent="0.35">
      <c r="A1299" s="21"/>
      <c r="B1299" t="s">
        <v>2884</v>
      </c>
      <c r="C1299" t="s">
        <v>6</v>
      </c>
      <c r="D1299" t="s">
        <v>1044</v>
      </c>
      <c r="F1299" s="1">
        <v>45987</v>
      </c>
      <c r="G1299" t="str">
        <f>IF(Table3[[#This Row],[Top Parent Account]]="",Table3[[#This Row],[Account Legal Name]],Table3[[#This Row],[Top Parent Account]])</f>
        <v>MONTAJES INDUSTRIALES MYCA</v>
      </c>
      <c r="H1299" s="1"/>
    </row>
    <row r="1300" spans="1:8" x14ac:dyDescent="0.35">
      <c r="A1300" s="21"/>
      <c r="B1300" t="s">
        <v>10</v>
      </c>
      <c r="C1300" t="s">
        <v>6</v>
      </c>
      <c r="D1300" t="s">
        <v>476</v>
      </c>
      <c r="F1300" s="1">
        <v>45987</v>
      </c>
      <c r="G1300" t="str">
        <f>IF(Table3[[#This Row],[Top Parent Account]]="",Table3[[#This Row],[Account Legal Name]],Table3[[#This Row],[Top Parent Account]])</f>
        <v>Litografía D Ortega</v>
      </c>
      <c r="H1300" s="1"/>
    </row>
    <row r="1301" spans="1:8" x14ac:dyDescent="0.35">
      <c r="A1301" s="21"/>
      <c r="B1301" t="s">
        <v>3628</v>
      </c>
      <c r="C1301" t="s">
        <v>6</v>
      </c>
      <c r="D1301" t="s">
        <v>737</v>
      </c>
      <c r="F1301" s="1">
        <v>45987</v>
      </c>
      <c r="G1301" t="str">
        <f>IF(Table3[[#This Row],[Top Parent Account]]="",Table3[[#This Row],[Account Legal Name]],Table3[[#This Row],[Top Parent Account]])</f>
        <v>Abastecedora De Carnes San Gabriel</v>
      </c>
      <c r="H1301" s="1"/>
    </row>
    <row r="1302" spans="1:8" x14ac:dyDescent="0.35">
      <c r="A1302" s="21"/>
      <c r="B1302" t="s">
        <v>14</v>
      </c>
      <c r="C1302" t="s">
        <v>4367</v>
      </c>
      <c r="D1302" t="s">
        <v>2437</v>
      </c>
      <c r="F1302" s="1">
        <v>45987</v>
      </c>
      <c r="G1302" t="str">
        <f>IF(Table3[[#This Row],[Top Parent Account]]="",Table3[[#This Row],[Account Legal Name]],Table3[[#This Row],[Top Parent Account]])</f>
        <v>DISPAC</v>
      </c>
      <c r="H1302" s="1"/>
    </row>
    <row r="1303" spans="1:8" x14ac:dyDescent="0.35">
      <c r="A1303" s="21"/>
      <c r="B1303" t="s">
        <v>1006</v>
      </c>
      <c r="C1303" t="s">
        <v>6</v>
      </c>
      <c r="D1303" t="s">
        <v>4215</v>
      </c>
      <c r="E1303" t="s">
        <v>2141</v>
      </c>
      <c r="F1303" s="1">
        <v>45987</v>
      </c>
      <c r="G1303" t="str">
        <f>IF(Table3[[#This Row],[Top Parent Account]]="",Table3[[#This Row],[Account Legal Name]],Table3[[#This Row],[Top Parent Account]])</f>
        <v>Refacciones y Servicio Automotriz Denisse</v>
      </c>
      <c r="H1303" s="1"/>
    </row>
    <row r="1304" spans="1:8" x14ac:dyDescent="0.35">
      <c r="A1304" s="21"/>
      <c r="B1304" t="s">
        <v>77</v>
      </c>
      <c r="C1304" t="s">
        <v>6</v>
      </c>
      <c r="D1304" t="s">
        <v>4217</v>
      </c>
      <c r="F1304" s="1">
        <v>45987</v>
      </c>
      <c r="G1304" t="str">
        <f>IF(Table3[[#This Row],[Top Parent Account]]="",Table3[[#This Row],[Account Legal Name]],Table3[[#This Row],[Top Parent Account]])</f>
        <v>DEM INDUSTRIAL</v>
      </c>
      <c r="H1304" s="1"/>
    </row>
    <row r="1305" spans="1:8" x14ac:dyDescent="0.35">
      <c r="A1305" s="21"/>
      <c r="B1305" t="s">
        <v>39</v>
      </c>
      <c r="C1305" t="s">
        <v>4368</v>
      </c>
      <c r="D1305" t="s">
        <v>1023</v>
      </c>
      <c r="E1305" t="s">
        <v>1024</v>
      </c>
      <c r="F1305" s="1">
        <v>45987</v>
      </c>
      <c r="G1305" t="str">
        <f>IF(Table3[[#This Row],[Top Parent Account]]="",Table3[[#This Row],[Account Legal Name]],Table3[[#This Row],[Top Parent Account]])</f>
        <v>Quimmco</v>
      </c>
      <c r="H1305" s="1"/>
    </row>
    <row r="1306" spans="1:8" x14ac:dyDescent="0.35">
      <c r="A1306" s="21"/>
      <c r="B1306" t="s">
        <v>70</v>
      </c>
      <c r="C1306" t="s">
        <v>22</v>
      </c>
      <c r="D1306" t="s">
        <v>971</v>
      </c>
      <c r="F1306" s="1">
        <v>45986</v>
      </c>
      <c r="G1306" t="str">
        <f>IF(Table3[[#This Row],[Top Parent Account]]="",Table3[[#This Row],[Account Legal Name]],Table3[[#This Row],[Top Parent Account]])</f>
        <v>Endomédica</v>
      </c>
      <c r="H1306" s="1"/>
    </row>
    <row r="1307" spans="1:8" x14ac:dyDescent="0.35">
      <c r="A1307" s="21"/>
      <c r="B1307" t="s">
        <v>12</v>
      </c>
      <c r="C1307" t="s">
        <v>6</v>
      </c>
      <c r="D1307" t="s">
        <v>2534</v>
      </c>
      <c r="F1307" s="1">
        <v>45986</v>
      </c>
      <c r="G1307" t="str">
        <f>IF(Table3[[#This Row],[Top Parent Account]]="",Table3[[#This Row],[Account Legal Name]],Table3[[#This Row],[Top Parent Account]])</f>
        <v>TOR CAPITAL GLOBAL</v>
      </c>
      <c r="H1307" s="1"/>
    </row>
    <row r="1308" spans="1:8" x14ac:dyDescent="0.35">
      <c r="A1308" s="21"/>
      <c r="B1308" t="s">
        <v>3182</v>
      </c>
      <c r="C1308" t="s">
        <v>22</v>
      </c>
      <c r="D1308" t="s">
        <v>4369</v>
      </c>
      <c r="F1308" s="1">
        <v>45986</v>
      </c>
      <c r="G1308" t="str">
        <f>IF(Table3[[#This Row],[Top Parent Account]]="",Table3[[#This Row],[Account Legal Name]],Table3[[#This Row],[Top Parent Account]])</f>
        <v>Distribuidora De Generadores</v>
      </c>
      <c r="H1308" s="1"/>
    </row>
    <row r="1309" spans="1:8" x14ac:dyDescent="0.35">
      <c r="A1309" s="21"/>
      <c r="B1309" t="s">
        <v>28</v>
      </c>
      <c r="C1309" t="s">
        <v>6</v>
      </c>
      <c r="D1309" t="s">
        <v>4370</v>
      </c>
      <c r="F1309" s="1">
        <v>45986</v>
      </c>
      <c r="G1309" t="str">
        <f>IF(Table3[[#This Row],[Top Parent Account]]="",Table3[[#This Row],[Account Legal Name]],Table3[[#This Row],[Top Parent Account]])</f>
        <v>Carlos Epifanio Segovia Mijares</v>
      </c>
      <c r="H1309" s="1"/>
    </row>
    <row r="1310" spans="1:8" x14ac:dyDescent="0.35">
      <c r="A1310" s="21"/>
      <c r="B1310" t="s">
        <v>1006</v>
      </c>
      <c r="C1310" t="s">
        <v>6</v>
      </c>
      <c r="D1310" t="s">
        <v>4282</v>
      </c>
      <c r="F1310" s="1">
        <v>45986</v>
      </c>
      <c r="G1310" t="str">
        <f>IF(Table3[[#This Row],[Top Parent Account]]="",Table3[[#This Row],[Account Legal Name]],Table3[[#This Row],[Top Parent Account]])</f>
        <v>ELITE FARMS</v>
      </c>
      <c r="H1310" s="1"/>
    </row>
    <row r="1311" spans="1:8" x14ac:dyDescent="0.35">
      <c r="A1311" s="21"/>
      <c r="B1311" t="s">
        <v>2912</v>
      </c>
      <c r="C1311" t="s">
        <v>6</v>
      </c>
      <c r="D1311" t="s">
        <v>4371</v>
      </c>
      <c r="F1311" s="1">
        <v>45986</v>
      </c>
      <c r="G1311" t="str">
        <f>IF(Table3[[#This Row],[Top Parent Account]]="",Table3[[#This Row],[Account Legal Name]],Table3[[#This Row],[Top Parent Account]])</f>
        <v>Midea México</v>
      </c>
      <c r="H1311" s="1"/>
    </row>
    <row r="1312" spans="1:8" x14ac:dyDescent="0.35">
      <c r="A1312" s="21"/>
      <c r="B1312" t="s">
        <v>3114</v>
      </c>
      <c r="C1312" t="s">
        <v>52</v>
      </c>
      <c r="D1312" t="s">
        <v>4372</v>
      </c>
      <c r="F1312" s="1">
        <v>45986</v>
      </c>
      <c r="G1312" t="str">
        <f>IF(Table3[[#This Row],[Top Parent Account]]="",Table3[[#This Row],[Account Legal Name]],Table3[[#This Row],[Top Parent Account]])</f>
        <v>ACEROS Y HERRAMIENTAS MONTERREY</v>
      </c>
      <c r="H1312" s="1"/>
    </row>
    <row r="1313" spans="1:8" x14ac:dyDescent="0.35">
      <c r="A1313" s="21"/>
      <c r="B1313" t="s">
        <v>77</v>
      </c>
      <c r="C1313" t="s">
        <v>6</v>
      </c>
      <c r="D1313" t="s">
        <v>4373</v>
      </c>
      <c r="F1313" s="1">
        <v>45986</v>
      </c>
      <c r="G1313" t="str">
        <f>IF(Table3[[#This Row],[Top Parent Account]]="",Table3[[#This Row],[Account Legal Name]],Table3[[#This Row],[Top Parent Account]])</f>
        <v>RECILOGIC INDUSTRIAL COMPANY</v>
      </c>
      <c r="H1313" s="1"/>
    </row>
    <row r="1314" spans="1:8" x14ac:dyDescent="0.35">
      <c r="A1314" s="21"/>
      <c r="B1314" t="s">
        <v>1006</v>
      </c>
      <c r="C1314" t="s">
        <v>6</v>
      </c>
      <c r="D1314" t="s">
        <v>2360</v>
      </c>
      <c r="F1314" s="1">
        <v>45986</v>
      </c>
      <c r="G1314" t="str">
        <f>IF(Table3[[#This Row],[Top Parent Account]]="",Table3[[#This Row],[Account Legal Name]],Table3[[#This Row],[Top Parent Account]])</f>
        <v>Operadora Mexicana de Chile</v>
      </c>
      <c r="H1314" s="1"/>
    </row>
    <row r="1315" spans="1:8" x14ac:dyDescent="0.35">
      <c r="A1315" s="21"/>
      <c r="B1315" t="s">
        <v>24</v>
      </c>
      <c r="C1315" t="s">
        <v>6</v>
      </c>
      <c r="D1315" t="s">
        <v>4374</v>
      </c>
      <c r="F1315" s="1">
        <v>45986</v>
      </c>
      <c r="G1315" t="str">
        <f>IF(Table3[[#This Row],[Top Parent Account]]="",Table3[[#This Row],[Account Legal Name]],Table3[[#This Row],[Top Parent Account]])</f>
        <v>Industrias Lec</v>
      </c>
      <c r="H1315" s="1"/>
    </row>
    <row r="1316" spans="1:8" x14ac:dyDescent="0.35">
      <c r="A1316" s="21"/>
      <c r="B1316" t="s">
        <v>18</v>
      </c>
      <c r="C1316" t="s">
        <v>6</v>
      </c>
      <c r="D1316" t="s">
        <v>898</v>
      </c>
      <c r="F1316" s="1">
        <v>45986</v>
      </c>
      <c r="G1316" t="str">
        <f>IF(Table3[[#This Row],[Top Parent Account]]="",Table3[[#This Row],[Account Legal Name]],Table3[[#This Row],[Top Parent Account]])</f>
        <v>Bash Ingenieria</v>
      </c>
      <c r="H1316" s="1"/>
    </row>
    <row r="1317" spans="1:8" x14ac:dyDescent="0.35">
      <c r="A1317" s="21"/>
      <c r="B1317" t="s">
        <v>24</v>
      </c>
      <c r="C1317" t="s">
        <v>6</v>
      </c>
      <c r="D1317" t="s">
        <v>4375</v>
      </c>
      <c r="F1317" s="1">
        <v>45986</v>
      </c>
      <c r="G1317" t="str">
        <f>IF(Table3[[#This Row],[Top Parent Account]]="",Table3[[#This Row],[Account Legal Name]],Table3[[#This Row],[Top Parent Account]])</f>
        <v>Grupo Cdex</v>
      </c>
      <c r="H1317" s="1"/>
    </row>
    <row r="1318" spans="1:8" x14ac:dyDescent="0.35">
      <c r="A1318" s="21"/>
      <c r="B1318" t="s">
        <v>3129</v>
      </c>
      <c r="C1318" t="s">
        <v>6</v>
      </c>
      <c r="D1318" t="s">
        <v>4376</v>
      </c>
      <c r="F1318" s="1">
        <v>45986</v>
      </c>
      <c r="G1318" t="str">
        <f>IF(Table3[[#This Row],[Top Parent Account]]="",Table3[[#This Row],[Account Legal Name]],Table3[[#This Row],[Top Parent Account]])</f>
        <v>Neta Systems</v>
      </c>
      <c r="H1318" s="1"/>
    </row>
    <row r="1319" spans="1:8" x14ac:dyDescent="0.35">
      <c r="A1319" s="21"/>
      <c r="B1319" t="s">
        <v>14</v>
      </c>
      <c r="C1319" t="s">
        <v>6</v>
      </c>
      <c r="D1319" t="s">
        <v>575</v>
      </c>
      <c r="F1319" s="1">
        <v>45986</v>
      </c>
      <c r="G1319" t="str">
        <f>IF(Table3[[#This Row],[Top Parent Account]]="",Table3[[#This Row],[Account Legal Name]],Table3[[#This Row],[Top Parent Account]])</f>
        <v>Metalistik</v>
      </c>
      <c r="H1319" s="1"/>
    </row>
    <row r="1320" spans="1:8" x14ac:dyDescent="0.35">
      <c r="A1320" s="21"/>
      <c r="B1320" t="s">
        <v>37</v>
      </c>
      <c r="C1320" t="s">
        <v>6</v>
      </c>
      <c r="D1320" t="s">
        <v>600</v>
      </c>
      <c r="F1320" s="1">
        <v>45986</v>
      </c>
      <c r="G1320" t="str">
        <f>IF(Table3[[#This Row],[Top Parent Account]]="",Table3[[#This Row],[Account Legal Name]],Table3[[#This Row],[Top Parent Account]])</f>
        <v>CGM Alimentos</v>
      </c>
      <c r="H1320" s="1"/>
    </row>
    <row r="1321" spans="1:8" x14ac:dyDescent="0.35">
      <c r="A1321" s="21"/>
      <c r="B1321" t="s">
        <v>169</v>
      </c>
      <c r="C1321" t="s">
        <v>6</v>
      </c>
      <c r="D1321" t="s">
        <v>4377</v>
      </c>
      <c r="F1321" s="1">
        <v>45986</v>
      </c>
      <c r="G1321" t="str">
        <f>IF(Table3[[#This Row],[Top Parent Account]]="",Table3[[#This Row],[Account Legal Name]],Table3[[#This Row],[Top Parent Account]])</f>
        <v>Prosalud Mutuus</v>
      </c>
      <c r="H1321" s="1"/>
    </row>
    <row r="1322" spans="1:8" x14ac:dyDescent="0.35">
      <c r="A1322" s="21"/>
      <c r="B1322" t="s">
        <v>88</v>
      </c>
      <c r="C1322" t="s">
        <v>22</v>
      </c>
      <c r="D1322" t="s">
        <v>2262</v>
      </c>
      <c r="F1322" s="1">
        <v>45986</v>
      </c>
      <c r="G1322" t="str">
        <f>IF(Table3[[#This Row],[Top Parent Account]]="",Table3[[#This Row],[Account Legal Name]],Table3[[#This Row],[Top Parent Account]])</f>
        <v>Glezco Supply</v>
      </c>
      <c r="H1322" s="1"/>
    </row>
    <row r="1323" spans="1:8" x14ac:dyDescent="0.35">
      <c r="A1323" s="21"/>
      <c r="B1323" t="s">
        <v>3129</v>
      </c>
      <c r="C1323" t="s">
        <v>6</v>
      </c>
      <c r="D1323" t="s">
        <v>4378</v>
      </c>
      <c r="F1323" s="1">
        <v>45986</v>
      </c>
      <c r="G1323" t="str">
        <f>IF(Table3[[#This Row],[Top Parent Account]]="",Table3[[#This Row],[Account Legal Name]],Table3[[#This Row],[Top Parent Account]])</f>
        <v>Personales Consultoria y Servicios One Para Media &amp; Broadcast</v>
      </c>
      <c r="H1323" s="1"/>
    </row>
    <row r="1324" spans="1:8" x14ac:dyDescent="0.35">
      <c r="A1324" s="21"/>
      <c r="B1324" t="s">
        <v>88</v>
      </c>
      <c r="C1324" t="s">
        <v>6</v>
      </c>
      <c r="D1324" t="s">
        <v>4379</v>
      </c>
      <c r="E1324" t="s">
        <v>4380</v>
      </c>
      <c r="F1324" s="1">
        <v>45986</v>
      </c>
      <c r="G1324" t="str">
        <f>IF(Table3[[#This Row],[Top Parent Account]]="",Table3[[#This Row],[Account Legal Name]],Table3[[#This Row],[Top Parent Account]])</f>
        <v>Aurum Ortus México Mining Development</v>
      </c>
      <c r="H1324" s="1"/>
    </row>
    <row r="1325" spans="1:8" x14ac:dyDescent="0.35">
      <c r="A1325" s="21"/>
      <c r="B1325" t="s">
        <v>3553</v>
      </c>
      <c r="C1325" t="s">
        <v>6</v>
      </c>
      <c r="D1325" t="s">
        <v>4381</v>
      </c>
      <c r="F1325" s="1">
        <v>45986</v>
      </c>
      <c r="G1325" t="str">
        <f>IF(Table3[[#This Row],[Top Parent Account]]="",Table3[[#This Row],[Account Legal Name]],Table3[[#This Row],[Top Parent Account]])</f>
        <v>EPAR</v>
      </c>
      <c r="H1325" s="1"/>
    </row>
    <row r="1326" spans="1:8" x14ac:dyDescent="0.35">
      <c r="A1326" s="21"/>
      <c r="B1326" t="s">
        <v>10</v>
      </c>
      <c r="C1326" t="s">
        <v>6</v>
      </c>
      <c r="D1326" t="s">
        <v>79</v>
      </c>
      <c r="F1326" s="1">
        <v>45986</v>
      </c>
      <c r="G1326" t="str">
        <f>IF(Table3[[#This Row],[Top Parent Account]]="",Table3[[#This Row],[Account Legal Name]],Table3[[#This Row],[Top Parent Account]])</f>
        <v>Cereales y Pastas</v>
      </c>
      <c r="H1326" s="1"/>
    </row>
    <row r="1327" spans="1:8" x14ac:dyDescent="0.35">
      <c r="A1327" s="21"/>
      <c r="B1327" t="s">
        <v>2345</v>
      </c>
      <c r="C1327" t="s">
        <v>6</v>
      </c>
      <c r="D1327" t="s">
        <v>4292</v>
      </c>
      <c r="F1327" s="1">
        <v>45986</v>
      </c>
      <c r="G1327" t="str">
        <f>IF(Table3[[#This Row],[Top Parent Account]]="",Table3[[#This Row],[Account Legal Name]],Table3[[#This Row],[Top Parent Account]])</f>
        <v>Xtrapak</v>
      </c>
      <c r="H1327" s="1"/>
    </row>
    <row r="1328" spans="1:8" x14ac:dyDescent="0.35">
      <c r="A1328" s="21"/>
      <c r="B1328" t="s">
        <v>970</v>
      </c>
      <c r="C1328" t="s">
        <v>6</v>
      </c>
      <c r="D1328" t="s">
        <v>4263</v>
      </c>
      <c r="F1328" s="1">
        <v>45986</v>
      </c>
      <c r="G1328" t="str">
        <f>IF(Table3[[#This Row],[Top Parent Account]]="",Table3[[#This Row],[Account Legal Name]],Table3[[#This Row],[Top Parent Account]])</f>
        <v>Merck</v>
      </c>
      <c r="H1328" s="1"/>
    </row>
    <row r="1329" spans="1:8" x14ac:dyDescent="0.35">
      <c r="A1329" s="21"/>
      <c r="B1329" t="s">
        <v>3628</v>
      </c>
      <c r="C1329" t="s">
        <v>6</v>
      </c>
      <c r="D1329" t="s">
        <v>1879</v>
      </c>
      <c r="E1329" t="s">
        <v>1880</v>
      </c>
      <c r="F1329" s="1">
        <v>45986</v>
      </c>
      <c r="G1329" t="str">
        <f>IF(Table3[[#This Row],[Top Parent Account]]="",Table3[[#This Row],[Account Legal Name]],Table3[[#This Row],[Top Parent Account]])</f>
        <v>Iamdmex</v>
      </c>
      <c r="H1329" s="1"/>
    </row>
    <row r="1330" spans="1:8" x14ac:dyDescent="0.35">
      <c r="A1330" s="21"/>
      <c r="B1330" t="s">
        <v>18</v>
      </c>
      <c r="C1330" t="s">
        <v>6</v>
      </c>
      <c r="D1330" t="s">
        <v>1127</v>
      </c>
      <c r="F1330" s="1">
        <v>45985</v>
      </c>
      <c r="G1330" t="str">
        <f>IF(Table3[[#This Row],[Top Parent Account]]="",Table3[[#This Row],[Account Legal Name]],Table3[[#This Row],[Top Parent Account]])</f>
        <v>Lerma Garcia Transportes</v>
      </c>
      <c r="H1330" s="1"/>
    </row>
    <row r="1331" spans="1:8" x14ac:dyDescent="0.35">
      <c r="A1331" s="21"/>
      <c r="B1331" t="s">
        <v>18</v>
      </c>
      <c r="C1331" t="s">
        <v>22</v>
      </c>
      <c r="D1331" t="s">
        <v>4382</v>
      </c>
      <c r="F1331" s="1">
        <v>45985</v>
      </c>
      <c r="G1331" t="str">
        <f>IF(Table3[[#This Row],[Top Parent Account]]="",Table3[[#This Row],[Account Legal Name]],Table3[[#This Row],[Top Parent Account]])</f>
        <v>Grupo Valfer</v>
      </c>
      <c r="H1331" s="1"/>
    </row>
    <row r="1332" spans="1:8" x14ac:dyDescent="0.35">
      <c r="A1332" s="21"/>
      <c r="B1332" t="s">
        <v>3092</v>
      </c>
      <c r="C1332" t="s">
        <v>6</v>
      </c>
      <c r="D1332" t="s">
        <v>4383</v>
      </c>
      <c r="F1332" s="1">
        <v>45985</v>
      </c>
      <c r="G1332" t="str">
        <f>IF(Table3[[#This Row],[Top Parent Account]]="",Table3[[#This Row],[Account Legal Name]],Table3[[#This Row],[Top Parent Account]])</f>
        <v>Tejidos y muebles artesanales</v>
      </c>
      <c r="H1332" s="1"/>
    </row>
    <row r="1333" spans="1:8" x14ac:dyDescent="0.35">
      <c r="A1333" s="21"/>
      <c r="B1333" t="s">
        <v>88</v>
      </c>
      <c r="C1333" t="s">
        <v>6</v>
      </c>
      <c r="D1333" t="s">
        <v>1088</v>
      </c>
      <c r="F1333" s="1">
        <v>45985</v>
      </c>
      <c r="G1333" t="str">
        <f>IF(Table3[[#This Row],[Top Parent Account]]="",Table3[[#This Row],[Account Legal Name]],Table3[[#This Row],[Top Parent Account]])</f>
        <v>PROCUREMENT PROFESIONAL MEDICAL SERVICES</v>
      </c>
      <c r="H1333" s="1"/>
    </row>
    <row r="1334" spans="1:8" x14ac:dyDescent="0.35">
      <c r="A1334" s="21"/>
      <c r="B1334" t="s">
        <v>24</v>
      </c>
      <c r="C1334" t="s">
        <v>6</v>
      </c>
      <c r="D1334" t="s">
        <v>4384</v>
      </c>
      <c r="F1334" s="1">
        <v>45985</v>
      </c>
      <c r="G1334" t="str">
        <f>IF(Table3[[#This Row],[Top Parent Account]]="",Table3[[#This Row],[Account Legal Name]],Table3[[#This Row],[Top Parent Account]])</f>
        <v>Limpieza Inteligente</v>
      </c>
      <c r="H1334" s="1"/>
    </row>
    <row r="1335" spans="1:8" x14ac:dyDescent="0.35">
      <c r="A1335" s="21"/>
      <c r="B1335" t="s">
        <v>43</v>
      </c>
      <c r="C1335" t="s">
        <v>6</v>
      </c>
      <c r="D1335" t="s">
        <v>4385</v>
      </c>
      <c r="F1335" s="1">
        <v>45985</v>
      </c>
      <c r="G1335" t="str">
        <f>IF(Table3[[#This Row],[Top Parent Account]]="",Table3[[#This Row],[Account Legal Name]],Table3[[#This Row],[Top Parent Account]])</f>
        <v>IBL</v>
      </c>
      <c r="H1335" s="1"/>
    </row>
    <row r="1336" spans="1:8" x14ac:dyDescent="0.35">
      <c r="A1336" s="21"/>
      <c r="B1336" t="s">
        <v>1131</v>
      </c>
      <c r="C1336" t="s">
        <v>6</v>
      </c>
      <c r="D1336" t="s">
        <v>4386</v>
      </c>
      <c r="F1336" s="1">
        <v>45985</v>
      </c>
      <c r="G1336" t="str">
        <f>IF(Table3[[#This Row],[Top Parent Account]]="",Table3[[#This Row],[Account Legal Name]],Table3[[#This Row],[Top Parent Account]])</f>
        <v>Quimagro Industrial</v>
      </c>
      <c r="H1336" s="1"/>
    </row>
    <row r="1337" spans="1:8" x14ac:dyDescent="0.35">
      <c r="A1337" s="21"/>
      <c r="B1337" t="s">
        <v>18</v>
      </c>
      <c r="C1337" t="s">
        <v>6</v>
      </c>
      <c r="D1337" t="s">
        <v>2383</v>
      </c>
      <c r="F1337" s="1">
        <v>45985</v>
      </c>
      <c r="G1337" t="str">
        <f>IF(Table3[[#This Row],[Top Parent Account]]="",Table3[[#This Row],[Account Legal Name]],Table3[[#This Row],[Top Parent Account]])</f>
        <v>PIECSA</v>
      </c>
      <c r="H1337" s="1"/>
    </row>
    <row r="1338" spans="1:8" x14ac:dyDescent="0.35">
      <c r="A1338" s="21"/>
      <c r="B1338" t="s">
        <v>121</v>
      </c>
      <c r="C1338" t="s">
        <v>6</v>
      </c>
      <c r="D1338" t="s">
        <v>4387</v>
      </c>
      <c r="F1338" s="1">
        <v>45985</v>
      </c>
      <c r="G1338" t="str">
        <f>IF(Table3[[#This Row],[Top Parent Account]]="",Table3[[#This Row],[Account Legal Name]],Table3[[#This Row],[Top Parent Account]])</f>
        <v>Corrugados Heavy Box</v>
      </c>
      <c r="H1338" s="1"/>
    </row>
    <row r="1339" spans="1:8" x14ac:dyDescent="0.35">
      <c r="A1339" s="21"/>
      <c r="B1339" t="s">
        <v>56</v>
      </c>
      <c r="C1339" t="s">
        <v>6</v>
      </c>
      <c r="D1339" t="s">
        <v>4388</v>
      </c>
      <c r="F1339" s="1">
        <v>45985</v>
      </c>
      <c r="G1339" t="str">
        <f>IF(Table3[[#This Row],[Top Parent Account]]="",Table3[[#This Row],[Account Legal Name]],Table3[[#This Row],[Top Parent Account]])</f>
        <v>Grupo Rimova</v>
      </c>
      <c r="H1339" s="1"/>
    </row>
    <row r="1340" spans="1:8" x14ac:dyDescent="0.35">
      <c r="A1340" s="21"/>
      <c r="B1340" t="s">
        <v>88</v>
      </c>
      <c r="C1340" t="s">
        <v>6</v>
      </c>
      <c r="D1340" t="s">
        <v>4389</v>
      </c>
      <c r="F1340" s="1">
        <v>45985</v>
      </c>
      <c r="G1340" t="str">
        <f>IF(Table3[[#This Row],[Top Parent Account]]="",Table3[[#This Row],[Account Legal Name]],Table3[[#This Row],[Top Parent Account]])</f>
        <v>Agrícola Tres Torres</v>
      </c>
      <c r="H1340" s="1"/>
    </row>
    <row r="1341" spans="1:8" x14ac:dyDescent="0.35">
      <c r="A1341" s="21"/>
      <c r="B1341" t="s">
        <v>3114</v>
      </c>
      <c r="C1341" t="s">
        <v>52</v>
      </c>
      <c r="D1341" t="s">
        <v>3644</v>
      </c>
      <c r="F1341" s="1">
        <v>45985</v>
      </c>
      <c r="G1341" t="str">
        <f>IF(Table3[[#This Row],[Top Parent Account]]="",Table3[[#This Row],[Account Legal Name]],Table3[[#This Row],[Top Parent Account]])</f>
        <v>Emergent cold Latam</v>
      </c>
      <c r="H1341" s="1"/>
    </row>
    <row r="1342" spans="1:8" x14ac:dyDescent="0.35">
      <c r="A1342" s="21"/>
      <c r="B1342" t="s">
        <v>1006</v>
      </c>
      <c r="C1342" t="s">
        <v>6</v>
      </c>
      <c r="D1342" t="s">
        <v>3590</v>
      </c>
      <c r="F1342" s="1">
        <v>45985</v>
      </c>
      <c r="G1342" t="str">
        <f>IF(Table3[[#This Row],[Top Parent Account]]="",Table3[[#This Row],[Account Legal Name]],Table3[[#This Row],[Top Parent Account]])</f>
        <v>Frescar</v>
      </c>
      <c r="H1342" s="1"/>
    </row>
    <row r="1343" spans="1:8" x14ac:dyDescent="0.35">
      <c r="A1343" s="21"/>
      <c r="B1343" t="s">
        <v>3114</v>
      </c>
      <c r="C1343" t="s">
        <v>52</v>
      </c>
      <c r="D1343" t="s">
        <v>3538</v>
      </c>
      <c r="F1343" s="1">
        <v>45985</v>
      </c>
      <c r="G1343" t="str">
        <f>IF(Table3[[#This Row],[Top Parent Account]]="",Table3[[#This Row],[Account Legal Name]],Table3[[#This Row],[Top Parent Account]])</f>
        <v>Quick Shine Cleaning Service</v>
      </c>
      <c r="H1343" s="1"/>
    </row>
    <row r="1344" spans="1:8" x14ac:dyDescent="0.35">
      <c r="A1344" s="21"/>
      <c r="B1344" t="s">
        <v>1131</v>
      </c>
      <c r="C1344" t="s">
        <v>6</v>
      </c>
      <c r="D1344" t="s">
        <v>1207</v>
      </c>
      <c r="E1344" t="s">
        <v>1208</v>
      </c>
      <c r="F1344" s="1">
        <v>45984</v>
      </c>
      <c r="G1344" t="str">
        <f>IF(Table3[[#This Row],[Top Parent Account]]="",Table3[[#This Row],[Account Legal Name]],Table3[[#This Row],[Top Parent Account]])</f>
        <v>Grupo Alerta</v>
      </c>
      <c r="H1344" s="1"/>
    </row>
    <row r="1345" spans="1:8" x14ac:dyDescent="0.35">
      <c r="A1345" s="21"/>
      <c r="B1345" t="s">
        <v>12</v>
      </c>
      <c r="C1345" t="s">
        <v>6</v>
      </c>
      <c r="D1345" t="s">
        <v>704</v>
      </c>
      <c r="F1345" s="1">
        <v>45982</v>
      </c>
      <c r="G1345" t="str">
        <f>IF(Table3[[#This Row],[Top Parent Account]]="",Table3[[#This Row],[Account Legal Name]],Table3[[#This Row],[Top Parent Account]])</f>
        <v>CICLO CORPORATIVO</v>
      </c>
      <c r="H1345" s="1"/>
    </row>
    <row r="1346" spans="1:8" x14ac:dyDescent="0.35">
      <c r="A1346" s="21"/>
      <c r="B1346" t="s">
        <v>1006</v>
      </c>
      <c r="C1346" t="s">
        <v>6</v>
      </c>
      <c r="D1346" t="s">
        <v>4282</v>
      </c>
      <c r="F1346" s="1">
        <v>45982</v>
      </c>
      <c r="G1346" t="str">
        <f>IF(Table3[[#This Row],[Top Parent Account]]="",Table3[[#This Row],[Account Legal Name]],Table3[[#This Row],[Top Parent Account]])</f>
        <v>ELITE FARMS</v>
      </c>
      <c r="H1346" s="1"/>
    </row>
    <row r="1347" spans="1:8" x14ac:dyDescent="0.35">
      <c r="A1347" s="21"/>
      <c r="B1347" t="s">
        <v>25</v>
      </c>
      <c r="C1347" t="s">
        <v>6</v>
      </c>
      <c r="D1347" t="s">
        <v>4283</v>
      </c>
      <c r="F1347" s="1">
        <v>45982</v>
      </c>
      <c r="G1347" t="str">
        <f>IF(Table3[[#This Row],[Top Parent Account]]="",Table3[[#This Row],[Account Legal Name]],Table3[[#This Row],[Top Parent Account]])</f>
        <v>CIMA DEL TAJIN</v>
      </c>
      <c r="H1347" s="1"/>
    </row>
    <row r="1348" spans="1:8" x14ac:dyDescent="0.35">
      <c r="A1348" s="21"/>
      <c r="B1348" t="s">
        <v>12</v>
      </c>
      <c r="C1348" t="s">
        <v>6</v>
      </c>
      <c r="D1348" t="s">
        <v>2188</v>
      </c>
      <c r="F1348" s="1">
        <v>45982</v>
      </c>
      <c r="G1348" t="str">
        <f>IF(Table3[[#This Row],[Top Parent Account]]="",Table3[[#This Row],[Account Legal Name]],Table3[[#This Row],[Top Parent Account]])</f>
        <v>Metal Tec Industrial</v>
      </c>
      <c r="H1348" s="1"/>
    </row>
    <row r="1349" spans="1:8" x14ac:dyDescent="0.35">
      <c r="A1349" s="21"/>
      <c r="B1349" t="s">
        <v>12</v>
      </c>
      <c r="C1349" t="s">
        <v>6</v>
      </c>
      <c r="D1349" t="s">
        <v>1134</v>
      </c>
      <c r="E1349" t="s">
        <v>1136</v>
      </c>
      <c r="F1349" s="1">
        <v>45982</v>
      </c>
      <c r="G1349" t="str">
        <f>IF(Table3[[#This Row],[Top Parent Account]]="",Table3[[#This Row],[Account Legal Name]],Table3[[#This Row],[Top Parent Account]])</f>
        <v>Grupo cardín</v>
      </c>
      <c r="H1349" s="1"/>
    </row>
    <row r="1350" spans="1:8" x14ac:dyDescent="0.35">
      <c r="A1350" s="21"/>
      <c r="B1350" t="s">
        <v>989</v>
      </c>
      <c r="C1350" t="s">
        <v>6</v>
      </c>
      <c r="D1350" t="s">
        <v>4286</v>
      </c>
      <c r="F1350" s="1">
        <v>45982</v>
      </c>
      <c r="G1350" t="str">
        <f>IF(Table3[[#This Row],[Top Parent Account]]="",Table3[[#This Row],[Account Legal Name]],Table3[[#This Row],[Top Parent Account]])</f>
        <v>Mas Altura</v>
      </c>
      <c r="H1350" s="1"/>
    </row>
    <row r="1351" spans="1:8" x14ac:dyDescent="0.35">
      <c r="A1351" s="21"/>
      <c r="B1351" t="s">
        <v>12</v>
      </c>
      <c r="C1351" t="s">
        <v>6</v>
      </c>
      <c r="D1351" t="s">
        <v>4287</v>
      </c>
      <c r="F1351" s="1">
        <v>45982</v>
      </c>
      <c r="G1351" t="str">
        <f>IF(Table3[[#This Row],[Top Parent Account]]="",Table3[[#This Row],[Account Legal Name]],Table3[[#This Row],[Top Parent Account]])</f>
        <v>Alimentos Balanceados Lorgam</v>
      </c>
      <c r="H1351" s="1"/>
    </row>
    <row r="1352" spans="1:8" x14ac:dyDescent="0.35">
      <c r="A1352" s="21"/>
      <c r="B1352" t="s">
        <v>12</v>
      </c>
      <c r="C1352" t="s">
        <v>6</v>
      </c>
      <c r="D1352" t="s">
        <v>1091</v>
      </c>
      <c r="F1352" s="1">
        <v>45982</v>
      </c>
      <c r="G1352" t="str">
        <f>IF(Table3[[#This Row],[Top Parent Account]]="",Table3[[#This Row],[Account Legal Name]],Table3[[#This Row],[Top Parent Account]])</f>
        <v>Ocean Leader</v>
      </c>
      <c r="H1352" s="1"/>
    </row>
    <row r="1353" spans="1:8" x14ac:dyDescent="0.35">
      <c r="A1353" s="21"/>
      <c r="B1353" t="s">
        <v>3093</v>
      </c>
      <c r="C1353" t="s">
        <v>6</v>
      </c>
      <c r="D1353" t="s">
        <v>4284</v>
      </c>
      <c r="F1353" s="1">
        <v>45982</v>
      </c>
      <c r="G1353" t="str">
        <f>IF(Table3[[#This Row],[Top Parent Account]]="",Table3[[#This Row],[Account Legal Name]],Table3[[#This Row],[Top Parent Account]])</f>
        <v>El Surtidor De Observatorio</v>
      </c>
      <c r="H1353" s="1"/>
    </row>
    <row r="1354" spans="1:8" x14ac:dyDescent="0.35">
      <c r="A1354" s="21"/>
      <c r="B1354" t="s">
        <v>12</v>
      </c>
      <c r="C1354" t="s">
        <v>6</v>
      </c>
      <c r="D1354" t="s">
        <v>4285</v>
      </c>
      <c r="F1354" s="1">
        <v>45982</v>
      </c>
      <c r="G1354" t="str">
        <f>IF(Table3[[#This Row],[Top Parent Account]]="",Table3[[#This Row],[Account Legal Name]],Table3[[#This Row],[Top Parent Account]])</f>
        <v>Empaques Mayan</v>
      </c>
      <c r="H1354" s="1"/>
    </row>
    <row r="1355" spans="1:8" x14ac:dyDescent="0.35">
      <c r="A1355" s="21"/>
      <c r="B1355" t="s">
        <v>989</v>
      </c>
      <c r="C1355" t="s">
        <v>6</v>
      </c>
      <c r="D1355" t="s">
        <v>2351</v>
      </c>
      <c r="F1355" s="1">
        <v>45982</v>
      </c>
      <c r="G1355" t="str">
        <f>IF(Table3[[#This Row],[Top Parent Account]]="",Table3[[#This Row],[Account Legal Name]],Table3[[#This Row],[Top Parent Account]])</f>
        <v>Tubos y Depresibles Mexicanos</v>
      </c>
      <c r="H1355" s="1"/>
    </row>
    <row r="1356" spans="1:8" x14ac:dyDescent="0.35">
      <c r="A1356" s="21"/>
      <c r="B1356" t="s">
        <v>989</v>
      </c>
      <c r="C1356" t="s">
        <v>6</v>
      </c>
      <c r="D1356" t="s">
        <v>1117</v>
      </c>
      <c r="F1356" s="1">
        <v>45982</v>
      </c>
      <c r="G1356" t="str">
        <f>IF(Table3[[#This Row],[Top Parent Account]]="",Table3[[#This Row],[Account Legal Name]],Table3[[#This Row],[Top Parent Account]])</f>
        <v>Pastas Alimenticias Laziali</v>
      </c>
      <c r="H1356" s="1"/>
    </row>
    <row r="1357" spans="1:8" x14ac:dyDescent="0.35">
      <c r="A1357" s="21"/>
      <c r="B1357" t="s">
        <v>989</v>
      </c>
      <c r="C1357" t="s">
        <v>6</v>
      </c>
      <c r="D1357" t="s">
        <v>4225</v>
      </c>
      <c r="F1357" s="1">
        <v>45982</v>
      </c>
      <c r="G1357" t="str">
        <f>IF(Table3[[#This Row],[Top Parent Account]]="",Table3[[#This Row],[Account Legal Name]],Table3[[#This Row],[Top Parent Account]])</f>
        <v>Additius International</v>
      </c>
      <c r="H1357" s="1"/>
    </row>
    <row r="1358" spans="1:8" x14ac:dyDescent="0.35">
      <c r="A1358" s="21"/>
      <c r="B1358" t="s">
        <v>207</v>
      </c>
      <c r="C1358" t="s">
        <v>6</v>
      </c>
      <c r="D1358" t="s">
        <v>3692</v>
      </c>
      <c r="F1358" s="1">
        <v>45982</v>
      </c>
      <c r="G1358" t="str">
        <f>IF(Table3[[#This Row],[Top Parent Account]]="",Table3[[#This Row],[Account Legal Name]],Table3[[#This Row],[Top Parent Account]])</f>
        <v>MEXOCHEM CORPORATIVO</v>
      </c>
      <c r="H1358" s="1"/>
    </row>
    <row r="1359" spans="1:8" x14ac:dyDescent="0.35">
      <c r="A1359" s="21"/>
      <c r="B1359" t="s">
        <v>37</v>
      </c>
      <c r="C1359" t="s">
        <v>6</v>
      </c>
      <c r="D1359" t="s">
        <v>4288</v>
      </c>
      <c r="F1359" s="1">
        <v>45982</v>
      </c>
      <c r="G1359" t="str">
        <f>IF(Table3[[#This Row],[Top Parent Account]]="",Table3[[#This Row],[Account Legal Name]],Table3[[#This Row],[Top Parent Account]])</f>
        <v>GCT AGROPECUARIA Y GANADERA</v>
      </c>
      <c r="H1359" s="1"/>
    </row>
    <row r="1360" spans="1:8" x14ac:dyDescent="0.35">
      <c r="A1360" s="21"/>
      <c r="B1360" t="s">
        <v>932</v>
      </c>
      <c r="C1360" t="s">
        <v>6</v>
      </c>
      <c r="D1360" t="s">
        <v>3272</v>
      </c>
      <c r="F1360" s="1">
        <v>45982</v>
      </c>
      <c r="G1360" t="str">
        <f>IF(Table3[[#This Row],[Top Parent Account]]="",Table3[[#This Row],[Account Legal Name]],Table3[[#This Row],[Top Parent Account]])</f>
        <v>Euro Games Technology</v>
      </c>
      <c r="H1360" s="1"/>
    </row>
    <row r="1361" spans="1:8" x14ac:dyDescent="0.35">
      <c r="A1361" s="21"/>
      <c r="B1361" t="s">
        <v>77</v>
      </c>
      <c r="C1361" t="s">
        <v>6</v>
      </c>
      <c r="D1361" t="s">
        <v>250</v>
      </c>
      <c r="F1361" s="1">
        <v>45982</v>
      </c>
      <c r="G1361" t="str">
        <f>IF(Table3[[#This Row],[Top Parent Account]]="",Table3[[#This Row],[Account Legal Name]],Table3[[#This Row],[Top Parent Account]])</f>
        <v>TRANSPORTE FANY</v>
      </c>
      <c r="H1361" s="1"/>
    </row>
    <row r="1362" spans="1:8" x14ac:dyDescent="0.35">
      <c r="A1362" s="21"/>
      <c r="B1362" t="s">
        <v>10</v>
      </c>
      <c r="C1362" t="s">
        <v>6</v>
      </c>
      <c r="D1362" t="s">
        <v>296</v>
      </c>
      <c r="F1362" s="1">
        <v>45982</v>
      </c>
      <c r="G1362" t="str">
        <f>IF(Table3[[#This Row],[Top Parent Account]]="",Table3[[#This Row],[Account Legal Name]],Table3[[#This Row],[Top Parent Account]])</f>
        <v>Express Mg</v>
      </c>
      <c r="H1362" s="1"/>
    </row>
    <row r="1363" spans="1:8" x14ac:dyDescent="0.35">
      <c r="A1363" s="21"/>
      <c r="B1363" t="s">
        <v>280</v>
      </c>
      <c r="C1363" t="s">
        <v>6</v>
      </c>
      <c r="D1363" t="s">
        <v>4226</v>
      </c>
      <c r="E1363" t="s">
        <v>48</v>
      </c>
      <c r="F1363" s="1">
        <v>45982</v>
      </c>
      <c r="G1363" t="str">
        <f>IF(Table3[[#This Row],[Top Parent Account]]="",Table3[[#This Row],[Account Legal Name]],Table3[[#This Row],[Top Parent Account]])</f>
        <v>Navistar México</v>
      </c>
      <c r="H1363" s="1"/>
    </row>
    <row r="1364" spans="1:8" x14ac:dyDescent="0.35">
      <c r="A1364" s="21"/>
      <c r="B1364" t="s">
        <v>70</v>
      </c>
      <c r="C1364" t="s">
        <v>22</v>
      </c>
      <c r="D1364" t="s">
        <v>448</v>
      </c>
      <c r="F1364" s="1">
        <v>45982</v>
      </c>
      <c r="G1364" t="str">
        <f>IF(Table3[[#This Row],[Top Parent Account]]="",Table3[[#This Row],[Account Legal Name]],Table3[[#This Row],[Top Parent Account]])</f>
        <v>Osteomedica</v>
      </c>
      <c r="H1364" s="1"/>
    </row>
    <row r="1365" spans="1:8" x14ac:dyDescent="0.35">
      <c r="A1365" s="21"/>
      <c r="B1365" t="s">
        <v>932</v>
      </c>
      <c r="C1365" t="s">
        <v>4227</v>
      </c>
      <c r="D1365" t="s">
        <v>3685</v>
      </c>
      <c r="E1365" t="s">
        <v>3686</v>
      </c>
      <c r="F1365" s="1">
        <v>45982</v>
      </c>
      <c r="G1365" t="str">
        <f>IF(Table3[[#This Row],[Top Parent Account]]="",Table3[[#This Row],[Account Legal Name]],Table3[[#This Row],[Top Parent Account]])</f>
        <v>Union Quimica</v>
      </c>
      <c r="H1365" s="1"/>
    </row>
    <row r="1366" spans="1:8" x14ac:dyDescent="0.35">
      <c r="A1366" s="21"/>
      <c r="B1366" t="s">
        <v>1131</v>
      </c>
      <c r="C1366" t="s">
        <v>6</v>
      </c>
      <c r="D1366" t="s">
        <v>2465</v>
      </c>
      <c r="F1366" s="1">
        <v>45981</v>
      </c>
      <c r="G1366" t="str">
        <f>IF(Table3[[#This Row],[Top Parent Account]]="",Table3[[#This Row],[Account Legal Name]],Table3[[#This Row],[Top Parent Account]])</f>
        <v>ACUICOLA BREYEAN</v>
      </c>
      <c r="H1366" s="1"/>
    </row>
    <row r="1367" spans="1:8" x14ac:dyDescent="0.35">
      <c r="A1367" s="21"/>
      <c r="B1367" t="s">
        <v>84</v>
      </c>
      <c r="C1367" t="s">
        <v>4228</v>
      </c>
      <c r="D1367" t="s">
        <v>4229</v>
      </c>
      <c r="F1367" s="1">
        <v>45981</v>
      </c>
      <c r="G1367" t="str">
        <f>IF(Table3[[#This Row],[Top Parent Account]]="",Table3[[#This Row],[Account Legal Name]],Table3[[#This Row],[Top Parent Account]])</f>
        <v>RCI EMPAQUES</v>
      </c>
      <c r="H1367" s="1"/>
    </row>
    <row r="1368" spans="1:8" x14ac:dyDescent="0.35">
      <c r="A1368" s="21"/>
      <c r="B1368" t="s">
        <v>3553</v>
      </c>
      <c r="C1368" t="s">
        <v>6</v>
      </c>
      <c r="D1368" t="s">
        <v>4230</v>
      </c>
      <c r="F1368" s="1">
        <v>45981</v>
      </c>
      <c r="G1368" t="str">
        <f>IF(Table3[[#This Row],[Top Parent Account]]="",Table3[[#This Row],[Account Legal Name]],Table3[[#This Row],[Top Parent Account]])</f>
        <v>LA DUEÑA</v>
      </c>
      <c r="H1368" s="1"/>
    </row>
    <row r="1369" spans="1:8" x14ac:dyDescent="0.35">
      <c r="A1369" s="21"/>
      <c r="B1369" t="s">
        <v>32</v>
      </c>
      <c r="C1369" t="s">
        <v>6</v>
      </c>
      <c r="D1369" t="s">
        <v>953</v>
      </c>
      <c r="F1369" s="1">
        <v>45981</v>
      </c>
      <c r="G1369" t="str">
        <f>IF(Table3[[#This Row],[Top Parent Account]]="",Table3[[#This Row],[Account Legal Name]],Table3[[#This Row],[Top Parent Account]])</f>
        <v>Kensa Logistics México</v>
      </c>
      <c r="H1369" s="1"/>
    </row>
    <row r="1370" spans="1:8" x14ac:dyDescent="0.35">
      <c r="A1370" s="21"/>
      <c r="B1370" t="s">
        <v>70</v>
      </c>
      <c r="C1370" t="s">
        <v>6</v>
      </c>
      <c r="D1370" t="s">
        <v>517</v>
      </c>
      <c r="F1370" s="1">
        <v>45981</v>
      </c>
      <c r="G1370" t="str">
        <f>IF(Table3[[#This Row],[Top Parent Account]]="",Table3[[#This Row],[Account Legal Name]],Table3[[#This Row],[Top Parent Account]])</f>
        <v>CBH+ en Innovación Médica</v>
      </c>
      <c r="H1370" s="1"/>
    </row>
    <row r="1371" spans="1:8" x14ac:dyDescent="0.35">
      <c r="A1371" s="21"/>
      <c r="B1371" t="s">
        <v>172</v>
      </c>
      <c r="C1371" t="s">
        <v>6</v>
      </c>
      <c r="D1371" t="s">
        <v>1165</v>
      </c>
      <c r="F1371" s="1">
        <v>45981</v>
      </c>
      <c r="G1371" t="str">
        <f>IF(Table3[[#This Row],[Top Parent Account]]="",Table3[[#This Row],[Account Legal Name]],Table3[[#This Row],[Top Parent Account]])</f>
        <v>Trebotti</v>
      </c>
      <c r="H1371" s="1"/>
    </row>
    <row r="1372" spans="1:8" x14ac:dyDescent="0.35">
      <c r="A1372" s="21"/>
      <c r="B1372" t="s">
        <v>70</v>
      </c>
      <c r="C1372" t="s">
        <v>6</v>
      </c>
      <c r="D1372" t="s">
        <v>533</v>
      </c>
      <c r="E1372" t="s">
        <v>236</v>
      </c>
      <c r="F1372" s="1">
        <v>45981</v>
      </c>
      <c r="G1372" t="str">
        <f>IF(Table3[[#This Row],[Top Parent Account]]="",Table3[[#This Row],[Account Legal Name]],Table3[[#This Row],[Top Parent Account]])</f>
        <v>Grupo Smurfit</v>
      </c>
      <c r="H1372" s="1"/>
    </row>
    <row r="1373" spans="1:8" x14ac:dyDescent="0.35">
      <c r="A1373" s="21"/>
      <c r="B1373" t="s">
        <v>28</v>
      </c>
      <c r="C1373" t="s">
        <v>6</v>
      </c>
      <c r="D1373" t="s">
        <v>4390</v>
      </c>
      <c r="F1373" s="1">
        <v>45981</v>
      </c>
      <c r="G1373" t="str">
        <f>IF(Table3[[#This Row],[Top Parent Account]]="",Table3[[#This Row],[Account Legal Name]],Table3[[#This Row],[Top Parent Account]])</f>
        <v>REGIO POLIDUCTOS</v>
      </c>
      <c r="H1373" s="1"/>
    </row>
    <row r="1374" spans="1:8" x14ac:dyDescent="0.35">
      <c r="A1374" s="21"/>
      <c r="B1374" t="s">
        <v>3129</v>
      </c>
      <c r="C1374" t="s">
        <v>6</v>
      </c>
      <c r="D1374" t="s">
        <v>494</v>
      </c>
      <c r="F1374" s="1">
        <v>45981</v>
      </c>
      <c r="G1374" t="str">
        <f>IF(Table3[[#This Row],[Top Parent Account]]="",Table3[[#This Row],[Account Legal Name]],Table3[[#This Row],[Top Parent Account]])</f>
        <v>ISL TRANSPORTES</v>
      </c>
      <c r="H1374" s="1"/>
    </row>
    <row r="1375" spans="1:8" x14ac:dyDescent="0.35">
      <c r="A1375" s="21"/>
      <c r="B1375" t="s">
        <v>10</v>
      </c>
      <c r="C1375" t="s">
        <v>6</v>
      </c>
      <c r="D1375" t="s">
        <v>4231</v>
      </c>
      <c r="E1375" t="s">
        <v>752</v>
      </c>
      <c r="F1375" s="1">
        <v>45981</v>
      </c>
      <c r="G1375" t="str">
        <f>IF(Table3[[#This Row],[Top Parent Account]]="",Table3[[#This Row],[Account Legal Name]],Table3[[#This Row],[Top Parent Account]])</f>
        <v>Bemis de México</v>
      </c>
      <c r="H1375" s="1"/>
    </row>
    <row r="1376" spans="1:8" x14ac:dyDescent="0.35">
      <c r="A1376" s="21"/>
      <c r="B1376" t="s">
        <v>3114</v>
      </c>
      <c r="C1376" t="s">
        <v>52</v>
      </c>
      <c r="D1376" t="s">
        <v>4232</v>
      </c>
      <c r="E1376" t="s">
        <v>4233</v>
      </c>
      <c r="F1376" s="1">
        <v>45981</v>
      </c>
      <c r="G1376" t="str">
        <f>IF(Table3[[#This Row],[Top Parent Account]]="",Table3[[#This Row],[Account Legal Name]],Table3[[#This Row],[Top Parent Account]])</f>
        <v>Promotora Ambiental</v>
      </c>
      <c r="H1376" s="1"/>
    </row>
    <row r="1377" spans="1:8" x14ac:dyDescent="0.35">
      <c r="A1377" s="21"/>
      <c r="B1377" t="s">
        <v>37</v>
      </c>
      <c r="C1377" t="s">
        <v>6</v>
      </c>
      <c r="D1377" t="s">
        <v>4234</v>
      </c>
      <c r="F1377" s="1">
        <v>45981</v>
      </c>
      <c r="G1377" t="str">
        <f>IF(Table3[[#This Row],[Top Parent Account]]="",Table3[[#This Row],[Account Legal Name]],Table3[[#This Row],[Top Parent Account]])</f>
        <v>Gold Data</v>
      </c>
      <c r="H1377" s="1"/>
    </row>
    <row r="1378" spans="1:8" x14ac:dyDescent="0.35">
      <c r="A1378" s="21"/>
      <c r="B1378" t="s">
        <v>38</v>
      </c>
      <c r="C1378" t="s">
        <v>6</v>
      </c>
      <c r="D1378" t="s">
        <v>4235</v>
      </c>
      <c r="F1378" s="1">
        <v>45981</v>
      </c>
      <c r="G1378" t="str">
        <f>IF(Table3[[#This Row],[Top Parent Account]]="",Table3[[#This Row],[Account Legal Name]],Table3[[#This Row],[Top Parent Account]])</f>
        <v>Irizar México</v>
      </c>
      <c r="H1378" s="1"/>
    </row>
    <row r="1379" spans="1:8" x14ac:dyDescent="0.35">
      <c r="A1379" s="21"/>
      <c r="B1379" t="s">
        <v>12</v>
      </c>
      <c r="C1379" t="s">
        <v>6</v>
      </c>
      <c r="D1379" t="s">
        <v>557</v>
      </c>
      <c r="F1379" s="1">
        <v>45981</v>
      </c>
      <c r="G1379" t="str">
        <f>IF(Table3[[#This Row],[Top Parent Account]]="",Table3[[#This Row],[Account Legal Name]],Table3[[#This Row],[Top Parent Account]])</f>
        <v>Celulares y Accesorios del Sureste S.A.</v>
      </c>
      <c r="H1379" s="1"/>
    </row>
    <row r="1380" spans="1:8" x14ac:dyDescent="0.35">
      <c r="A1380" s="21"/>
      <c r="B1380" t="s">
        <v>172</v>
      </c>
      <c r="C1380" t="s">
        <v>6</v>
      </c>
      <c r="D1380" t="s">
        <v>1769</v>
      </c>
      <c r="F1380" s="1">
        <v>45981</v>
      </c>
      <c r="G1380" t="str">
        <f>IF(Table3[[#This Row],[Top Parent Account]]="",Table3[[#This Row],[Account Legal Name]],Table3[[#This Row],[Top Parent Account]])</f>
        <v>Grupo Minero Dumas México</v>
      </c>
      <c r="H1380" s="1"/>
    </row>
    <row r="1381" spans="1:8" x14ac:dyDescent="0.35">
      <c r="A1381" s="21"/>
      <c r="B1381" t="s">
        <v>3114</v>
      </c>
      <c r="C1381" t="s">
        <v>52</v>
      </c>
      <c r="D1381" t="s">
        <v>4236</v>
      </c>
      <c r="F1381" s="1">
        <v>45981</v>
      </c>
      <c r="G1381" t="str">
        <f>IF(Table3[[#This Row],[Top Parent Account]]="",Table3[[#This Row],[Account Legal Name]],Table3[[#This Row],[Top Parent Account]])</f>
        <v>8TRADE</v>
      </c>
      <c r="H1381" s="1"/>
    </row>
    <row r="1382" spans="1:8" x14ac:dyDescent="0.35">
      <c r="A1382" s="21"/>
      <c r="B1382" t="s">
        <v>26</v>
      </c>
      <c r="C1382" t="s">
        <v>6</v>
      </c>
      <c r="D1382" t="s">
        <v>4237</v>
      </c>
      <c r="F1382" s="1">
        <v>45981</v>
      </c>
      <c r="G1382" t="str">
        <f>IF(Table3[[#This Row],[Top Parent Account]]="",Table3[[#This Row],[Account Legal Name]],Table3[[#This Row],[Top Parent Account]])</f>
        <v>Toyota Motor De Mexico</v>
      </c>
      <c r="H1382" s="1"/>
    </row>
    <row r="1383" spans="1:8" x14ac:dyDescent="0.35">
      <c r="A1383" s="21"/>
      <c r="B1383" t="s">
        <v>56</v>
      </c>
      <c r="C1383" t="s">
        <v>6</v>
      </c>
      <c r="D1383" t="s">
        <v>2427</v>
      </c>
      <c r="F1383" s="1">
        <v>45981</v>
      </c>
      <c r="G1383" t="str">
        <f>IF(Table3[[#This Row],[Top Parent Account]]="",Table3[[#This Row],[Account Legal Name]],Table3[[#This Row],[Top Parent Account]])</f>
        <v>Comercializadora De Frecuencias Satelitales</v>
      </c>
      <c r="H1383" s="1"/>
    </row>
    <row r="1384" spans="1:8" x14ac:dyDescent="0.35">
      <c r="A1384" s="21"/>
      <c r="B1384" t="s">
        <v>121</v>
      </c>
      <c r="C1384" t="s">
        <v>6</v>
      </c>
      <c r="D1384" t="s">
        <v>232</v>
      </c>
      <c r="F1384" s="1">
        <v>45981</v>
      </c>
      <c r="G1384" t="str">
        <f>IF(Table3[[#This Row],[Top Parent Account]]="",Table3[[#This Row],[Account Legal Name]],Table3[[#This Row],[Top Parent Account]])</f>
        <v>Aro Asfaltos y Riegos de Occidente</v>
      </c>
      <c r="H1384" s="1"/>
    </row>
    <row r="1385" spans="1:8" x14ac:dyDescent="0.35">
      <c r="A1385" s="21"/>
      <c r="B1385" t="s">
        <v>121</v>
      </c>
      <c r="C1385" t="s">
        <v>6</v>
      </c>
      <c r="D1385" t="s">
        <v>604</v>
      </c>
      <c r="F1385" s="1">
        <v>45981</v>
      </c>
      <c r="G1385" t="str">
        <f>IF(Table3[[#This Row],[Top Parent Account]]="",Table3[[#This Row],[Account Legal Name]],Table3[[#This Row],[Top Parent Account]])</f>
        <v>GRUPO AGC INTERNACIONAL</v>
      </c>
      <c r="H1385" s="1"/>
    </row>
    <row r="1386" spans="1:8" x14ac:dyDescent="0.35">
      <c r="A1386" s="21"/>
      <c r="B1386" t="s">
        <v>1131</v>
      </c>
      <c r="C1386" t="s">
        <v>6</v>
      </c>
      <c r="D1386" t="s">
        <v>4391</v>
      </c>
      <c r="F1386" s="1">
        <v>45981</v>
      </c>
      <c r="G1386" t="str">
        <f>IF(Table3[[#This Row],[Top Parent Account]]="",Table3[[#This Row],[Account Legal Name]],Table3[[#This Row],[Top Parent Account]])</f>
        <v>AGRO EXPORTADORA SAN DIEGO</v>
      </c>
      <c r="H1386" s="1"/>
    </row>
    <row r="1387" spans="1:8" x14ac:dyDescent="0.35">
      <c r="A1387" s="21"/>
      <c r="B1387" t="s">
        <v>77</v>
      </c>
      <c r="C1387" t="s">
        <v>6</v>
      </c>
      <c r="D1387" t="s">
        <v>4392</v>
      </c>
      <c r="F1387" s="1">
        <v>45981</v>
      </c>
      <c r="G1387" t="str">
        <f>IF(Table3[[#This Row],[Top Parent Account]]="",Table3[[#This Row],[Account Legal Name]],Table3[[#This Row],[Top Parent Account]])</f>
        <v>Ferreterias Construrey</v>
      </c>
      <c r="H1387" s="1"/>
    </row>
    <row r="1388" spans="1:8" x14ac:dyDescent="0.35">
      <c r="A1388" s="21"/>
      <c r="B1388" t="s">
        <v>39</v>
      </c>
      <c r="C1388" t="s">
        <v>4238</v>
      </c>
      <c r="D1388" t="s">
        <v>4239</v>
      </c>
      <c r="F1388" s="1">
        <v>45981</v>
      </c>
      <c r="G1388" t="str">
        <f>IF(Table3[[#This Row],[Top Parent Account]]="",Table3[[#This Row],[Account Legal Name]],Table3[[#This Row],[Top Parent Account]])</f>
        <v>Compania Isdamar</v>
      </c>
      <c r="H1388" s="1"/>
    </row>
    <row r="1389" spans="1:8" x14ac:dyDescent="0.35">
      <c r="A1389" s="21"/>
      <c r="B1389" t="s">
        <v>280</v>
      </c>
      <c r="C1389" t="s">
        <v>6</v>
      </c>
      <c r="D1389" t="s">
        <v>4393</v>
      </c>
      <c r="F1389" s="1">
        <v>45981</v>
      </c>
      <c r="G1389" t="str">
        <f>IF(Table3[[#This Row],[Top Parent Account]]="",Table3[[#This Row],[Account Legal Name]],Table3[[#This Row],[Top Parent Account]])</f>
        <v>RANGO</v>
      </c>
      <c r="H1389" s="1"/>
    </row>
    <row r="1390" spans="1:8" x14ac:dyDescent="0.35">
      <c r="A1390" s="21"/>
      <c r="B1390" t="s">
        <v>70</v>
      </c>
      <c r="C1390" t="s">
        <v>6</v>
      </c>
      <c r="D1390" t="s">
        <v>4289</v>
      </c>
      <c r="F1390" s="1">
        <v>45981</v>
      </c>
      <c r="G1390" t="str">
        <f>IF(Table3[[#This Row],[Top Parent Account]]="",Table3[[#This Row],[Account Legal Name]],Table3[[#This Row],[Top Parent Account]])</f>
        <v>CENTRO DE ESPECIALIDADES MEDICAS DE LA MUJER</v>
      </c>
      <c r="H1390" s="1"/>
    </row>
    <row r="1391" spans="1:8" x14ac:dyDescent="0.35">
      <c r="A1391" s="21"/>
      <c r="B1391" t="s">
        <v>2912</v>
      </c>
      <c r="C1391" t="s">
        <v>6</v>
      </c>
      <c r="D1391" t="s">
        <v>4240</v>
      </c>
      <c r="F1391" s="1">
        <v>45981</v>
      </c>
      <c r="G1391" t="str">
        <f>IF(Table3[[#This Row],[Top Parent Account]]="",Table3[[#This Row],[Account Legal Name]],Table3[[#This Row],[Top Parent Account]])</f>
        <v>Agroindustrias Unidas de Cacao</v>
      </c>
      <c r="H1391" s="1"/>
    </row>
    <row r="1392" spans="1:8" x14ac:dyDescent="0.35">
      <c r="A1392" s="21"/>
      <c r="B1392" t="s">
        <v>1131</v>
      </c>
      <c r="C1392" t="s">
        <v>6</v>
      </c>
      <c r="D1392" t="s">
        <v>4194</v>
      </c>
      <c r="F1392" s="1">
        <v>45981</v>
      </c>
      <c r="G1392" t="str">
        <f>IF(Table3[[#This Row],[Top Parent Account]]="",Table3[[#This Row],[Account Legal Name]],Table3[[#This Row],[Top Parent Account]])</f>
        <v>Decisiones Inteligentes de Transporte</v>
      </c>
      <c r="H1392" s="1"/>
    </row>
    <row r="1393" spans="1:8" x14ac:dyDescent="0.35">
      <c r="A1393" s="21"/>
      <c r="B1393" t="s">
        <v>77</v>
      </c>
      <c r="C1393" t="s">
        <v>6</v>
      </c>
      <c r="D1393" t="s">
        <v>392</v>
      </c>
      <c r="F1393" s="1">
        <v>45981</v>
      </c>
      <c r="G1393" t="str">
        <f>IF(Table3[[#This Row],[Top Parent Account]]="",Table3[[#This Row],[Account Legal Name]],Table3[[#This Row],[Top Parent Account]])</f>
        <v>COMERCIALIZADORA MEXICANA DE FRUTOS SECOS</v>
      </c>
      <c r="H1393" s="1"/>
    </row>
    <row r="1394" spans="1:8" x14ac:dyDescent="0.35">
      <c r="A1394" s="21"/>
      <c r="B1394" t="s">
        <v>207</v>
      </c>
      <c r="C1394" t="s">
        <v>6</v>
      </c>
      <c r="D1394" t="s">
        <v>4241</v>
      </c>
      <c r="F1394" s="1">
        <v>45981</v>
      </c>
      <c r="G1394" t="str">
        <f>IF(Table3[[#This Row],[Top Parent Account]]="",Table3[[#This Row],[Account Legal Name]],Table3[[#This Row],[Top Parent Account]])</f>
        <v>Spakio</v>
      </c>
      <c r="H1394" s="1"/>
    </row>
    <row r="1395" spans="1:8" x14ac:dyDescent="0.35">
      <c r="A1395" s="21"/>
      <c r="B1395" t="s">
        <v>28</v>
      </c>
      <c r="C1395" t="s">
        <v>6</v>
      </c>
      <c r="D1395" t="s">
        <v>4394</v>
      </c>
      <c r="F1395" s="1">
        <v>45981</v>
      </c>
      <c r="G1395" t="str">
        <f>IF(Table3[[#This Row],[Top Parent Account]]="",Table3[[#This Row],[Account Legal Name]],Table3[[#This Row],[Top Parent Account]])</f>
        <v>Minero Diesel de México</v>
      </c>
      <c r="H1395" s="1"/>
    </row>
    <row r="1396" spans="1:8" x14ac:dyDescent="0.35">
      <c r="A1396" s="21"/>
      <c r="B1396" t="s">
        <v>29</v>
      </c>
      <c r="C1396" t="s">
        <v>6</v>
      </c>
      <c r="D1396" t="s">
        <v>1034</v>
      </c>
      <c r="F1396" s="1">
        <v>45981</v>
      </c>
      <c r="G1396" t="str">
        <f>IF(Table3[[#This Row],[Top Parent Account]]="",Table3[[#This Row],[Account Legal Name]],Table3[[#This Row],[Top Parent Account]])</f>
        <v>Grupo Quimisor</v>
      </c>
      <c r="H1396" s="1"/>
    </row>
    <row r="1397" spans="1:8" x14ac:dyDescent="0.35">
      <c r="A1397" s="21"/>
      <c r="B1397" t="s">
        <v>169</v>
      </c>
      <c r="C1397" t="s">
        <v>6</v>
      </c>
      <c r="D1397" t="s">
        <v>248</v>
      </c>
      <c r="F1397" s="1">
        <v>45981</v>
      </c>
      <c r="G1397" t="str">
        <f>IF(Table3[[#This Row],[Top Parent Account]]="",Table3[[#This Row],[Account Legal Name]],Table3[[#This Row],[Top Parent Account]])</f>
        <v>Dysal</v>
      </c>
      <c r="H1397" s="1"/>
    </row>
    <row r="1398" spans="1:8" x14ac:dyDescent="0.35">
      <c r="A1398" s="21"/>
      <c r="B1398" t="s">
        <v>1131</v>
      </c>
      <c r="C1398" t="s">
        <v>6</v>
      </c>
      <c r="D1398" t="s">
        <v>303</v>
      </c>
      <c r="E1398" t="s">
        <v>82</v>
      </c>
      <c r="F1398" s="1">
        <v>45981</v>
      </c>
      <c r="G1398" t="str">
        <f>IF(Table3[[#This Row],[Top Parent Account]]="",Table3[[#This Row],[Account Legal Name]],Table3[[#This Row],[Top Parent Account]])</f>
        <v>Ganaderia Rubio</v>
      </c>
      <c r="H1398" s="1"/>
    </row>
    <row r="1399" spans="1:8" x14ac:dyDescent="0.35">
      <c r="A1399" s="21"/>
      <c r="B1399" t="s">
        <v>169</v>
      </c>
      <c r="C1399" t="s">
        <v>6</v>
      </c>
      <c r="D1399" t="s">
        <v>2391</v>
      </c>
      <c r="F1399" s="1">
        <v>45981</v>
      </c>
      <c r="G1399" t="str">
        <f>IF(Table3[[#This Row],[Top Parent Account]]="",Table3[[#This Row],[Account Legal Name]],Table3[[#This Row],[Top Parent Account]])</f>
        <v>AGROINDUSTRIA OLEICA DE LA REGION DE LOS RIOS</v>
      </c>
      <c r="H1399" s="1"/>
    </row>
    <row r="1400" spans="1:8" x14ac:dyDescent="0.35">
      <c r="A1400" s="21"/>
      <c r="B1400" t="s">
        <v>51</v>
      </c>
      <c r="C1400" t="s">
        <v>6</v>
      </c>
      <c r="D1400" t="s">
        <v>4242</v>
      </c>
      <c r="F1400" s="1">
        <v>45981</v>
      </c>
      <c r="G1400" t="str">
        <f>IF(Table3[[#This Row],[Top Parent Account]]="",Table3[[#This Row],[Account Legal Name]],Table3[[#This Row],[Top Parent Account]])</f>
        <v>Litoprint</v>
      </c>
      <c r="H1400" s="1"/>
    </row>
    <row r="1401" spans="1:8" x14ac:dyDescent="0.35">
      <c r="A1401" s="21"/>
      <c r="B1401" t="s">
        <v>28</v>
      </c>
      <c r="C1401" t="s">
        <v>6</v>
      </c>
      <c r="D1401" t="s">
        <v>3859</v>
      </c>
      <c r="F1401" s="1">
        <v>45981</v>
      </c>
      <c r="G1401" t="str">
        <f>IF(Table3[[#This Row],[Top Parent Account]]="",Table3[[#This Row],[Account Legal Name]],Table3[[#This Row],[Top Parent Account]])</f>
        <v>LM Minería y Proyectos</v>
      </c>
      <c r="H1401" s="1"/>
    </row>
    <row r="1402" spans="1:8" x14ac:dyDescent="0.35">
      <c r="A1402" s="21"/>
      <c r="B1402" t="s">
        <v>24</v>
      </c>
      <c r="C1402" t="s">
        <v>6</v>
      </c>
      <c r="D1402" t="s">
        <v>1678</v>
      </c>
      <c r="F1402" s="1">
        <v>45981</v>
      </c>
      <c r="G1402" t="str">
        <f>IF(Table3[[#This Row],[Top Parent Account]]="",Table3[[#This Row],[Account Legal Name]],Table3[[#This Row],[Top Parent Account]])</f>
        <v>Grupo Acuícola Mexicano</v>
      </c>
      <c r="H1402" s="1"/>
    </row>
    <row r="1403" spans="1:8" x14ac:dyDescent="0.35">
      <c r="A1403" s="21"/>
      <c r="B1403" t="s">
        <v>1131</v>
      </c>
      <c r="C1403" t="s">
        <v>6</v>
      </c>
      <c r="D1403" t="s">
        <v>4395</v>
      </c>
      <c r="F1403" s="1">
        <v>45980</v>
      </c>
      <c r="G1403" t="str">
        <f>IF(Table3[[#This Row],[Top Parent Account]]="",Table3[[#This Row],[Account Legal Name]],Table3[[#This Row],[Top Parent Account]])</f>
        <v>Empaque Don Jorge</v>
      </c>
      <c r="H1403" s="1"/>
    </row>
    <row r="1404" spans="1:8" x14ac:dyDescent="0.35">
      <c r="A1404" s="21"/>
      <c r="B1404" t="s">
        <v>1131</v>
      </c>
      <c r="C1404" t="s">
        <v>6</v>
      </c>
      <c r="D1404" t="s">
        <v>4397</v>
      </c>
      <c r="F1404" s="1">
        <v>45980</v>
      </c>
      <c r="G1404" t="str">
        <f>IF(Table3[[#This Row],[Top Parent Account]]="",Table3[[#This Row],[Account Legal Name]],Table3[[#This Row],[Top Parent Account]])</f>
        <v>AVICOLA ABE</v>
      </c>
      <c r="H1404" s="1"/>
    </row>
    <row r="1405" spans="1:8" x14ac:dyDescent="0.35">
      <c r="A1405" s="21"/>
      <c r="B1405" t="s">
        <v>1131</v>
      </c>
      <c r="C1405" t="s">
        <v>6</v>
      </c>
      <c r="D1405" t="s">
        <v>4396</v>
      </c>
      <c r="F1405" s="1">
        <v>45980</v>
      </c>
      <c r="G1405" t="str">
        <f>IF(Table3[[#This Row],[Top Parent Account]]="",Table3[[#This Row],[Account Legal Name]],Table3[[#This Row],[Top Parent Account]])</f>
        <v>Progranos</v>
      </c>
      <c r="H1405" s="1"/>
    </row>
    <row r="1406" spans="1:8" x14ac:dyDescent="0.35">
      <c r="A1406" s="21"/>
      <c r="B1406" t="s">
        <v>1131</v>
      </c>
      <c r="C1406" t="s">
        <v>6</v>
      </c>
      <c r="D1406" t="s">
        <v>4281</v>
      </c>
      <c r="F1406" s="1">
        <v>45980</v>
      </c>
      <c r="G1406" t="str">
        <f>IF(Table3[[#This Row],[Top Parent Account]]="",Table3[[#This Row],[Account Legal Name]],Table3[[#This Row],[Top Parent Account]])</f>
        <v>Efigroup</v>
      </c>
      <c r="H1406" s="1"/>
    </row>
    <row r="1407" spans="1:8" x14ac:dyDescent="0.35">
      <c r="A1407" s="21"/>
      <c r="B1407" t="s">
        <v>32</v>
      </c>
      <c r="C1407" t="s">
        <v>6</v>
      </c>
      <c r="D1407" t="s">
        <v>496</v>
      </c>
      <c r="F1407" s="1">
        <v>45980</v>
      </c>
      <c r="G1407" t="str">
        <f>IF(Table3[[#This Row],[Top Parent Account]]="",Table3[[#This Row],[Account Legal Name]],Table3[[#This Row],[Top Parent Account]])</f>
        <v>Industrial Papelera Venus</v>
      </c>
      <c r="H1407" s="1"/>
    </row>
    <row r="1408" spans="1:8" x14ac:dyDescent="0.35">
      <c r="A1408" s="21"/>
      <c r="B1408" t="s">
        <v>28</v>
      </c>
      <c r="C1408" t="s">
        <v>6</v>
      </c>
      <c r="D1408" t="s">
        <v>4398</v>
      </c>
      <c r="F1408" s="1">
        <v>45980</v>
      </c>
      <c r="G1408" t="str">
        <f>IF(Table3[[#This Row],[Top Parent Account]]="",Table3[[#This Row],[Account Legal Name]],Table3[[#This Row],[Top Parent Account]])</f>
        <v>Minera Siderurgica de Coahuila</v>
      </c>
      <c r="H1408" s="1"/>
    </row>
    <row r="1409" spans="1:8" x14ac:dyDescent="0.35">
      <c r="A1409" s="21"/>
      <c r="B1409" t="s">
        <v>37</v>
      </c>
      <c r="C1409" t="s">
        <v>6</v>
      </c>
      <c r="D1409" t="s">
        <v>2294</v>
      </c>
      <c r="F1409" s="1">
        <v>45980</v>
      </c>
      <c r="G1409" t="str">
        <f>IF(Table3[[#This Row],[Top Parent Account]]="",Table3[[#This Row],[Account Legal Name]],Table3[[#This Row],[Top Parent Account]])</f>
        <v>ESCO del Noroeste</v>
      </c>
      <c r="H1409" s="1"/>
    </row>
    <row r="1410" spans="1:8" x14ac:dyDescent="0.35">
      <c r="A1410" s="21"/>
      <c r="B1410" t="s">
        <v>32</v>
      </c>
      <c r="C1410" t="s">
        <v>6</v>
      </c>
      <c r="D1410" t="s">
        <v>540</v>
      </c>
      <c r="F1410" s="1">
        <v>45980</v>
      </c>
      <c r="G1410" t="str">
        <f>IF(Table3[[#This Row],[Top Parent Account]]="",Table3[[#This Row],[Account Legal Name]],Table3[[#This Row],[Top Parent Account]])</f>
        <v>Grandes Impresiones</v>
      </c>
      <c r="H1410" s="1"/>
    </row>
    <row r="1411" spans="1:8" x14ac:dyDescent="0.35">
      <c r="A1411" s="21"/>
      <c r="B1411" t="s">
        <v>70</v>
      </c>
      <c r="C1411" t="s">
        <v>22</v>
      </c>
      <c r="D1411" t="s">
        <v>110</v>
      </c>
      <c r="F1411" s="1">
        <v>45980</v>
      </c>
      <c r="G1411" t="str">
        <f>IF(Table3[[#This Row],[Top Parent Account]]="",Table3[[#This Row],[Account Legal Name]],Table3[[#This Row],[Top Parent Account]])</f>
        <v>Centro Médico Florence</v>
      </c>
      <c r="H1411" s="1"/>
    </row>
    <row r="1412" spans="1:8" x14ac:dyDescent="0.35">
      <c r="A1412" s="21"/>
      <c r="B1412" t="s">
        <v>18</v>
      </c>
      <c r="C1412" t="s">
        <v>6</v>
      </c>
      <c r="D1412" t="s">
        <v>4243</v>
      </c>
      <c r="F1412" s="1">
        <v>45980</v>
      </c>
      <c r="G1412" t="str">
        <f>IF(Table3[[#This Row],[Top Parent Account]]="",Table3[[#This Row],[Account Legal Name]],Table3[[#This Row],[Top Parent Account]])</f>
        <v>Denko Internacional</v>
      </c>
      <c r="H1412" s="1"/>
    </row>
    <row r="1413" spans="1:8" x14ac:dyDescent="0.35">
      <c r="A1413" s="21"/>
      <c r="B1413" t="s">
        <v>23</v>
      </c>
      <c r="C1413" t="s">
        <v>6</v>
      </c>
      <c r="D1413" t="s">
        <v>3998</v>
      </c>
      <c r="F1413" s="1">
        <v>45980</v>
      </c>
      <c r="G1413" t="str">
        <f>IF(Table3[[#This Row],[Top Parent Account]]="",Table3[[#This Row],[Account Legal Name]],Table3[[#This Row],[Top Parent Account]])</f>
        <v>TRANSPORMER</v>
      </c>
      <c r="H1413" s="1"/>
    </row>
    <row r="1414" spans="1:8" x14ac:dyDescent="0.35">
      <c r="A1414" s="21"/>
      <c r="B1414" t="s">
        <v>2912</v>
      </c>
      <c r="C1414" t="s">
        <v>6</v>
      </c>
      <c r="D1414" t="s">
        <v>3134</v>
      </c>
      <c r="F1414" s="1">
        <v>45980</v>
      </c>
      <c r="G1414" t="str">
        <f>IF(Table3[[#This Row],[Top Parent Account]]="",Table3[[#This Row],[Account Legal Name]],Table3[[#This Row],[Top Parent Account]])</f>
        <v>Alianza Eléctrica</v>
      </c>
      <c r="H1414" s="1"/>
    </row>
    <row r="1415" spans="1:8" x14ac:dyDescent="0.35">
      <c r="A1415" s="21"/>
      <c r="B1415" t="s">
        <v>1511</v>
      </c>
      <c r="C1415" t="s">
        <v>6</v>
      </c>
      <c r="D1415" t="s">
        <v>4244</v>
      </c>
      <c r="F1415" s="1">
        <v>45980</v>
      </c>
      <c r="G1415" t="str">
        <f>IF(Table3[[#This Row],[Top Parent Account]]="",Table3[[#This Row],[Account Legal Name]],Table3[[#This Row],[Top Parent Account]])</f>
        <v>PRECISION CABLE ASSEMBLIES MEXICO</v>
      </c>
      <c r="H1415" s="1"/>
    </row>
    <row r="1416" spans="1:8" x14ac:dyDescent="0.35">
      <c r="A1416" s="21"/>
      <c r="B1416" t="s">
        <v>10</v>
      </c>
      <c r="C1416" t="s">
        <v>6</v>
      </c>
      <c r="D1416" t="s">
        <v>4231</v>
      </c>
      <c r="E1416" t="s">
        <v>752</v>
      </c>
      <c r="F1416" s="1">
        <v>45980</v>
      </c>
      <c r="G1416" t="str">
        <f>IF(Table3[[#This Row],[Top Parent Account]]="",Table3[[#This Row],[Account Legal Name]],Table3[[#This Row],[Top Parent Account]])</f>
        <v>Bemis de México</v>
      </c>
      <c r="H1416" s="1"/>
    </row>
    <row r="1417" spans="1:8" x14ac:dyDescent="0.35">
      <c r="A1417" s="21"/>
      <c r="B1417" t="s">
        <v>2884</v>
      </c>
      <c r="C1417" t="s">
        <v>6</v>
      </c>
      <c r="D1417" t="s">
        <v>4154</v>
      </c>
      <c r="E1417" t="s">
        <v>4155</v>
      </c>
      <c r="F1417" s="1">
        <v>45980</v>
      </c>
      <c r="G1417" t="str">
        <f>IF(Table3[[#This Row],[Top Parent Account]]="",Table3[[#This Row],[Account Legal Name]],Table3[[#This Row],[Top Parent Account]])</f>
        <v>GMP BV</v>
      </c>
      <c r="H1417" s="1"/>
    </row>
    <row r="1418" spans="1:8" x14ac:dyDescent="0.35">
      <c r="A1418" s="21"/>
      <c r="B1418" t="s">
        <v>28</v>
      </c>
      <c r="C1418" t="s">
        <v>6</v>
      </c>
      <c r="D1418" t="s">
        <v>921</v>
      </c>
      <c r="F1418" s="1">
        <v>45980</v>
      </c>
      <c r="G1418" t="str">
        <f>IF(Table3[[#This Row],[Top Parent Account]]="",Table3[[#This Row],[Account Legal Name]],Table3[[#This Row],[Top Parent Account]])</f>
        <v>INDUSTRIAL MINERA SINALOA</v>
      </c>
      <c r="H1418" s="1"/>
    </row>
    <row r="1419" spans="1:8" x14ac:dyDescent="0.35">
      <c r="A1419" s="21"/>
      <c r="B1419" t="s">
        <v>208</v>
      </c>
      <c r="C1419" t="s">
        <v>6</v>
      </c>
      <c r="D1419" t="s">
        <v>4245</v>
      </c>
      <c r="F1419" s="1">
        <v>45980</v>
      </c>
      <c r="G1419" t="str">
        <f>IF(Table3[[#This Row],[Top Parent Account]]="",Table3[[#This Row],[Account Legal Name]],Table3[[#This Row],[Top Parent Account]])</f>
        <v>Deiman</v>
      </c>
      <c r="H1419" s="1"/>
    </row>
    <row r="1420" spans="1:8" x14ac:dyDescent="0.35">
      <c r="A1420" s="21"/>
      <c r="B1420" t="s">
        <v>32</v>
      </c>
      <c r="C1420" t="s">
        <v>6</v>
      </c>
      <c r="D1420" t="s">
        <v>323</v>
      </c>
      <c r="F1420" s="1">
        <v>45980</v>
      </c>
      <c r="G1420" t="str">
        <f>IF(Table3[[#This Row],[Top Parent Account]]="",Table3[[#This Row],[Account Legal Name]],Table3[[#This Row],[Top Parent Account]])</f>
        <v>Ingenio Pantaleon Panuco</v>
      </c>
      <c r="H1420" s="1"/>
    </row>
    <row r="1421" spans="1:8" x14ac:dyDescent="0.35">
      <c r="A1421" s="21"/>
      <c r="B1421" t="s">
        <v>70</v>
      </c>
      <c r="C1421" t="s">
        <v>6</v>
      </c>
      <c r="D1421" t="s">
        <v>447</v>
      </c>
      <c r="F1421" s="1">
        <v>45980</v>
      </c>
      <c r="G1421" t="str">
        <f>IF(Table3[[#This Row],[Top Parent Account]]="",Table3[[#This Row],[Account Legal Name]],Table3[[#This Row],[Top Parent Account]])</f>
        <v>Intermet</v>
      </c>
      <c r="H1421" s="1"/>
    </row>
    <row r="1422" spans="1:8" x14ac:dyDescent="0.35">
      <c r="A1422" s="21"/>
      <c r="B1422" t="s">
        <v>3628</v>
      </c>
      <c r="C1422" t="s">
        <v>6</v>
      </c>
      <c r="D1422" t="s">
        <v>4246</v>
      </c>
      <c r="E1422" t="s">
        <v>4662</v>
      </c>
      <c r="F1422" s="1">
        <v>45980</v>
      </c>
      <c r="G1422" t="str">
        <f>IF(Table3[[#This Row],[Top Parent Account]]="",Table3[[#This Row],[Account Legal Name]],Table3[[#This Row],[Top Parent Account]])</f>
        <v>Tubos De Acero de México</v>
      </c>
      <c r="H1422" s="1"/>
    </row>
    <row r="1423" spans="1:8" x14ac:dyDescent="0.35">
      <c r="A1423" s="21"/>
      <c r="B1423" t="s">
        <v>3628</v>
      </c>
      <c r="C1423" t="s">
        <v>6</v>
      </c>
      <c r="D1423" t="s">
        <v>4247</v>
      </c>
      <c r="E1423" t="s">
        <v>4399</v>
      </c>
      <c r="F1423" s="1">
        <v>45980</v>
      </c>
      <c r="G1423" t="str">
        <f>IF(Table3[[#This Row],[Top Parent Account]]="",Table3[[#This Row],[Account Legal Name]],Table3[[#This Row],[Top Parent Account]])</f>
        <v>NIDEC GLOBAL APPLIANCE MEXICO</v>
      </c>
      <c r="H1423" s="1"/>
    </row>
    <row r="1424" spans="1:8" x14ac:dyDescent="0.35">
      <c r="A1424" s="21"/>
      <c r="B1424" t="s">
        <v>10</v>
      </c>
      <c r="C1424" t="s">
        <v>6</v>
      </c>
      <c r="D1424" t="s">
        <v>4249</v>
      </c>
      <c r="F1424" s="1">
        <v>45980</v>
      </c>
      <c r="G1424" t="str">
        <f>IF(Table3[[#This Row],[Top Parent Account]]="",Table3[[#This Row],[Account Legal Name]],Table3[[#This Row],[Top Parent Account]])</f>
        <v>GRUPO CONSTRUCTOR ESPECIALIZADO</v>
      </c>
      <c r="H1424" s="1"/>
    </row>
    <row r="1425" spans="1:8" x14ac:dyDescent="0.35">
      <c r="A1425" s="21"/>
      <c r="B1425" t="s">
        <v>23</v>
      </c>
      <c r="C1425" t="s">
        <v>6</v>
      </c>
      <c r="D1425" t="s">
        <v>4248</v>
      </c>
      <c r="F1425" s="1">
        <v>45980</v>
      </c>
      <c r="G1425" t="str">
        <f>IF(Table3[[#This Row],[Top Parent Account]]="",Table3[[#This Row],[Account Legal Name]],Table3[[#This Row],[Top Parent Account]])</f>
        <v>YAÑEZ LOGISTIC</v>
      </c>
      <c r="H1425" s="1"/>
    </row>
    <row r="1426" spans="1:8" x14ac:dyDescent="0.35">
      <c r="A1426" s="21"/>
      <c r="B1426" t="s">
        <v>3129</v>
      </c>
      <c r="C1426" t="s">
        <v>6</v>
      </c>
      <c r="D1426" t="s">
        <v>542</v>
      </c>
      <c r="F1426" s="1">
        <v>45980</v>
      </c>
      <c r="G1426" t="str">
        <f>IF(Table3[[#This Row],[Top Parent Account]]="",Table3[[#This Row],[Account Legal Name]],Table3[[#This Row],[Top Parent Account]])</f>
        <v>Exsan de México</v>
      </c>
      <c r="H1426" s="1"/>
    </row>
    <row r="1427" spans="1:8" x14ac:dyDescent="0.35">
      <c r="A1427" s="21"/>
      <c r="B1427" t="s">
        <v>77</v>
      </c>
      <c r="C1427" t="s">
        <v>6</v>
      </c>
      <c r="D1427" t="s">
        <v>4253</v>
      </c>
      <c r="F1427" s="1">
        <v>45980</v>
      </c>
      <c r="G1427" t="str">
        <f>IF(Table3[[#This Row],[Top Parent Account]]="",Table3[[#This Row],[Account Legal Name]],Table3[[#This Row],[Top Parent Account]])</f>
        <v>Bodegas Graneleras del Campo</v>
      </c>
      <c r="H1427" s="1"/>
    </row>
    <row r="1428" spans="1:8" x14ac:dyDescent="0.35">
      <c r="A1428" s="21"/>
      <c r="B1428" t="s">
        <v>3553</v>
      </c>
      <c r="C1428" t="s">
        <v>6</v>
      </c>
      <c r="D1428" t="s">
        <v>3640</v>
      </c>
      <c r="F1428" s="1">
        <v>45980</v>
      </c>
      <c r="G1428" t="str">
        <f>IF(Table3[[#This Row],[Top Parent Account]]="",Table3[[#This Row],[Account Legal Name]],Table3[[#This Row],[Top Parent Account]])</f>
        <v>FC FASHION</v>
      </c>
      <c r="H1428" s="1"/>
    </row>
    <row r="1429" spans="1:8" x14ac:dyDescent="0.35">
      <c r="A1429" s="21"/>
      <c r="B1429" t="s">
        <v>116</v>
      </c>
      <c r="C1429" t="s">
        <v>6</v>
      </c>
      <c r="D1429" t="s">
        <v>4250</v>
      </c>
      <c r="F1429" s="1">
        <v>45980</v>
      </c>
      <c r="G1429" t="str">
        <f>IF(Table3[[#This Row],[Top Parent Account]]="",Table3[[#This Row],[Account Legal Name]],Table3[[#This Row],[Top Parent Account]])</f>
        <v>Forsac mexico</v>
      </c>
      <c r="H1429" s="1"/>
    </row>
    <row r="1430" spans="1:8" x14ac:dyDescent="0.35">
      <c r="A1430" s="21"/>
      <c r="B1430" t="s">
        <v>932</v>
      </c>
      <c r="C1430" t="s">
        <v>6</v>
      </c>
      <c r="D1430" t="s">
        <v>4251</v>
      </c>
      <c r="F1430" s="1">
        <v>45980</v>
      </c>
      <c r="G1430" t="str">
        <f>IF(Table3[[#This Row],[Top Parent Account]]="",Table3[[#This Row],[Account Legal Name]],Table3[[#This Row],[Top Parent Account]])</f>
        <v>Innovaplast</v>
      </c>
      <c r="H1430" s="1"/>
    </row>
    <row r="1431" spans="1:8" x14ac:dyDescent="0.35">
      <c r="A1431" s="21"/>
      <c r="B1431" t="s">
        <v>207</v>
      </c>
      <c r="C1431" t="s">
        <v>6</v>
      </c>
      <c r="D1431" t="s">
        <v>4252</v>
      </c>
      <c r="F1431" s="1">
        <v>45980</v>
      </c>
      <c r="G1431" t="str">
        <f>IF(Table3[[#This Row],[Top Parent Account]]="",Table3[[#This Row],[Account Legal Name]],Table3[[#This Row],[Top Parent Account]])</f>
        <v>3 Quimica</v>
      </c>
      <c r="H1431" s="1"/>
    </row>
    <row r="1432" spans="1:8" x14ac:dyDescent="0.35">
      <c r="A1432" s="21"/>
      <c r="B1432" t="s">
        <v>28</v>
      </c>
      <c r="C1432" t="s">
        <v>6</v>
      </c>
      <c r="D1432" t="s">
        <v>4400</v>
      </c>
      <c r="F1432" s="1">
        <v>45980</v>
      </c>
      <c r="G1432" t="str">
        <f>IF(Table3[[#This Row],[Top Parent Account]]="",Table3[[#This Row],[Account Legal Name]],Table3[[#This Row],[Top Parent Account]])</f>
        <v>Maquinaria Y Tren De Potencia</v>
      </c>
      <c r="H1432" s="1"/>
    </row>
    <row r="1433" spans="1:8" x14ac:dyDescent="0.35">
      <c r="A1433" s="21"/>
      <c r="B1433" t="s">
        <v>121</v>
      </c>
      <c r="C1433" t="s">
        <v>6</v>
      </c>
      <c r="D1433" t="s">
        <v>4254</v>
      </c>
      <c r="F1433" s="1">
        <v>45980</v>
      </c>
      <c r="G1433" t="str">
        <f>IF(Table3[[#This Row],[Top Parent Account]]="",Table3[[#This Row],[Account Legal Name]],Table3[[#This Row],[Top Parent Account]])</f>
        <v>Familia 9 Soles</v>
      </c>
      <c r="H1433" s="1"/>
    </row>
    <row r="1434" spans="1:8" x14ac:dyDescent="0.35">
      <c r="A1434" s="21"/>
      <c r="B1434" t="s">
        <v>925</v>
      </c>
      <c r="C1434" t="s">
        <v>6</v>
      </c>
      <c r="D1434" t="s">
        <v>4256</v>
      </c>
      <c r="F1434" s="1">
        <v>45980</v>
      </c>
      <c r="G1434" t="str">
        <f>IF(Table3[[#This Row],[Top Parent Account]]="",Table3[[#This Row],[Account Legal Name]],Table3[[#This Row],[Top Parent Account]])</f>
        <v>Azelis</v>
      </c>
      <c r="H1434" s="1"/>
    </row>
    <row r="1435" spans="1:8" x14ac:dyDescent="0.35">
      <c r="A1435" s="21"/>
      <c r="B1435" t="s">
        <v>23</v>
      </c>
      <c r="C1435" t="s">
        <v>6</v>
      </c>
      <c r="D1435" t="s">
        <v>4255</v>
      </c>
      <c r="F1435" s="1">
        <v>45980</v>
      </c>
      <c r="G1435" t="str">
        <f>IF(Table3[[#This Row],[Top Parent Account]]="",Table3[[#This Row],[Account Legal Name]],Table3[[#This Row],[Top Parent Account]])</f>
        <v>Universidad de Arkansas Campus Querétaro</v>
      </c>
      <c r="H1435" s="1"/>
    </row>
    <row r="1436" spans="1:8" x14ac:dyDescent="0.35">
      <c r="A1436" s="21"/>
      <c r="B1436" t="s">
        <v>121</v>
      </c>
      <c r="C1436" t="s">
        <v>6</v>
      </c>
      <c r="D1436" t="s">
        <v>3940</v>
      </c>
      <c r="F1436" s="1">
        <v>45980</v>
      </c>
      <c r="G1436" t="str">
        <f>IF(Table3[[#This Row],[Top Parent Account]]="",Table3[[#This Row],[Account Legal Name]],Table3[[#This Row],[Top Parent Account]])</f>
        <v>Gabino Jonathan Adriano Ceballos</v>
      </c>
      <c r="H1436" s="1"/>
    </row>
    <row r="1437" spans="1:8" x14ac:dyDescent="0.35">
      <c r="A1437" s="21"/>
      <c r="B1437" t="s">
        <v>88</v>
      </c>
      <c r="C1437" t="s">
        <v>6</v>
      </c>
      <c r="D1437" t="s">
        <v>4257</v>
      </c>
      <c r="F1437" s="1">
        <v>45980</v>
      </c>
      <c r="G1437" t="str">
        <f>IF(Table3[[#This Row],[Top Parent Account]]="",Table3[[#This Row],[Account Legal Name]],Table3[[#This Row],[Top Parent Account]])</f>
        <v>Jose Luis Sanchez Morales</v>
      </c>
      <c r="H1437" s="1"/>
    </row>
    <row r="1438" spans="1:8" x14ac:dyDescent="0.35">
      <c r="A1438" s="21"/>
      <c r="B1438" t="s">
        <v>932</v>
      </c>
      <c r="C1438" t="s">
        <v>6</v>
      </c>
      <c r="D1438" t="s">
        <v>4258</v>
      </c>
      <c r="F1438" s="1">
        <v>45980</v>
      </c>
      <c r="G1438" t="str">
        <f>IF(Table3[[#This Row],[Top Parent Account]]="",Table3[[#This Row],[Account Legal Name]],Table3[[#This Row],[Top Parent Account]])</f>
        <v>Stephanie Aidyn García Pineda</v>
      </c>
      <c r="H1438" s="1"/>
    </row>
    <row r="1439" spans="1:8" x14ac:dyDescent="0.35">
      <c r="A1439" s="21"/>
      <c r="B1439" t="s">
        <v>2884</v>
      </c>
      <c r="C1439" t="s">
        <v>6</v>
      </c>
      <c r="D1439" t="s">
        <v>3861</v>
      </c>
      <c r="F1439" s="1">
        <v>45980</v>
      </c>
      <c r="G1439" t="str">
        <f>IF(Table3[[#This Row],[Top Parent Account]]="",Table3[[#This Row],[Account Legal Name]],Table3[[#This Row],[Top Parent Account]])</f>
        <v>All4labels México</v>
      </c>
      <c r="H1439" s="1"/>
    </row>
    <row r="1440" spans="1:8" x14ac:dyDescent="0.35">
      <c r="A1440" s="21"/>
      <c r="B1440" t="s">
        <v>18</v>
      </c>
      <c r="C1440" t="s">
        <v>6</v>
      </c>
      <c r="D1440" t="s">
        <v>3052</v>
      </c>
      <c r="F1440" s="1">
        <v>45980</v>
      </c>
      <c r="G1440" t="str">
        <f>IF(Table3[[#This Row],[Top Parent Account]]="",Table3[[#This Row],[Account Legal Name]],Table3[[#This Row],[Top Parent Account]])</f>
        <v>Formec</v>
      </c>
      <c r="H1440" s="1"/>
    </row>
    <row r="1441" spans="1:8" x14ac:dyDescent="0.35">
      <c r="A1441" s="21"/>
      <c r="B1441" t="s">
        <v>39</v>
      </c>
      <c r="C1441" t="s">
        <v>4259</v>
      </c>
      <c r="D1441" t="s">
        <v>2537</v>
      </c>
      <c r="F1441" s="1">
        <v>45980</v>
      </c>
      <c r="G1441" t="str">
        <f>IF(Table3[[#This Row],[Top Parent Account]]="",Table3[[#This Row],[Account Legal Name]],Table3[[#This Row],[Top Parent Account]])</f>
        <v>Salsas Castillo</v>
      </c>
      <c r="H1441" s="1"/>
    </row>
    <row r="1442" spans="1:8" x14ac:dyDescent="0.35">
      <c r="A1442" s="21"/>
      <c r="B1442" t="s">
        <v>25</v>
      </c>
      <c r="C1442" t="s">
        <v>6</v>
      </c>
      <c r="D1442" t="s">
        <v>4260</v>
      </c>
      <c r="F1442" s="1">
        <v>45980</v>
      </c>
      <c r="G1442" t="str">
        <f>IF(Table3[[#This Row],[Top Parent Account]]="",Table3[[#This Row],[Account Legal Name]],Table3[[#This Row],[Top Parent Account]])</f>
        <v>Servicios Urbanos y Suburbanos Xinantecatl</v>
      </c>
      <c r="H1442" s="1"/>
    </row>
    <row r="1443" spans="1:8" x14ac:dyDescent="0.35">
      <c r="A1443" s="21"/>
      <c r="B1443" t="s">
        <v>70</v>
      </c>
      <c r="C1443" t="s">
        <v>22</v>
      </c>
      <c r="D1443" t="s">
        <v>431</v>
      </c>
      <c r="F1443" s="1">
        <v>45979</v>
      </c>
      <c r="G1443" t="str">
        <f>IF(Table3[[#This Row],[Top Parent Account]]="",Table3[[#This Row],[Account Legal Name]],Table3[[#This Row],[Top Parent Account]])</f>
        <v>Derivados De Gasa</v>
      </c>
      <c r="H1443" s="1"/>
    </row>
    <row r="1444" spans="1:8" x14ac:dyDescent="0.35">
      <c r="A1444" s="21"/>
      <c r="B1444" t="s">
        <v>32</v>
      </c>
      <c r="C1444" t="s">
        <v>22</v>
      </c>
      <c r="D1444" t="s">
        <v>4606</v>
      </c>
      <c r="F1444" s="1">
        <v>45979</v>
      </c>
      <c r="G1444" t="str">
        <f>IF(Table3[[#This Row],[Top Parent Account]]="",Table3[[#This Row],[Account Legal Name]],Table3[[#This Row],[Top Parent Account]])</f>
        <v>Innophos Fosfatados de México</v>
      </c>
      <c r="H1444" s="1"/>
    </row>
    <row r="1445" spans="1:8" x14ac:dyDescent="0.35">
      <c r="A1445" s="21"/>
      <c r="B1445" t="s">
        <v>121</v>
      </c>
      <c r="C1445" t="s">
        <v>6</v>
      </c>
      <c r="D1445" t="s">
        <v>2622</v>
      </c>
      <c r="F1445" s="1">
        <v>45979</v>
      </c>
      <c r="G1445" t="str">
        <f>IF(Table3[[#This Row],[Top Parent Account]]="",Table3[[#This Row],[Account Legal Name]],Table3[[#This Row],[Top Parent Account]])</f>
        <v>Slovensko</v>
      </c>
      <c r="H1445" s="1"/>
    </row>
    <row r="1446" spans="1:8" x14ac:dyDescent="0.35">
      <c r="A1446" s="21"/>
      <c r="B1446" t="s">
        <v>10</v>
      </c>
      <c r="C1446" t="s">
        <v>6</v>
      </c>
      <c r="D1446" t="s">
        <v>666</v>
      </c>
      <c r="F1446" s="1">
        <v>45979</v>
      </c>
      <c r="G1446" t="str">
        <f>IF(Table3[[#This Row],[Top Parent Account]]="",Table3[[#This Row],[Account Legal Name]],Table3[[#This Row],[Top Parent Account]])</f>
        <v>Hospital San Javier</v>
      </c>
      <c r="H1446" s="1"/>
    </row>
    <row r="1447" spans="1:8" x14ac:dyDescent="0.35">
      <c r="A1447" s="21"/>
      <c r="B1447" t="s">
        <v>208</v>
      </c>
      <c r="C1447" t="s">
        <v>22</v>
      </c>
      <c r="D1447" t="s">
        <v>4262</v>
      </c>
      <c r="F1447" s="1">
        <v>45979</v>
      </c>
      <c r="G1447" t="str">
        <f>IF(Table3[[#This Row],[Top Parent Account]]="",Table3[[#This Row],[Account Legal Name]],Table3[[#This Row],[Top Parent Account]])</f>
        <v>PELCON Inversiones</v>
      </c>
      <c r="H1447" s="1"/>
    </row>
    <row r="1448" spans="1:8" x14ac:dyDescent="0.35">
      <c r="A1448" s="21"/>
      <c r="B1448" t="s">
        <v>88</v>
      </c>
      <c r="C1448" t="s">
        <v>6</v>
      </c>
      <c r="D1448" t="s">
        <v>4261</v>
      </c>
      <c r="F1448" s="1">
        <v>45979</v>
      </c>
      <c r="G1448" t="str">
        <f>IF(Table3[[#This Row],[Top Parent Account]]="",Table3[[#This Row],[Account Legal Name]],Table3[[#This Row],[Top Parent Account]])</f>
        <v>Xebj comercializadora</v>
      </c>
      <c r="H1448" s="1"/>
    </row>
    <row r="1449" spans="1:8" x14ac:dyDescent="0.35">
      <c r="A1449" s="21"/>
      <c r="B1449" t="s">
        <v>970</v>
      </c>
      <c r="C1449" t="s">
        <v>6</v>
      </c>
      <c r="D1449" t="s">
        <v>4263</v>
      </c>
      <c r="F1449" s="1">
        <v>45979</v>
      </c>
      <c r="G1449" t="str">
        <f>IF(Table3[[#This Row],[Top Parent Account]]="",Table3[[#This Row],[Account Legal Name]],Table3[[#This Row],[Top Parent Account]])</f>
        <v>Merck</v>
      </c>
      <c r="H1449" s="1"/>
    </row>
    <row r="1450" spans="1:8" x14ac:dyDescent="0.35">
      <c r="A1450" s="21"/>
      <c r="B1450" t="s">
        <v>1131</v>
      </c>
      <c r="C1450" t="s">
        <v>6</v>
      </c>
      <c r="D1450" t="s">
        <v>4195</v>
      </c>
      <c r="F1450" s="1">
        <v>45979</v>
      </c>
      <c r="G1450" t="str">
        <f>IF(Table3[[#This Row],[Top Parent Account]]="",Table3[[#This Row],[Account Legal Name]],Table3[[#This Row],[Top Parent Account]])</f>
        <v>Industrias Rochin</v>
      </c>
      <c r="H1450" s="1"/>
    </row>
    <row r="1451" spans="1:8" x14ac:dyDescent="0.35">
      <c r="A1451" s="21"/>
      <c r="B1451" t="s">
        <v>3114</v>
      </c>
      <c r="C1451" t="s">
        <v>52</v>
      </c>
      <c r="D1451" t="s">
        <v>3989</v>
      </c>
      <c r="F1451" s="1">
        <v>45979</v>
      </c>
      <c r="G1451" t="str">
        <f>IF(Table3[[#This Row],[Top Parent Account]]="",Table3[[#This Row],[Account Legal Name]],Table3[[#This Row],[Top Parent Account]])</f>
        <v>Artigraf</v>
      </c>
      <c r="H1451" s="1"/>
    </row>
    <row r="1452" spans="1:8" x14ac:dyDescent="0.35">
      <c r="A1452" s="21"/>
      <c r="B1452" t="s">
        <v>38</v>
      </c>
      <c r="C1452" t="s">
        <v>6</v>
      </c>
      <c r="D1452" t="s">
        <v>513</v>
      </c>
      <c r="F1452" s="1">
        <v>45979</v>
      </c>
      <c r="G1452" t="str">
        <f>IF(Table3[[#This Row],[Top Parent Account]]="",Table3[[#This Row],[Account Legal Name]],Table3[[#This Row],[Top Parent Account]])</f>
        <v>Oleofinos</v>
      </c>
      <c r="H1452" s="1"/>
    </row>
    <row r="1453" spans="1:8" x14ac:dyDescent="0.35">
      <c r="A1453" s="21"/>
      <c r="B1453" t="s">
        <v>70</v>
      </c>
      <c r="C1453" t="s">
        <v>6</v>
      </c>
      <c r="D1453" t="s">
        <v>412</v>
      </c>
      <c r="E1453" t="s">
        <v>35</v>
      </c>
      <c r="F1453" s="1">
        <v>45979</v>
      </c>
      <c r="G1453" t="str">
        <f>IF(Table3[[#This Row],[Top Parent Account]]="",Table3[[#This Row],[Account Legal Name]],Table3[[#This Row],[Top Parent Account]])</f>
        <v>Bayer de México</v>
      </c>
      <c r="H1453" s="1"/>
    </row>
    <row r="1454" spans="1:8" x14ac:dyDescent="0.35">
      <c r="A1454" s="21"/>
      <c r="B1454" t="s">
        <v>18</v>
      </c>
      <c r="C1454" t="s">
        <v>6</v>
      </c>
      <c r="D1454" t="s">
        <v>2849</v>
      </c>
      <c r="F1454" s="1">
        <v>45979</v>
      </c>
      <c r="G1454" t="str">
        <f>IF(Table3[[#This Row],[Top Parent Account]]="",Table3[[#This Row],[Account Legal Name]],Table3[[#This Row],[Top Parent Account]])</f>
        <v>100 Silva</v>
      </c>
      <c r="H1454" s="1"/>
    </row>
    <row r="1455" spans="1:8" x14ac:dyDescent="0.35">
      <c r="A1455" s="21"/>
      <c r="B1455" t="s">
        <v>18</v>
      </c>
      <c r="C1455" t="s">
        <v>6</v>
      </c>
      <c r="D1455" t="s">
        <v>4264</v>
      </c>
      <c r="F1455" s="1">
        <v>45979</v>
      </c>
      <c r="G1455" t="str">
        <f>IF(Table3[[#This Row],[Top Parent Account]]="",Table3[[#This Row],[Account Legal Name]],Table3[[#This Row],[Top Parent Account]])</f>
        <v>Granja Porcina los Girasolres</v>
      </c>
      <c r="H1455" s="1"/>
    </row>
    <row r="1456" spans="1:8" x14ac:dyDescent="0.35">
      <c r="A1456" s="21"/>
      <c r="B1456" t="s">
        <v>3182</v>
      </c>
      <c r="C1456" t="s">
        <v>6</v>
      </c>
      <c r="D1456" t="s">
        <v>4265</v>
      </c>
      <c r="F1456" s="1">
        <v>45979</v>
      </c>
      <c r="G1456" t="str">
        <f>IF(Table3[[#This Row],[Top Parent Account]]="",Table3[[#This Row],[Account Legal Name]],Table3[[#This Row],[Top Parent Account]])</f>
        <v>Muebles Y Mudanzas Amado</v>
      </c>
      <c r="H1456" s="1"/>
    </row>
    <row r="1457" spans="1:8" x14ac:dyDescent="0.35">
      <c r="A1457" s="21"/>
      <c r="B1457" t="s">
        <v>3182</v>
      </c>
      <c r="C1457" t="s">
        <v>22</v>
      </c>
      <c r="D1457" t="s">
        <v>4267</v>
      </c>
      <c r="F1457" s="1">
        <v>45979</v>
      </c>
      <c r="G1457" t="str">
        <f>IF(Table3[[#This Row],[Top Parent Account]]="",Table3[[#This Row],[Account Legal Name]],Table3[[#This Row],[Top Parent Account]])</f>
        <v>LABORATORIOS VALDECASAS</v>
      </c>
      <c r="H1457" s="1"/>
    </row>
    <row r="1458" spans="1:8" x14ac:dyDescent="0.35">
      <c r="A1458" s="21"/>
      <c r="B1458" t="s">
        <v>932</v>
      </c>
      <c r="C1458" t="s">
        <v>6</v>
      </c>
      <c r="D1458" t="s">
        <v>4266</v>
      </c>
      <c r="F1458" s="1">
        <v>45979</v>
      </c>
      <c r="G1458" t="str">
        <f>IF(Table3[[#This Row],[Top Parent Account]]="",Table3[[#This Row],[Account Legal Name]],Table3[[#This Row],[Top Parent Account]])</f>
        <v>Grupo De Hongo Seta Endotzi</v>
      </c>
      <c r="H1458" s="1"/>
    </row>
    <row r="1459" spans="1:8" x14ac:dyDescent="0.35">
      <c r="A1459" s="21"/>
      <c r="B1459" t="s">
        <v>1131</v>
      </c>
      <c r="C1459" t="s">
        <v>6</v>
      </c>
      <c r="D1459" t="s">
        <v>997</v>
      </c>
      <c r="F1459" s="1">
        <v>45979</v>
      </c>
      <c r="G1459" t="str">
        <f>IF(Table3[[#This Row],[Top Parent Account]]="",Table3[[#This Row],[Account Legal Name]],Table3[[#This Row],[Top Parent Account]])</f>
        <v>Procesadora de alimentos El Bravo</v>
      </c>
      <c r="H1459" s="1"/>
    </row>
    <row r="1460" spans="1:8" x14ac:dyDescent="0.35">
      <c r="A1460" s="21"/>
      <c r="B1460" t="s">
        <v>3182</v>
      </c>
      <c r="C1460" t="s">
        <v>22</v>
      </c>
      <c r="D1460" t="s">
        <v>61</v>
      </c>
      <c r="F1460" s="1">
        <v>45979</v>
      </c>
      <c r="G1460" t="str">
        <f>IF(Table3[[#This Row],[Top Parent Account]]="",Table3[[#This Row],[Account Legal Name]],Table3[[#This Row],[Top Parent Account]])</f>
        <v>Arabela</v>
      </c>
      <c r="H1460" s="1"/>
    </row>
    <row r="1461" spans="1:8" x14ac:dyDescent="0.35">
      <c r="A1461" s="21"/>
      <c r="B1461" t="s">
        <v>1131</v>
      </c>
      <c r="C1461" t="s">
        <v>6</v>
      </c>
      <c r="D1461" t="s">
        <v>4268</v>
      </c>
      <c r="F1461" s="1">
        <v>45979</v>
      </c>
      <c r="G1461" t="str">
        <f>IF(Table3[[#This Row],[Top Parent Account]]="",Table3[[#This Row],[Account Legal Name]],Table3[[#This Row],[Top Parent Account]])</f>
        <v>Invernaderos Mexicanos Del Pacífico</v>
      </c>
      <c r="H1461" s="1"/>
    </row>
    <row r="1462" spans="1:8" x14ac:dyDescent="0.35">
      <c r="A1462" s="21"/>
      <c r="B1462" t="s">
        <v>88</v>
      </c>
      <c r="C1462" t="s">
        <v>6</v>
      </c>
      <c r="D1462" t="s">
        <v>4269</v>
      </c>
      <c r="F1462" s="1">
        <v>45979</v>
      </c>
      <c r="G1462" t="str">
        <f>IF(Table3[[#This Row],[Top Parent Account]]="",Table3[[#This Row],[Account Legal Name]],Table3[[#This Row],[Top Parent Account]])</f>
        <v>AMERICAN SEAL</v>
      </c>
      <c r="H1462" s="1"/>
    </row>
    <row r="1463" spans="1:8" x14ac:dyDescent="0.35">
      <c r="A1463" s="21"/>
      <c r="B1463" t="s">
        <v>88</v>
      </c>
      <c r="C1463" t="s">
        <v>6</v>
      </c>
      <c r="D1463" t="s">
        <v>4270</v>
      </c>
      <c r="F1463" s="1">
        <v>45979</v>
      </c>
      <c r="G1463" t="str">
        <f>IF(Table3[[#This Row],[Top Parent Account]]="",Table3[[#This Row],[Account Legal Name]],Table3[[#This Row],[Top Parent Account]])</f>
        <v>Studio 3351</v>
      </c>
      <c r="H1463" s="1"/>
    </row>
    <row r="1464" spans="1:8" x14ac:dyDescent="0.35">
      <c r="A1464" s="21"/>
      <c r="B1464" t="s">
        <v>2345</v>
      </c>
      <c r="C1464" t="s">
        <v>6</v>
      </c>
      <c r="D1464" t="s">
        <v>4273</v>
      </c>
      <c r="F1464" s="1">
        <v>45979</v>
      </c>
      <c r="G1464" t="str">
        <f>IF(Table3[[#This Row],[Top Parent Account]]="",Table3[[#This Row],[Account Legal Name]],Table3[[#This Row],[Top Parent Account]])</f>
        <v>Sanichem Latinoamérica</v>
      </c>
      <c r="H1464" s="1"/>
    </row>
    <row r="1465" spans="1:8" x14ac:dyDescent="0.35">
      <c r="A1465" s="21"/>
      <c r="B1465" t="s">
        <v>925</v>
      </c>
      <c r="C1465" t="s">
        <v>6</v>
      </c>
      <c r="D1465" t="s">
        <v>4274</v>
      </c>
      <c r="F1465" s="1">
        <v>45979</v>
      </c>
      <c r="G1465" t="str">
        <f>IF(Table3[[#This Row],[Top Parent Account]]="",Table3[[#This Row],[Account Legal Name]],Table3[[#This Row],[Top Parent Account]])</f>
        <v>ABM POLIURETANO</v>
      </c>
      <c r="H1465" s="1"/>
    </row>
    <row r="1466" spans="1:8" x14ac:dyDescent="0.35">
      <c r="A1466" s="21"/>
      <c r="B1466" t="s">
        <v>3182</v>
      </c>
      <c r="C1466" t="s">
        <v>22</v>
      </c>
      <c r="D1466" t="s">
        <v>4271</v>
      </c>
      <c r="F1466" s="1">
        <v>45979</v>
      </c>
      <c r="G1466" t="str">
        <f>IF(Table3[[#This Row],[Top Parent Account]]="",Table3[[#This Row],[Account Legal Name]],Table3[[#This Row],[Top Parent Account]])</f>
        <v>Maxipet</v>
      </c>
      <c r="H1466" s="1"/>
    </row>
    <row r="1467" spans="1:8" x14ac:dyDescent="0.35">
      <c r="A1467" s="21"/>
      <c r="B1467" t="s">
        <v>1006</v>
      </c>
      <c r="C1467" t="s">
        <v>6</v>
      </c>
      <c r="D1467" t="s">
        <v>4272</v>
      </c>
      <c r="F1467" s="1">
        <v>45979</v>
      </c>
      <c r="G1467" t="str">
        <f>IF(Table3[[#This Row],[Top Parent Account]]="",Table3[[#This Row],[Account Legal Name]],Table3[[#This Row],[Top Parent Account]])</f>
        <v>Grupo Comercial Rosmot</v>
      </c>
      <c r="H1467" s="1"/>
    </row>
    <row r="1468" spans="1:8" x14ac:dyDescent="0.35">
      <c r="A1468" s="21"/>
      <c r="B1468" t="s">
        <v>280</v>
      </c>
      <c r="C1468" t="s">
        <v>6</v>
      </c>
      <c r="D1468" t="s">
        <v>4275</v>
      </c>
      <c r="F1468" s="1">
        <v>45979</v>
      </c>
      <c r="G1468" t="str">
        <f>IF(Table3[[#This Row],[Top Parent Account]]="",Table3[[#This Row],[Account Legal Name]],Table3[[#This Row],[Top Parent Account]])</f>
        <v>Profarmer Sinaloa</v>
      </c>
      <c r="H1468" s="1"/>
    </row>
    <row r="1469" spans="1:8" x14ac:dyDescent="0.35">
      <c r="A1469" s="21"/>
      <c r="B1469" t="s">
        <v>3114</v>
      </c>
      <c r="C1469" t="s">
        <v>52</v>
      </c>
      <c r="D1469" t="s">
        <v>1661</v>
      </c>
      <c r="F1469" s="1">
        <v>45979</v>
      </c>
      <c r="G1469" t="str">
        <f>IF(Table3[[#This Row],[Top Parent Account]]="",Table3[[#This Row],[Account Legal Name]],Table3[[#This Row],[Top Parent Account]])</f>
        <v>Procesadora La Nogalera</v>
      </c>
      <c r="H1469" s="1"/>
    </row>
    <row r="1470" spans="1:8" x14ac:dyDescent="0.35">
      <c r="A1470" s="21"/>
      <c r="B1470" t="s">
        <v>1131</v>
      </c>
      <c r="C1470" t="s">
        <v>6</v>
      </c>
      <c r="D1470" t="s">
        <v>997</v>
      </c>
      <c r="F1470" s="1">
        <v>45979</v>
      </c>
      <c r="G1470" t="str">
        <f>IF(Table3[[#This Row],[Top Parent Account]]="",Table3[[#This Row],[Account Legal Name]],Table3[[#This Row],[Top Parent Account]])</f>
        <v>Procesadora de alimentos El Bravo</v>
      </c>
      <c r="H1470" s="1"/>
    </row>
    <row r="1471" spans="1:8" x14ac:dyDescent="0.35">
      <c r="A1471" s="21"/>
      <c r="B1471" t="s">
        <v>3182</v>
      </c>
      <c r="C1471" t="s">
        <v>22</v>
      </c>
      <c r="D1471" t="s">
        <v>4276</v>
      </c>
      <c r="F1471" s="1">
        <v>45979</v>
      </c>
      <c r="G1471" t="str">
        <f>IF(Table3[[#This Row],[Top Parent Account]]="",Table3[[#This Row],[Account Legal Name]],Table3[[#This Row],[Top Parent Account]])</f>
        <v>Servicio Comercial Garis</v>
      </c>
      <c r="H1471" s="1"/>
    </row>
    <row r="1472" spans="1:8" x14ac:dyDescent="0.35">
      <c r="A1472" s="21"/>
      <c r="B1472" t="s">
        <v>70</v>
      </c>
      <c r="C1472" t="s">
        <v>6</v>
      </c>
      <c r="D1472" t="s">
        <v>4578</v>
      </c>
      <c r="F1472" s="1">
        <v>45978</v>
      </c>
      <c r="G1472" t="str">
        <f>IF(Table3[[#This Row],[Top Parent Account]]="",Table3[[#This Row],[Account Legal Name]],Table3[[#This Row],[Top Parent Account]])</f>
        <v>Grupo Farmacos Especializados (favorecida Gobierno 4T)</v>
      </c>
      <c r="H1472" s="1"/>
    </row>
    <row r="1473" spans="1:8" x14ac:dyDescent="0.35">
      <c r="A1473" s="21"/>
      <c r="B1473" t="s">
        <v>121</v>
      </c>
      <c r="C1473" t="s">
        <v>6</v>
      </c>
      <c r="D1473" t="s">
        <v>997</v>
      </c>
      <c r="F1473" s="1">
        <v>45978</v>
      </c>
      <c r="G1473" t="str">
        <f>IF(Table3[[#This Row],[Top Parent Account]]="",Table3[[#This Row],[Account Legal Name]],Table3[[#This Row],[Top Parent Account]])</f>
        <v>Procesadora de alimentos El Bravo</v>
      </c>
      <c r="H1473" s="1"/>
    </row>
    <row r="1474" spans="1:8" x14ac:dyDescent="0.35">
      <c r="A1474" s="21"/>
      <c r="B1474" t="s">
        <v>25</v>
      </c>
      <c r="C1474" t="s">
        <v>6</v>
      </c>
      <c r="D1474" t="s">
        <v>4401</v>
      </c>
      <c r="F1474" s="1">
        <v>45975</v>
      </c>
      <c r="G1474" t="str">
        <f>IF(Table3[[#This Row],[Top Parent Account]]="",Table3[[#This Row],[Account Legal Name]],Table3[[#This Row],[Top Parent Account]])</f>
        <v>MPC Manufacturas Plásticas de Cuernavaca</v>
      </c>
      <c r="H1474" s="1"/>
    </row>
    <row r="1475" spans="1:8" x14ac:dyDescent="0.35">
      <c r="A1475" s="21"/>
      <c r="B1475" t="s">
        <v>3628</v>
      </c>
      <c r="C1475" t="s">
        <v>6</v>
      </c>
      <c r="D1475" t="s">
        <v>4223</v>
      </c>
      <c r="F1475" s="1">
        <v>45975</v>
      </c>
      <c r="G1475" t="str">
        <f>IF(Table3[[#This Row],[Top Parent Account]]="",Table3[[#This Row],[Account Legal Name]],Table3[[#This Row],[Top Parent Account]])</f>
        <v>Reparaciones y Equipos de la Laguna</v>
      </c>
      <c r="H1475" s="1"/>
    </row>
    <row r="1476" spans="1:8" x14ac:dyDescent="0.35">
      <c r="A1476" s="21"/>
      <c r="B1476" t="s">
        <v>3093</v>
      </c>
      <c r="C1476" t="s">
        <v>6</v>
      </c>
      <c r="D1476" t="s">
        <v>411</v>
      </c>
      <c r="F1476" s="1">
        <v>45975</v>
      </c>
      <c r="G1476" t="str">
        <f>IF(Table3[[#This Row],[Top Parent Account]]="",Table3[[#This Row],[Account Legal Name]],Table3[[#This Row],[Top Parent Account]])</f>
        <v>Grupo Marhnos</v>
      </c>
      <c r="H1476" s="1"/>
    </row>
    <row r="1477" spans="1:8" x14ac:dyDescent="0.35">
      <c r="A1477" s="21"/>
      <c r="B1477" t="s">
        <v>12</v>
      </c>
      <c r="C1477" t="s">
        <v>6</v>
      </c>
      <c r="D1477" t="s">
        <v>473</v>
      </c>
      <c r="F1477" s="1">
        <v>45975</v>
      </c>
      <c r="G1477" t="str">
        <f>IF(Table3[[#This Row],[Top Parent Account]]="",Table3[[#This Row],[Account Legal Name]],Table3[[#This Row],[Top Parent Account]])</f>
        <v>COMERCIALIZADORA HECAFI DEL SURESTE</v>
      </c>
      <c r="H1477" s="1"/>
    </row>
    <row r="1478" spans="1:8" x14ac:dyDescent="0.35">
      <c r="A1478" s="21"/>
      <c r="B1478" t="s">
        <v>12</v>
      </c>
      <c r="C1478" t="s">
        <v>6</v>
      </c>
      <c r="D1478" t="s">
        <v>4196</v>
      </c>
      <c r="F1478" s="1">
        <v>45975</v>
      </c>
      <c r="G1478" t="str">
        <f>IF(Table3[[#This Row],[Top Parent Account]]="",Table3[[#This Row],[Account Legal Name]],Table3[[#This Row],[Top Parent Account]])</f>
        <v>Grupo R3</v>
      </c>
      <c r="H1478" s="1"/>
    </row>
    <row r="1479" spans="1:8" x14ac:dyDescent="0.35">
      <c r="A1479" s="21"/>
      <c r="B1479" t="s">
        <v>3182</v>
      </c>
      <c r="C1479" t="s">
        <v>6</v>
      </c>
      <c r="D1479" t="s">
        <v>1021</v>
      </c>
      <c r="F1479" s="1">
        <v>45975</v>
      </c>
      <c r="G1479" t="str">
        <f>IF(Table3[[#This Row],[Top Parent Account]]="",Table3[[#This Row],[Account Legal Name]],Table3[[#This Row],[Top Parent Account]])</f>
        <v>Puratos de México</v>
      </c>
      <c r="H1479" s="1"/>
    </row>
    <row r="1480" spans="1:8" x14ac:dyDescent="0.35">
      <c r="A1480" s="21"/>
      <c r="B1480" t="s">
        <v>10</v>
      </c>
      <c r="C1480" t="s">
        <v>6</v>
      </c>
      <c r="D1480" t="s">
        <v>4224</v>
      </c>
      <c r="F1480" s="1">
        <v>45975</v>
      </c>
      <c r="G1480" t="str">
        <f>IF(Table3[[#This Row],[Top Parent Account]]="",Table3[[#This Row],[Account Legal Name]],Table3[[#This Row],[Top Parent Account]])</f>
        <v>Agricola Cueto Produce</v>
      </c>
      <c r="H1480" s="1"/>
    </row>
    <row r="1481" spans="1:8" x14ac:dyDescent="0.35">
      <c r="A1481" s="21"/>
      <c r="B1481" t="s">
        <v>121</v>
      </c>
      <c r="C1481" t="s">
        <v>6</v>
      </c>
      <c r="D1481" t="s">
        <v>4199</v>
      </c>
      <c r="F1481" s="1">
        <v>45975</v>
      </c>
      <c r="G1481" t="str">
        <f>IF(Table3[[#This Row],[Top Parent Account]]="",Table3[[#This Row],[Account Legal Name]],Table3[[#This Row],[Top Parent Account]])</f>
        <v>Olympo Farms</v>
      </c>
      <c r="H1481" s="1"/>
    </row>
    <row r="1482" spans="1:8" x14ac:dyDescent="0.35">
      <c r="A1482" s="21"/>
      <c r="B1482" t="s">
        <v>989</v>
      </c>
      <c r="C1482" t="s">
        <v>6</v>
      </c>
      <c r="D1482" t="s">
        <v>177</v>
      </c>
      <c r="F1482" s="1">
        <v>45975</v>
      </c>
      <c r="G1482" t="str">
        <f>IF(Table3[[#This Row],[Top Parent Account]]="",Table3[[#This Row],[Account Legal Name]],Table3[[#This Row],[Top Parent Account]])</f>
        <v>Cartonera Plástica</v>
      </c>
      <c r="H1482" s="1"/>
    </row>
    <row r="1483" spans="1:8" x14ac:dyDescent="0.35">
      <c r="A1483" s="21"/>
      <c r="B1483" t="s">
        <v>1006</v>
      </c>
      <c r="C1483" t="s">
        <v>6</v>
      </c>
      <c r="D1483" t="s">
        <v>3590</v>
      </c>
      <c r="F1483" s="1">
        <v>45975</v>
      </c>
      <c r="G1483" t="str">
        <f>IF(Table3[[#This Row],[Top Parent Account]]="",Table3[[#This Row],[Account Legal Name]],Table3[[#This Row],[Top Parent Account]])</f>
        <v>Frescar</v>
      </c>
      <c r="H1483" s="1"/>
    </row>
    <row r="1484" spans="1:8" x14ac:dyDescent="0.35">
      <c r="A1484" s="21"/>
      <c r="B1484" t="s">
        <v>989</v>
      </c>
      <c r="C1484" t="s">
        <v>6</v>
      </c>
      <c r="D1484" t="s">
        <v>2018</v>
      </c>
      <c r="F1484" s="1">
        <v>45975</v>
      </c>
      <c r="G1484" t="str">
        <f>IF(Table3[[#This Row],[Top Parent Account]]="",Table3[[#This Row],[Account Legal Name]],Table3[[#This Row],[Top Parent Account]])</f>
        <v>Microformas</v>
      </c>
      <c r="H1484" s="1"/>
    </row>
    <row r="1485" spans="1:8" x14ac:dyDescent="0.35">
      <c r="A1485" s="21"/>
      <c r="B1485" t="s">
        <v>989</v>
      </c>
      <c r="C1485" t="s">
        <v>6</v>
      </c>
      <c r="D1485" t="s">
        <v>3047</v>
      </c>
      <c r="F1485" s="1">
        <v>45975</v>
      </c>
      <c r="G1485" t="str">
        <f>IF(Table3[[#This Row],[Top Parent Account]]="",Table3[[#This Row],[Account Legal Name]],Table3[[#This Row],[Top Parent Account]])</f>
        <v>OMNIA TECHNOLOGIES MEXICO</v>
      </c>
      <c r="H1485" s="1"/>
    </row>
    <row r="1486" spans="1:8" x14ac:dyDescent="0.35">
      <c r="A1486" s="21"/>
      <c r="B1486" t="s">
        <v>989</v>
      </c>
      <c r="C1486" t="s">
        <v>6</v>
      </c>
      <c r="D1486" t="s">
        <v>4197</v>
      </c>
      <c r="F1486" s="1">
        <v>45975</v>
      </c>
      <c r="G1486" t="str">
        <f>IF(Table3[[#This Row],[Top Parent Account]]="",Table3[[#This Row],[Account Legal Name]],Table3[[#This Row],[Top Parent Account]])</f>
        <v>Grupo Textil Altex</v>
      </c>
      <c r="H1486" s="1"/>
    </row>
    <row r="1487" spans="1:8" x14ac:dyDescent="0.35">
      <c r="A1487" s="21"/>
      <c r="B1487" t="s">
        <v>121</v>
      </c>
      <c r="C1487" t="s">
        <v>6</v>
      </c>
      <c r="D1487" t="s">
        <v>4198</v>
      </c>
      <c r="F1487" s="1">
        <v>45975</v>
      </c>
      <c r="G1487" t="str">
        <f>IF(Table3[[#This Row],[Top Parent Account]]="",Table3[[#This Row],[Account Legal Name]],Table3[[#This Row],[Top Parent Account]])</f>
        <v>Artes Gráficas Sinaloenses</v>
      </c>
      <c r="H1487" s="1"/>
    </row>
    <row r="1488" spans="1:8" x14ac:dyDescent="0.35">
      <c r="A1488" s="21"/>
      <c r="B1488" t="s">
        <v>989</v>
      </c>
      <c r="C1488" t="s">
        <v>6</v>
      </c>
      <c r="D1488" t="s">
        <v>941</v>
      </c>
      <c r="E1488" t="s">
        <v>1230</v>
      </c>
      <c r="F1488" s="1">
        <v>45975</v>
      </c>
      <c r="G1488" t="str">
        <f>IF(Table3[[#This Row],[Top Parent Account]]="",Table3[[#This Row],[Account Legal Name]],Table3[[#This Row],[Top Parent Account]])</f>
        <v>Kante Industries</v>
      </c>
      <c r="H1488" s="1"/>
    </row>
    <row r="1489" spans="1:8" x14ac:dyDescent="0.35">
      <c r="A1489" s="21"/>
      <c r="B1489" t="s">
        <v>3129</v>
      </c>
      <c r="C1489" t="s">
        <v>6</v>
      </c>
      <c r="D1489" t="s">
        <v>401</v>
      </c>
      <c r="F1489" s="1">
        <v>45975</v>
      </c>
      <c r="G1489" t="str">
        <f>IF(Table3[[#This Row],[Top Parent Account]]="",Table3[[#This Row],[Account Legal Name]],Table3[[#This Row],[Top Parent Account]])</f>
        <v>Grupo Pavisa</v>
      </c>
      <c r="H1489" s="1"/>
    </row>
    <row r="1490" spans="1:8" x14ac:dyDescent="0.35">
      <c r="A1490" s="21"/>
      <c r="B1490" t="s">
        <v>28</v>
      </c>
      <c r="C1490" t="s">
        <v>6</v>
      </c>
      <c r="D1490" t="s">
        <v>3089</v>
      </c>
      <c r="F1490" s="1">
        <v>45975</v>
      </c>
      <c r="G1490" t="str">
        <f>IF(Table3[[#This Row],[Top Parent Account]]="",Table3[[#This Row],[Account Legal Name]],Table3[[#This Row],[Top Parent Account]])</f>
        <v>FCA-FASEMEX</v>
      </c>
      <c r="H1490" s="1"/>
    </row>
    <row r="1491" spans="1:8" x14ac:dyDescent="0.35">
      <c r="A1491" s="21"/>
      <c r="B1491" t="s">
        <v>2912</v>
      </c>
      <c r="C1491" t="s">
        <v>6</v>
      </c>
      <c r="D1491" t="s">
        <v>4200</v>
      </c>
      <c r="F1491" s="1">
        <v>45975</v>
      </c>
      <c r="G1491" t="str">
        <f>IF(Table3[[#This Row],[Top Parent Account]]="",Table3[[#This Row],[Account Legal Name]],Table3[[#This Row],[Top Parent Account]])</f>
        <v>Avi Glass</v>
      </c>
      <c r="H1491" s="1"/>
    </row>
    <row r="1492" spans="1:8" x14ac:dyDescent="0.35">
      <c r="A1492" s="21"/>
      <c r="B1492" t="s">
        <v>121</v>
      </c>
      <c r="C1492" t="s">
        <v>6</v>
      </c>
      <c r="D1492" t="s">
        <v>3605</v>
      </c>
      <c r="F1492" s="1">
        <v>45975</v>
      </c>
      <c r="G1492" t="str">
        <f>IF(Table3[[#This Row],[Top Parent Account]]="",Table3[[#This Row],[Account Legal Name]],Table3[[#This Row],[Top Parent Account]])</f>
        <v>HAPPY GREENHOUSE</v>
      </c>
      <c r="H1492" s="1"/>
    </row>
    <row r="1493" spans="1:8" x14ac:dyDescent="0.35">
      <c r="A1493" s="21"/>
      <c r="B1493" t="s">
        <v>121</v>
      </c>
      <c r="C1493" t="s">
        <v>6</v>
      </c>
      <c r="D1493" t="s">
        <v>4202</v>
      </c>
      <c r="F1493" s="1">
        <v>45975</v>
      </c>
      <c r="G1493" t="str">
        <f>IF(Table3[[#This Row],[Top Parent Account]]="",Table3[[#This Row],[Account Legal Name]],Table3[[#This Row],[Top Parent Account]])</f>
        <v>Concretos 2H</v>
      </c>
      <c r="H1493" s="1"/>
    </row>
    <row r="1494" spans="1:8" x14ac:dyDescent="0.35">
      <c r="A1494" s="21"/>
      <c r="B1494" t="s">
        <v>39</v>
      </c>
      <c r="C1494" t="s">
        <v>1038</v>
      </c>
      <c r="D1494" t="s">
        <v>4176</v>
      </c>
      <c r="F1494" s="1">
        <v>45975</v>
      </c>
      <c r="G1494" t="str">
        <f>IF(Table3[[#This Row],[Top Parent Account]]="",Table3[[#This Row],[Account Legal Name]],Table3[[#This Row],[Top Parent Account]])</f>
        <v>Intec Group</v>
      </c>
      <c r="H1494" s="1"/>
    </row>
    <row r="1495" spans="1:8" x14ac:dyDescent="0.35">
      <c r="A1495" s="21"/>
      <c r="B1495" t="s">
        <v>29</v>
      </c>
      <c r="C1495" t="s">
        <v>6</v>
      </c>
      <c r="D1495" t="s">
        <v>4201</v>
      </c>
      <c r="F1495" s="1">
        <v>45975</v>
      </c>
      <c r="G1495" t="str">
        <f>IF(Table3[[#This Row],[Top Parent Account]]="",Table3[[#This Row],[Account Legal Name]],Table3[[#This Row],[Top Parent Account]])</f>
        <v>Transportes Innovativos</v>
      </c>
      <c r="H1495" s="1"/>
    </row>
    <row r="1496" spans="1:8" x14ac:dyDescent="0.35">
      <c r="A1496" s="21"/>
      <c r="B1496" t="s">
        <v>932</v>
      </c>
      <c r="C1496" t="s">
        <v>6</v>
      </c>
      <c r="D1496" t="s">
        <v>2064</v>
      </c>
      <c r="F1496" s="1">
        <v>45975</v>
      </c>
      <c r="G1496" t="str">
        <f>IF(Table3[[#This Row],[Top Parent Account]]="",Table3[[#This Row],[Account Legal Name]],Table3[[#This Row],[Top Parent Account]])</f>
        <v>Védat de Mexico</v>
      </c>
      <c r="H1496" s="1"/>
    </row>
    <row r="1497" spans="1:8" x14ac:dyDescent="0.35">
      <c r="A1497" s="21"/>
      <c r="B1497" t="s">
        <v>3182</v>
      </c>
      <c r="C1497" t="s">
        <v>6</v>
      </c>
      <c r="D1497" t="s">
        <v>972</v>
      </c>
      <c r="F1497" s="1">
        <v>45975</v>
      </c>
      <c r="G1497" t="str">
        <f>IF(Table3[[#This Row],[Top Parent Account]]="",Table3[[#This Row],[Account Legal Name]],Table3[[#This Row],[Top Parent Account]])</f>
        <v>Sistemas y Equipos Procesadores de Efectivo</v>
      </c>
      <c r="H1497" s="1"/>
    </row>
    <row r="1498" spans="1:8" x14ac:dyDescent="0.35">
      <c r="A1498" s="21"/>
      <c r="B1498" t="s">
        <v>26</v>
      </c>
      <c r="C1498" t="s">
        <v>6</v>
      </c>
      <c r="D1498" t="s">
        <v>483</v>
      </c>
      <c r="F1498" s="1">
        <v>45974</v>
      </c>
      <c r="G1498" t="str">
        <f>IF(Table3[[#This Row],[Top Parent Account]]="",Table3[[#This Row],[Account Legal Name]],Table3[[#This Row],[Top Parent Account]])</f>
        <v>Entretelas Brinco</v>
      </c>
      <c r="H1498" s="1"/>
    </row>
    <row r="1499" spans="1:8" x14ac:dyDescent="0.35">
      <c r="A1499" s="21"/>
      <c r="B1499" t="s">
        <v>18</v>
      </c>
      <c r="C1499" t="s">
        <v>6</v>
      </c>
      <c r="D1499" t="s">
        <v>2856</v>
      </c>
      <c r="F1499" s="1">
        <v>45974</v>
      </c>
      <c r="G1499" t="str">
        <f>IF(Table3[[#This Row],[Top Parent Account]]="",Table3[[#This Row],[Account Legal Name]],Table3[[#This Row],[Top Parent Account]])</f>
        <v>PSM Acero</v>
      </c>
      <c r="H1499" s="1"/>
    </row>
    <row r="1500" spans="1:8" x14ac:dyDescent="0.35">
      <c r="A1500" s="21"/>
      <c r="B1500" t="s">
        <v>32</v>
      </c>
      <c r="C1500" t="s">
        <v>6</v>
      </c>
      <c r="D1500" t="s">
        <v>4607</v>
      </c>
      <c r="F1500" s="1">
        <v>45974</v>
      </c>
      <c r="G1500" t="str">
        <f>IF(Table3[[#This Row],[Top Parent Account]]="",Table3[[#This Row],[Account Legal Name]],Table3[[#This Row],[Top Parent Account]])</f>
        <v>Grupo Filoa</v>
      </c>
      <c r="H1500" s="1"/>
    </row>
    <row r="1501" spans="1:8" x14ac:dyDescent="0.35">
      <c r="A1501" s="21"/>
      <c r="B1501" t="s">
        <v>2693</v>
      </c>
      <c r="C1501" t="s">
        <v>6</v>
      </c>
      <c r="D1501" t="s">
        <v>3589</v>
      </c>
      <c r="E1501" t="s">
        <v>341</v>
      </c>
      <c r="F1501" s="1">
        <v>45974</v>
      </c>
      <c r="G1501" t="str">
        <f>IF(Table3[[#This Row],[Top Parent Account]]="",Table3[[#This Row],[Account Legal Name]],Table3[[#This Row],[Top Parent Account]])</f>
        <v>Logistica Interncional De Mercancias</v>
      </c>
      <c r="H1501" s="1"/>
    </row>
    <row r="1502" spans="1:8" x14ac:dyDescent="0.35">
      <c r="A1502" s="21"/>
      <c r="B1502" t="s">
        <v>37</v>
      </c>
      <c r="C1502" t="s">
        <v>6</v>
      </c>
      <c r="D1502" t="s">
        <v>1628</v>
      </c>
      <c r="F1502" s="1">
        <v>45974</v>
      </c>
      <c r="G1502" t="str">
        <f>IF(Table3[[#This Row],[Top Parent Account]]="",Table3[[#This Row],[Account Legal Name]],Table3[[#This Row],[Top Parent Account]])</f>
        <v>Maquinaria de Elevacion</v>
      </c>
      <c r="H1502" s="1"/>
    </row>
    <row r="1503" spans="1:8" x14ac:dyDescent="0.35">
      <c r="A1503" s="21"/>
      <c r="B1503" t="s">
        <v>172</v>
      </c>
      <c r="C1503" t="s">
        <v>6</v>
      </c>
      <c r="D1503" t="s">
        <v>4203</v>
      </c>
      <c r="F1503" s="1">
        <v>45974</v>
      </c>
      <c r="G1503" t="str">
        <f>IF(Table3[[#This Row],[Top Parent Account]]="",Table3[[#This Row],[Account Legal Name]],Table3[[#This Row],[Top Parent Account]])</f>
        <v>SEPSTAR MEXICO</v>
      </c>
      <c r="H1503" s="1"/>
    </row>
    <row r="1504" spans="1:8" x14ac:dyDescent="0.35">
      <c r="A1504" s="21"/>
      <c r="B1504" t="s">
        <v>208</v>
      </c>
      <c r="C1504" t="s">
        <v>6</v>
      </c>
      <c r="D1504" t="s">
        <v>585</v>
      </c>
      <c r="F1504" s="1">
        <v>45974</v>
      </c>
      <c r="G1504" t="str">
        <f>IF(Table3[[#This Row],[Top Parent Account]]="",Table3[[#This Row],[Account Legal Name]],Table3[[#This Row],[Top Parent Account]])</f>
        <v>Empacadora La Merced</v>
      </c>
      <c r="H1504" s="1"/>
    </row>
    <row r="1505" spans="1:8" x14ac:dyDescent="0.35">
      <c r="A1505" s="21"/>
      <c r="B1505" t="s">
        <v>26</v>
      </c>
      <c r="C1505" t="s">
        <v>6</v>
      </c>
      <c r="D1505" t="s">
        <v>4146</v>
      </c>
      <c r="F1505" s="1">
        <v>45974</v>
      </c>
      <c r="G1505" t="str">
        <f>IF(Table3[[#This Row],[Top Parent Account]]="",Table3[[#This Row],[Account Legal Name]],Table3[[#This Row],[Top Parent Account]])</f>
        <v>Supera Prestamos</v>
      </c>
      <c r="H1505" s="1"/>
    </row>
    <row r="1506" spans="1:8" x14ac:dyDescent="0.35">
      <c r="A1506" s="21"/>
      <c r="B1506" t="s">
        <v>932</v>
      </c>
      <c r="C1506" t="s">
        <v>6</v>
      </c>
      <c r="D1506" t="s">
        <v>4204</v>
      </c>
      <c r="F1506" s="1">
        <v>45974</v>
      </c>
      <c r="G1506" t="str">
        <f>IF(Table3[[#This Row],[Top Parent Account]]="",Table3[[#This Row],[Account Legal Name]],Table3[[#This Row],[Top Parent Account]])</f>
        <v>PROFESIONALES EN MANTENIMIENTO Y LIMPIEZA JLS</v>
      </c>
      <c r="H1506" s="1"/>
    </row>
    <row r="1507" spans="1:8" x14ac:dyDescent="0.35">
      <c r="A1507" s="21"/>
      <c r="B1507" t="s">
        <v>14</v>
      </c>
      <c r="C1507" t="s">
        <v>6</v>
      </c>
      <c r="D1507" t="s">
        <v>1128</v>
      </c>
      <c r="F1507" s="1">
        <v>45974</v>
      </c>
      <c r="G1507" t="str">
        <f>IF(Table3[[#This Row],[Top Parent Account]]="",Table3[[#This Row],[Account Legal Name]],Table3[[#This Row],[Top Parent Account]])</f>
        <v>Logística Express La Bufa</v>
      </c>
      <c r="H1507" s="1"/>
    </row>
    <row r="1508" spans="1:8" x14ac:dyDescent="0.35">
      <c r="A1508" s="21"/>
      <c r="B1508" t="s">
        <v>24</v>
      </c>
      <c r="C1508" t="s">
        <v>6</v>
      </c>
      <c r="D1508" t="s">
        <v>4147</v>
      </c>
      <c r="F1508" s="1">
        <v>45974</v>
      </c>
      <c r="G1508" t="str">
        <f>IF(Table3[[#This Row],[Top Parent Account]]="",Table3[[#This Row],[Account Legal Name]],Table3[[#This Row],[Top Parent Account]])</f>
        <v>MARES SEA FOOD</v>
      </c>
      <c r="H1508" s="1"/>
    </row>
    <row r="1509" spans="1:8" x14ac:dyDescent="0.35">
      <c r="A1509" s="21"/>
      <c r="B1509" t="s">
        <v>32</v>
      </c>
      <c r="C1509" t="s">
        <v>6</v>
      </c>
      <c r="D1509" t="s">
        <v>4205</v>
      </c>
      <c r="F1509" s="1">
        <v>45974</v>
      </c>
      <c r="G1509" t="str">
        <f>IF(Table3[[#This Row],[Top Parent Account]]="",Table3[[#This Row],[Account Legal Name]],Table3[[#This Row],[Top Parent Account]])</f>
        <v>Dawn Foods</v>
      </c>
      <c r="H1509" s="1"/>
    </row>
    <row r="1510" spans="1:8" x14ac:dyDescent="0.35">
      <c r="A1510" s="21"/>
      <c r="B1510" t="s">
        <v>925</v>
      </c>
      <c r="C1510" t="s">
        <v>6</v>
      </c>
      <c r="D1510" t="s">
        <v>4148</v>
      </c>
      <c r="F1510" s="1">
        <v>45974</v>
      </c>
      <c r="G1510" t="str">
        <f>IF(Table3[[#This Row],[Top Parent Account]]="",Table3[[#This Row],[Account Legal Name]],Table3[[#This Row],[Top Parent Account]])</f>
        <v>INDUSTRIAL PROCESS AND PROJECTS</v>
      </c>
      <c r="H1510" s="1"/>
    </row>
    <row r="1511" spans="1:8" x14ac:dyDescent="0.35">
      <c r="A1511" s="21"/>
      <c r="B1511" t="s">
        <v>1006</v>
      </c>
      <c r="C1511" t="s">
        <v>6</v>
      </c>
      <c r="D1511" t="s">
        <v>4206</v>
      </c>
      <c r="F1511" s="1">
        <v>45974</v>
      </c>
      <c r="G1511" t="str">
        <f>IF(Table3[[#This Row],[Top Parent Account]]="",Table3[[#This Row],[Account Legal Name]],Table3[[#This Row],[Top Parent Account]])</f>
        <v>UTCM UNION TRANSPORTISTA DE CARGA DE MANZANILLO</v>
      </c>
      <c r="H1511" s="1"/>
    </row>
    <row r="1512" spans="1:8" x14ac:dyDescent="0.35">
      <c r="A1512" s="21"/>
      <c r="B1512" t="s">
        <v>70</v>
      </c>
      <c r="C1512" t="s">
        <v>6</v>
      </c>
      <c r="D1512" t="s">
        <v>4149</v>
      </c>
      <c r="F1512" s="1">
        <v>45974</v>
      </c>
      <c r="G1512" t="str">
        <f>IF(Table3[[#This Row],[Top Parent Account]]="",Table3[[#This Row],[Account Legal Name]],Table3[[#This Row],[Top Parent Account]])</f>
        <v>GRUPO RENGA SEGURIDAD PRIVADA</v>
      </c>
      <c r="H1512" s="1"/>
    </row>
    <row r="1513" spans="1:8" x14ac:dyDescent="0.35">
      <c r="A1513" s="21"/>
      <c r="B1513" t="s">
        <v>84</v>
      </c>
      <c r="C1513" t="s">
        <v>6</v>
      </c>
      <c r="D1513" t="s">
        <v>4150</v>
      </c>
      <c r="F1513" s="1">
        <v>45974</v>
      </c>
      <c r="G1513" t="str">
        <f>IF(Table3[[#This Row],[Top Parent Account]]="",Table3[[#This Row],[Account Legal Name]],Table3[[#This Row],[Top Parent Account]])</f>
        <v>Lacteos La Jolla</v>
      </c>
      <c r="H1513" s="1"/>
    </row>
    <row r="1514" spans="1:8" x14ac:dyDescent="0.35">
      <c r="A1514" s="21"/>
      <c r="B1514" t="s">
        <v>739</v>
      </c>
      <c r="C1514" t="s">
        <v>6</v>
      </c>
      <c r="D1514" t="s">
        <v>362</v>
      </c>
      <c r="F1514" s="1">
        <v>45974</v>
      </c>
      <c r="G1514" t="str">
        <f>IF(Table3[[#This Row],[Top Parent Account]]="",Table3[[#This Row],[Account Legal Name]],Table3[[#This Row],[Top Parent Account]])</f>
        <v>Rhino Maquinaria</v>
      </c>
      <c r="H1514" s="1"/>
    </row>
    <row r="1515" spans="1:8" x14ac:dyDescent="0.35">
      <c r="A1515" s="21"/>
      <c r="B1515" t="s">
        <v>10</v>
      </c>
      <c r="C1515" t="s">
        <v>6</v>
      </c>
      <c r="D1515" t="s">
        <v>1317</v>
      </c>
      <c r="F1515" s="1">
        <v>45974</v>
      </c>
      <c r="G1515" t="str">
        <f>IF(Table3[[#This Row],[Top Parent Account]]="",Table3[[#This Row],[Account Legal Name]],Table3[[#This Row],[Top Parent Account]])</f>
        <v>Laboratorios Pisa</v>
      </c>
      <c r="H1515" s="1"/>
    </row>
    <row r="1516" spans="1:8" x14ac:dyDescent="0.35">
      <c r="A1516" s="21"/>
      <c r="B1516" t="s">
        <v>88</v>
      </c>
      <c r="C1516" t="s">
        <v>6</v>
      </c>
      <c r="D1516" t="s">
        <v>4151</v>
      </c>
      <c r="F1516" s="1">
        <v>45974</v>
      </c>
      <c r="G1516" t="str">
        <f>IF(Table3[[#This Row],[Top Parent Account]]="",Table3[[#This Row],[Account Legal Name]],Table3[[#This Row],[Top Parent Account]])</f>
        <v>CBOX MX</v>
      </c>
      <c r="H1516" s="1"/>
    </row>
    <row r="1517" spans="1:8" x14ac:dyDescent="0.35">
      <c r="A1517" s="21"/>
      <c r="B1517" t="s">
        <v>3182</v>
      </c>
      <c r="C1517" t="s">
        <v>6</v>
      </c>
      <c r="D1517" t="s">
        <v>4152</v>
      </c>
      <c r="F1517" s="1">
        <v>45974</v>
      </c>
      <c r="G1517" t="str">
        <f>IF(Table3[[#This Row],[Top Parent Account]]="",Table3[[#This Row],[Account Legal Name]],Table3[[#This Row],[Top Parent Account]])</f>
        <v>Resortes y Partes</v>
      </c>
      <c r="H1517" s="1"/>
    </row>
    <row r="1518" spans="1:8" x14ac:dyDescent="0.35">
      <c r="A1518" s="21"/>
      <c r="B1518" t="s">
        <v>28</v>
      </c>
      <c r="C1518" t="s">
        <v>6</v>
      </c>
      <c r="D1518" t="s">
        <v>4153</v>
      </c>
      <c r="F1518" s="1">
        <v>45974</v>
      </c>
      <c r="G1518" t="str">
        <f>IF(Table3[[#This Row],[Top Parent Account]]="",Table3[[#This Row],[Account Legal Name]],Table3[[#This Row],[Top Parent Account]])</f>
        <v>FORESTAL LAGUNERA</v>
      </c>
      <c r="H1518" s="1"/>
    </row>
    <row r="1519" spans="1:8" x14ac:dyDescent="0.35">
      <c r="A1519" s="21"/>
      <c r="B1519" t="s">
        <v>932</v>
      </c>
      <c r="C1519" t="s">
        <v>6</v>
      </c>
      <c r="D1519" t="s">
        <v>2848</v>
      </c>
      <c r="F1519" s="1">
        <v>45974</v>
      </c>
      <c r="G1519" t="str">
        <f>IF(Table3[[#This Row],[Top Parent Account]]="",Table3[[#This Row],[Account Legal Name]],Table3[[#This Row],[Top Parent Account]])</f>
        <v>Machines Warehouse</v>
      </c>
      <c r="H1519" s="1"/>
    </row>
    <row r="1520" spans="1:8" x14ac:dyDescent="0.35">
      <c r="A1520" s="21"/>
      <c r="B1520" t="s">
        <v>88</v>
      </c>
      <c r="C1520" t="s">
        <v>22</v>
      </c>
      <c r="D1520" t="s">
        <v>4207</v>
      </c>
      <c r="F1520" s="1">
        <v>45974</v>
      </c>
      <c r="G1520" t="str">
        <f>IF(Table3[[#This Row],[Top Parent Account]]="",Table3[[#This Row],[Account Legal Name]],Table3[[#This Row],[Top Parent Account]])</f>
        <v>DIGSSA PACKAGING AND SUPPLY</v>
      </c>
      <c r="H1520" s="1"/>
    </row>
    <row r="1521" spans="1:8" x14ac:dyDescent="0.35">
      <c r="A1521" s="21"/>
      <c r="B1521" t="s">
        <v>2884</v>
      </c>
      <c r="C1521" t="s">
        <v>6</v>
      </c>
      <c r="D1521" t="s">
        <v>4154</v>
      </c>
      <c r="E1521" t="s">
        <v>4155</v>
      </c>
      <c r="F1521" s="1">
        <v>45974</v>
      </c>
      <c r="G1521" t="str">
        <f>IF(Table3[[#This Row],[Top Parent Account]]="",Table3[[#This Row],[Account Legal Name]],Table3[[#This Row],[Top Parent Account]])</f>
        <v>GMP BV</v>
      </c>
      <c r="H1521" s="1"/>
    </row>
    <row r="1522" spans="1:8" x14ac:dyDescent="0.35">
      <c r="A1522" s="21"/>
      <c r="B1522" t="s">
        <v>2693</v>
      </c>
      <c r="C1522" t="s">
        <v>6</v>
      </c>
      <c r="D1522" t="s">
        <v>4208</v>
      </c>
      <c r="F1522" s="1">
        <v>45974</v>
      </c>
      <c r="G1522" t="str">
        <f>IF(Table3[[#This Row],[Top Parent Account]]="",Table3[[#This Row],[Account Legal Name]],Table3[[#This Row],[Top Parent Account]])</f>
        <v>Ep Insumos</v>
      </c>
      <c r="H1522" s="1"/>
    </row>
    <row r="1523" spans="1:8" x14ac:dyDescent="0.35">
      <c r="A1523" s="21"/>
      <c r="B1523" t="s">
        <v>3129</v>
      </c>
      <c r="C1523" t="s">
        <v>6</v>
      </c>
      <c r="D1523" t="s">
        <v>420</v>
      </c>
      <c r="F1523" s="1">
        <v>45974</v>
      </c>
      <c r="G1523" t="str">
        <f>IF(Table3[[#This Row],[Top Parent Account]]="",Table3[[#This Row],[Account Legal Name]],Table3[[#This Row],[Top Parent Account]])</f>
        <v>Mercado Libre</v>
      </c>
      <c r="H1523" s="1"/>
    </row>
    <row r="1524" spans="1:8" x14ac:dyDescent="0.35">
      <c r="A1524" s="21"/>
      <c r="B1524" t="s">
        <v>32</v>
      </c>
      <c r="C1524" t="s">
        <v>6</v>
      </c>
      <c r="D1524" t="s">
        <v>461</v>
      </c>
      <c r="F1524" s="1">
        <v>45974</v>
      </c>
      <c r="G1524" t="str">
        <f>IF(Table3[[#This Row],[Top Parent Account]]="",Table3[[#This Row],[Account Legal Name]],Table3[[#This Row],[Top Parent Account]])</f>
        <v>Prefamovil Infraestructura</v>
      </c>
      <c r="H1524" s="1"/>
    </row>
    <row r="1525" spans="1:8" x14ac:dyDescent="0.35">
      <c r="A1525" s="21"/>
      <c r="B1525" t="s">
        <v>1131</v>
      </c>
      <c r="C1525" t="s">
        <v>6</v>
      </c>
      <c r="D1525" t="s">
        <v>4156</v>
      </c>
      <c r="F1525" s="1">
        <v>45974</v>
      </c>
      <c r="G1525" t="str">
        <f>IF(Table3[[#This Row],[Top Parent Account]]="",Table3[[#This Row],[Account Legal Name]],Table3[[#This Row],[Top Parent Account]])</f>
        <v>PANAMOTORS CENTER</v>
      </c>
      <c r="H1525" s="1"/>
    </row>
    <row r="1526" spans="1:8" x14ac:dyDescent="0.35">
      <c r="A1526" s="21"/>
      <c r="B1526" t="s">
        <v>1511</v>
      </c>
      <c r="C1526" t="s">
        <v>22</v>
      </c>
      <c r="D1526" t="s">
        <v>439</v>
      </c>
      <c r="F1526" s="1">
        <v>45974</v>
      </c>
      <c r="G1526" t="str">
        <f>IF(Table3[[#This Row],[Top Parent Account]]="",Table3[[#This Row],[Account Legal Name]],Table3[[#This Row],[Top Parent Account]])</f>
        <v>Copamex</v>
      </c>
      <c r="H1526" s="1"/>
    </row>
    <row r="1527" spans="1:8" x14ac:dyDescent="0.35">
      <c r="A1527" s="21"/>
      <c r="B1527" t="s">
        <v>3628</v>
      </c>
      <c r="C1527" t="s">
        <v>6</v>
      </c>
      <c r="D1527" t="s">
        <v>4104</v>
      </c>
      <c r="F1527" s="1">
        <v>45974</v>
      </c>
      <c r="G1527" t="str">
        <f>IF(Table3[[#This Row],[Top Parent Account]]="",Table3[[#This Row],[Account Legal Name]],Table3[[#This Row],[Top Parent Account]])</f>
        <v>Suminregio</v>
      </c>
      <c r="H1527" s="1"/>
    </row>
    <row r="1528" spans="1:8" x14ac:dyDescent="0.35">
      <c r="A1528" s="21"/>
      <c r="B1528" t="s">
        <v>3182</v>
      </c>
      <c r="C1528" t="s">
        <v>22</v>
      </c>
      <c r="D1528" t="s">
        <v>3183</v>
      </c>
      <c r="E1528" t="s">
        <v>919</v>
      </c>
      <c r="F1528" s="1">
        <v>45974</v>
      </c>
      <c r="G1528" t="str">
        <f>IF(Table3[[#This Row],[Top Parent Account]]="",Table3[[#This Row],[Account Legal Name]],Table3[[#This Row],[Top Parent Account]])</f>
        <v>Caabsa</v>
      </c>
      <c r="H1528" s="1"/>
    </row>
    <row r="1529" spans="1:8" x14ac:dyDescent="0.35">
      <c r="A1529" s="21"/>
      <c r="B1529" t="s">
        <v>739</v>
      </c>
      <c r="C1529" t="s">
        <v>6</v>
      </c>
      <c r="D1529" t="s">
        <v>4059</v>
      </c>
      <c r="F1529" s="1">
        <v>45973</v>
      </c>
      <c r="G1529" t="str">
        <f>IF(Table3[[#This Row],[Top Parent Account]]="",Table3[[#This Row],[Account Legal Name]],Table3[[#This Row],[Top Parent Account]])</f>
        <v>Producciones Signaléticas Mexicanas</v>
      </c>
      <c r="H1529" s="1"/>
    </row>
    <row r="1530" spans="1:8" x14ac:dyDescent="0.35">
      <c r="A1530" s="21"/>
      <c r="B1530" t="s">
        <v>1511</v>
      </c>
      <c r="C1530" t="s">
        <v>22</v>
      </c>
      <c r="D1530" t="s">
        <v>436</v>
      </c>
      <c r="F1530" s="1">
        <v>45973</v>
      </c>
      <c r="G1530" t="str">
        <f>IF(Table3[[#This Row],[Top Parent Account]]="",Table3[[#This Row],[Account Legal Name]],Table3[[#This Row],[Top Parent Account]])</f>
        <v>Plastiexports</v>
      </c>
      <c r="H1530" s="1"/>
    </row>
    <row r="1531" spans="1:8" x14ac:dyDescent="0.35">
      <c r="A1531" s="21"/>
      <c r="B1531" t="s">
        <v>39</v>
      </c>
      <c r="C1531" t="s">
        <v>4160</v>
      </c>
      <c r="D1531" t="s">
        <v>1092</v>
      </c>
      <c r="F1531" s="1">
        <v>45973</v>
      </c>
      <c r="G1531" t="str">
        <f>IF(Table3[[#This Row],[Top Parent Account]]="",Table3[[#This Row],[Account Legal Name]],Table3[[#This Row],[Top Parent Account]])</f>
        <v>Peal México</v>
      </c>
      <c r="H1531" s="1"/>
    </row>
    <row r="1532" spans="1:8" x14ac:dyDescent="0.35">
      <c r="A1532" s="21"/>
      <c r="B1532" t="s">
        <v>25</v>
      </c>
      <c r="C1532" t="s">
        <v>6</v>
      </c>
      <c r="D1532" t="s">
        <v>4157</v>
      </c>
      <c r="F1532" s="1">
        <v>45973</v>
      </c>
      <c r="G1532" t="str">
        <f>IF(Table3[[#This Row],[Top Parent Account]]="",Table3[[#This Row],[Account Legal Name]],Table3[[#This Row],[Top Parent Account]])</f>
        <v>HILADOS EGARA</v>
      </c>
      <c r="H1532" s="1"/>
    </row>
    <row r="1533" spans="1:8" x14ac:dyDescent="0.35">
      <c r="A1533" s="21"/>
      <c r="B1533" t="s">
        <v>3553</v>
      </c>
      <c r="C1533" t="s">
        <v>6</v>
      </c>
      <c r="D1533" t="s">
        <v>4158</v>
      </c>
      <c r="F1533" s="1">
        <v>45973</v>
      </c>
      <c r="G1533" t="str">
        <f>IF(Table3[[#This Row],[Top Parent Account]]="",Table3[[#This Row],[Account Legal Name]],Table3[[#This Row],[Top Parent Account]])</f>
        <v>T-LINE MEXICO</v>
      </c>
      <c r="H1533" s="1"/>
    </row>
    <row r="1534" spans="1:8" x14ac:dyDescent="0.35">
      <c r="A1534" s="21"/>
      <c r="B1534" t="s">
        <v>3114</v>
      </c>
      <c r="C1534" t="s">
        <v>52</v>
      </c>
      <c r="D1534" t="s">
        <v>3989</v>
      </c>
      <c r="F1534" s="1">
        <v>45973</v>
      </c>
      <c r="G1534" t="str">
        <f>IF(Table3[[#This Row],[Top Parent Account]]="",Table3[[#This Row],[Account Legal Name]],Table3[[#This Row],[Top Parent Account]])</f>
        <v>Artigraf</v>
      </c>
      <c r="H1534" s="1"/>
    </row>
    <row r="1535" spans="1:8" x14ac:dyDescent="0.35">
      <c r="A1535" s="21"/>
      <c r="B1535" t="s">
        <v>3114</v>
      </c>
      <c r="C1535" t="s">
        <v>52</v>
      </c>
      <c r="D1535" t="s">
        <v>2038</v>
      </c>
      <c r="F1535" s="1">
        <v>45973</v>
      </c>
      <c r="G1535" t="str">
        <f>IF(Table3[[#This Row],[Top Parent Account]]="",Table3[[#This Row],[Account Legal Name]],Table3[[#This Row],[Top Parent Account]])</f>
        <v>Minera Rio Tinto</v>
      </c>
      <c r="H1535" s="1"/>
    </row>
    <row r="1536" spans="1:8" x14ac:dyDescent="0.35">
      <c r="A1536" s="21"/>
      <c r="B1536" t="s">
        <v>3628</v>
      </c>
      <c r="C1536" t="s">
        <v>6</v>
      </c>
      <c r="D1536" t="s">
        <v>4159</v>
      </c>
      <c r="F1536" s="1">
        <v>45973</v>
      </c>
      <c r="G1536" t="str">
        <f>IF(Table3[[#This Row],[Top Parent Account]]="",Table3[[#This Row],[Account Legal Name]],Table3[[#This Row],[Top Parent Account]])</f>
        <v>Finsa</v>
      </c>
      <c r="H1536" s="1"/>
    </row>
    <row r="1537" spans="1:8" x14ac:dyDescent="0.35">
      <c r="A1537" s="21"/>
      <c r="B1537" t="s">
        <v>932</v>
      </c>
      <c r="C1537" t="s">
        <v>4209</v>
      </c>
      <c r="D1537" t="s">
        <v>4210</v>
      </c>
      <c r="F1537" s="1">
        <v>45973</v>
      </c>
      <c r="G1537" t="str">
        <f>IF(Table3[[#This Row],[Top Parent Account]]="",Table3[[#This Row],[Account Legal Name]],Table3[[#This Row],[Top Parent Account]])</f>
        <v>Plásticos Cantabria</v>
      </c>
      <c r="H1537" s="1"/>
    </row>
    <row r="1538" spans="1:8" x14ac:dyDescent="0.35">
      <c r="A1538" s="21"/>
      <c r="B1538" t="s">
        <v>14</v>
      </c>
      <c r="C1538" t="s">
        <v>6</v>
      </c>
      <c r="D1538" t="s">
        <v>3773</v>
      </c>
      <c r="F1538" s="1">
        <v>45973</v>
      </c>
      <c r="G1538" t="str">
        <f>IF(Table3[[#This Row],[Top Parent Account]]="",Table3[[#This Row],[Account Legal Name]],Table3[[#This Row],[Top Parent Account]])</f>
        <v>Rag Hermanos</v>
      </c>
      <c r="H1538" s="1"/>
    </row>
    <row r="1539" spans="1:8" x14ac:dyDescent="0.35">
      <c r="A1539" s="21"/>
      <c r="B1539" t="s">
        <v>28</v>
      </c>
      <c r="C1539" t="s">
        <v>6</v>
      </c>
      <c r="D1539" t="s">
        <v>1743</v>
      </c>
      <c r="F1539" s="1">
        <v>45973</v>
      </c>
      <c r="G1539" t="str">
        <f>IF(Table3[[#This Row],[Top Parent Account]]="",Table3[[#This Row],[Account Legal Name]],Table3[[#This Row],[Top Parent Account]])</f>
        <v>Alco Diseño y Manufactura</v>
      </c>
      <c r="H1539" s="1"/>
    </row>
    <row r="1540" spans="1:8" x14ac:dyDescent="0.35">
      <c r="A1540" s="21"/>
      <c r="B1540" t="s">
        <v>1511</v>
      </c>
      <c r="C1540" t="s">
        <v>6</v>
      </c>
      <c r="D1540" t="s">
        <v>4211</v>
      </c>
      <c r="F1540" s="1">
        <v>45973</v>
      </c>
      <c r="G1540" t="str">
        <f>IF(Table3[[#This Row],[Top Parent Account]]="",Table3[[#This Row],[Account Legal Name]],Table3[[#This Row],[Top Parent Account]])</f>
        <v>Proveedora de Dulcerías Regiomontana</v>
      </c>
      <c r="H1540" s="1"/>
    </row>
    <row r="1541" spans="1:8" x14ac:dyDescent="0.35">
      <c r="A1541" s="21"/>
      <c r="B1541" t="s">
        <v>2693</v>
      </c>
      <c r="C1541" t="s">
        <v>6</v>
      </c>
      <c r="D1541" t="s">
        <v>3642</v>
      </c>
      <c r="F1541" s="1">
        <v>45973</v>
      </c>
      <c r="G1541" t="str">
        <f>IF(Table3[[#This Row],[Top Parent Account]]="",Table3[[#This Row],[Account Legal Name]],Table3[[#This Row],[Top Parent Account]])</f>
        <v>GRUPO DIECAST MEXICO</v>
      </c>
      <c r="H1541" s="1"/>
    </row>
    <row r="1542" spans="1:8" x14ac:dyDescent="0.35">
      <c r="A1542" s="21"/>
      <c r="B1542" t="s">
        <v>12</v>
      </c>
      <c r="C1542" t="s">
        <v>6</v>
      </c>
      <c r="D1542" t="s">
        <v>557</v>
      </c>
      <c r="F1542" s="1">
        <v>45973</v>
      </c>
      <c r="G1542" t="str">
        <f>IF(Table3[[#This Row],[Top Parent Account]]="",Table3[[#This Row],[Account Legal Name]],Table3[[#This Row],[Top Parent Account]])</f>
        <v>Celulares y Accesorios del Sureste S.A.</v>
      </c>
      <c r="H1542" s="1"/>
    </row>
    <row r="1543" spans="1:8" x14ac:dyDescent="0.35">
      <c r="A1543" s="21"/>
      <c r="B1543" t="s">
        <v>2912</v>
      </c>
      <c r="C1543" t="s">
        <v>6</v>
      </c>
      <c r="D1543" t="s">
        <v>4212</v>
      </c>
      <c r="E1543" t="s">
        <v>3617</v>
      </c>
      <c r="F1543" s="1">
        <v>45973</v>
      </c>
      <c r="G1543" t="str">
        <f>IF(Table3[[#This Row],[Top Parent Account]]="",Table3[[#This Row],[Account Legal Name]],Table3[[#This Row],[Top Parent Account]])</f>
        <v>Mill Foods</v>
      </c>
      <c r="H1543" s="1"/>
    </row>
    <row r="1544" spans="1:8" x14ac:dyDescent="0.35">
      <c r="A1544" s="21"/>
      <c r="B1544" t="s">
        <v>3628</v>
      </c>
      <c r="C1544" t="s">
        <v>6</v>
      </c>
      <c r="D1544" t="s">
        <v>4063</v>
      </c>
      <c r="F1544" s="1">
        <v>45973</v>
      </c>
      <c r="G1544" t="str">
        <f>IF(Table3[[#This Row],[Top Parent Account]]="",Table3[[#This Row],[Account Legal Name]],Table3[[#This Row],[Top Parent Account]])</f>
        <v>Valkia Automotriz</v>
      </c>
      <c r="H1544" s="1"/>
    </row>
    <row r="1545" spans="1:8" x14ac:dyDescent="0.35">
      <c r="A1545" s="21"/>
      <c r="B1545" t="s">
        <v>43</v>
      </c>
      <c r="C1545" t="s">
        <v>6</v>
      </c>
      <c r="D1545" t="s">
        <v>4161</v>
      </c>
      <c r="F1545" s="1">
        <v>45973</v>
      </c>
      <c r="G1545" t="str">
        <f>IF(Table3[[#This Row],[Top Parent Account]]="",Table3[[#This Row],[Account Legal Name]],Table3[[#This Row],[Top Parent Account]])</f>
        <v>TRANSPORTE LUXURY</v>
      </c>
      <c r="H1545" s="1"/>
    </row>
    <row r="1546" spans="1:8" x14ac:dyDescent="0.35">
      <c r="A1546" s="21"/>
      <c r="B1546" t="s">
        <v>2693</v>
      </c>
      <c r="C1546" t="s">
        <v>6</v>
      </c>
      <c r="D1546" t="s">
        <v>993</v>
      </c>
      <c r="F1546" s="1">
        <v>45973</v>
      </c>
      <c r="G1546" t="str">
        <f>IF(Table3[[#This Row],[Top Parent Account]]="",Table3[[#This Row],[Account Legal Name]],Table3[[#This Row],[Top Parent Account]])</f>
        <v>Alta Cultura Empresarial De México</v>
      </c>
      <c r="H1546" s="1"/>
    </row>
    <row r="1547" spans="1:8" x14ac:dyDescent="0.35">
      <c r="A1547" s="21"/>
      <c r="B1547" t="s">
        <v>28</v>
      </c>
      <c r="C1547" t="s">
        <v>6</v>
      </c>
      <c r="D1547" t="s">
        <v>4213</v>
      </c>
      <c r="F1547" s="1">
        <v>45973</v>
      </c>
      <c r="G1547" t="str">
        <f>IF(Table3[[#This Row],[Top Parent Account]]="",Table3[[#This Row],[Account Legal Name]],Table3[[#This Row],[Top Parent Account]])</f>
        <v>MINERA DE COAHUILA</v>
      </c>
      <c r="H1547" s="1"/>
    </row>
    <row r="1548" spans="1:8" x14ac:dyDescent="0.35">
      <c r="A1548" s="21"/>
      <c r="B1548" t="s">
        <v>208</v>
      </c>
      <c r="C1548" t="s">
        <v>6</v>
      </c>
      <c r="D1548" t="s">
        <v>4007</v>
      </c>
      <c r="F1548" s="1">
        <v>45973</v>
      </c>
      <c r="G1548" t="str">
        <f>IF(Table3[[#This Row],[Top Parent Account]]="",Table3[[#This Row],[Account Legal Name]],Table3[[#This Row],[Top Parent Account]])</f>
        <v>Polysnop</v>
      </c>
      <c r="H1548" s="1"/>
    </row>
    <row r="1549" spans="1:8" x14ac:dyDescent="0.35">
      <c r="A1549" s="21"/>
      <c r="B1549" t="s">
        <v>3092</v>
      </c>
      <c r="C1549" t="s">
        <v>6</v>
      </c>
      <c r="D1549" t="s">
        <v>4163</v>
      </c>
      <c r="F1549" s="1">
        <v>45973</v>
      </c>
      <c r="G1549" t="str">
        <f>IF(Table3[[#This Row],[Top Parent Account]]="",Table3[[#This Row],[Account Legal Name]],Table3[[#This Row],[Top Parent Account]])</f>
        <v>V&amp;B Metalogistica</v>
      </c>
      <c r="H1549" s="1"/>
    </row>
    <row r="1550" spans="1:8" x14ac:dyDescent="0.35">
      <c r="A1550" s="21"/>
      <c r="B1550" t="s">
        <v>1006</v>
      </c>
      <c r="C1550" t="s">
        <v>6</v>
      </c>
      <c r="D1550" t="s">
        <v>4162</v>
      </c>
      <c r="F1550" s="1">
        <v>45973</v>
      </c>
      <c r="G1550" t="str">
        <f>IF(Table3[[#This Row],[Top Parent Account]]="",Table3[[#This Row],[Account Legal Name]],Table3[[#This Row],[Top Parent Account]])</f>
        <v>Yasunaga mexico</v>
      </c>
      <c r="H1550" s="1"/>
    </row>
    <row r="1551" spans="1:8" x14ac:dyDescent="0.35">
      <c r="A1551" s="21"/>
      <c r="B1551" t="s">
        <v>3114</v>
      </c>
      <c r="C1551" t="s">
        <v>52</v>
      </c>
      <c r="D1551" t="s">
        <v>4214</v>
      </c>
      <c r="F1551" s="1">
        <v>45973</v>
      </c>
      <c r="G1551" t="str">
        <f>IF(Table3[[#This Row],[Top Parent Account]]="",Table3[[#This Row],[Account Legal Name]],Table3[[#This Row],[Top Parent Account]])</f>
        <v>Fábrica de Hielo Apodaca</v>
      </c>
      <c r="H1551" s="1"/>
    </row>
    <row r="1552" spans="1:8" x14ac:dyDescent="0.35">
      <c r="A1552" s="21"/>
      <c r="B1552" t="s">
        <v>27</v>
      </c>
      <c r="C1552" t="s">
        <v>6</v>
      </c>
      <c r="D1552" t="s">
        <v>432</v>
      </c>
      <c r="F1552" s="1">
        <v>45973</v>
      </c>
      <c r="G1552" t="str">
        <f>IF(Table3[[#This Row],[Top Parent Account]]="",Table3[[#This Row],[Account Legal Name]],Table3[[#This Row],[Top Parent Account]])</f>
        <v>Alcamare</v>
      </c>
      <c r="H1552" s="1"/>
    </row>
    <row r="1553" spans="1:8" x14ac:dyDescent="0.35">
      <c r="A1553" s="21"/>
      <c r="B1553" t="s">
        <v>88</v>
      </c>
      <c r="C1553" t="s">
        <v>6</v>
      </c>
      <c r="D1553" t="s">
        <v>4164</v>
      </c>
      <c r="F1553" s="1">
        <v>45973</v>
      </c>
      <c r="G1553" t="str">
        <f>IF(Table3[[#This Row],[Top Parent Account]]="",Table3[[#This Row],[Account Legal Name]],Table3[[#This Row],[Top Parent Account]])</f>
        <v>Gorigeek</v>
      </c>
      <c r="H1553" s="1"/>
    </row>
    <row r="1554" spans="1:8" x14ac:dyDescent="0.35">
      <c r="A1554" s="21"/>
      <c r="B1554" t="s">
        <v>23</v>
      </c>
      <c r="C1554" t="s">
        <v>6</v>
      </c>
      <c r="D1554" t="s">
        <v>1423</v>
      </c>
      <c r="F1554" s="1">
        <v>45973</v>
      </c>
      <c r="G1554" t="str">
        <f>IF(Table3[[#This Row],[Top Parent Account]]="",Table3[[#This Row],[Account Legal Name]],Table3[[#This Row],[Top Parent Account]])</f>
        <v>Uriotech</v>
      </c>
      <c r="H1554" s="1"/>
    </row>
    <row r="1555" spans="1:8" x14ac:dyDescent="0.35">
      <c r="A1555" s="21"/>
      <c r="B1555" t="s">
        <v>3114</v>
      </c>
      <c r="C1555" t="s">
        <v>52</v>
      </c>
      <c r="D1555" t="s">
        <v>3894</v>
      </c>
      <c r="E1555" t="s">
        <v>3895</v>
      </c>
      <c r="F1555" s="1">
        <v>45973</v>
      </c>
      <c r="G1555" t="str">
        <f>IF(Table3[[#This Row],[Top Parent Account]]="",Table3[[#This Row],[Account Legal Name]],Table3[[#This Row],[Top Parent Account]])</f>
        <v>Trans-Energeticos</v>
      </c>
      <c r="H1555" s="1"/>
    </row>
    <row r="1556" spans="1:8" x14ac:dyDescent="0.35">
      <c r="A1556" s="21"/>
      <c r="B1556" t="s">
        <v>39</v>
      </c>
      <c r="C1556" t="s">
        <v>4165</v>
      </c>
      <c r="D1556" t="s">
        <v>4166</v>
      </c>
      <c r="E1556" t="s">
        <v>4167</v>
      </c>
      <c r="F1556" s="1">
        <v>45973</v>
      </c>
      <c r="G1556" t="str">
        <f>IF(Table3[[#This Row],[Top Parent Account]]="",Table3[[#This Row],[Account Legal Name]],Table3[[#This Row],[Top Parent Account]])</f>
        <v>Clinica del Noroeste</v>
      </c>
      <c r="H1556" s="1"/>
    </row>
    <row r="1557" spans="1:8" x14ac:dyDescent="0.35">
      <c r="A1557" s="21"/>
      <c r="B1557" t="s">
        <v>23</v>
      </c>
      <c r="C1557" t="s">
        <v>6</v>
      </c>
      <c r="D1557" t="s">
        <v>4168</v>
      </c>
      <c r="F1557" s="1">
        <v>45973</v>
      </c>
      <c r="G1557" t="str">
        <f>IF(Table3[[#This Row],[Top Parent Account]]="",Table3[[#This Row],[Account Legal Name]],Table3[[#This Row],[Top Parent Account]])</f>
        <v>REMETA</v>
      </c>
      <c r="H1557" s="1"/>
    </row>
    <row r="1558" spans="1:8" x14ac:dyDescent="0.35">
      <c r="A1558" s="21"/>
      <c r="B1558" t="s">
        <v>88</v>
      </c>
      <c r="C1558" t="s">
        <v>6</v>
      </c>
      <c r="D1558" t="s">
        <v>4169</v>
      </c>
      <c r="F1558" s="1">
        <v>45973</v>
      </c>
      <c r="G1558" t="str">
        <f>IF(Table3[[#This Row],[Top Parent Account]]="",Table3[[#This Row],[Account Legal Name]],Table3[[#This Row],[Top Parent Account]])</f>
        <v>Ana Karen Arenas Mora</v>
      </c>
      <c r="H1558" s="1"/>
    </row>
    <row r="1559" spans="1:8" x14ac:dyDescent="0.35">
      <c r="A1559" s="21"/>
      <c r="B1559" t="s">
        <v>3628</v>
      </c>
      <c r="C1559" t="s">
        <v>6</v>
      </c>
      <c r="D1559" t="s">
        <v>737</v>
      </c>
      <c r="F1559" s="1">
        <v>45973</v>
      </c>
      <c r="G1559" t="str">
        <f>IF(Table3[[#This Row],[Top Parent Account]]="",Table3[[#This Row],[Account Legal Name]],Table3[[#This Row],[Top Parent Account]])</f>
        <v>Abastecedora De Carnes San Gabriel</v>
      </c>
      <c r="H1559" s="1"/>
    </row>
    <row r="1560" spans="1:8" x14ac:dyDescent="0.35">
      <c r="A1560" s="21"/>
      <c r="B1560" t="s">
        <v>39</v>
      </c>
      <c r="C1560" t="s">
        <v>57</v>
      </c>
      <c r="D1560" t="s">
        <v>4171</v>
      </c>
      <c r="F1560" s="1">
        <v>45973</v>
      </c>
      <c r="G1560" t="str">
        <f>IF(Table3[[#This Row],[Top Parent Account]]="",Table3[[#This Row],[Account Legal Name]],Table3[[#This Row],[Top Parent Account]])</f>
        <v>Evolve Exploration Mexico</v>
      </c>
      <c r="H1560" s="1"/>
    </row>
    <row r="1561" spans="1:8" x14ac:dyDescent="0.35">
      <c r="A1561" s="21"/>
      <c r="B1561" t="s">
        <v>3553</v>
      </c>
      <c r="C1561" t="s">
        <v>6</v>
      </c>
      <c r="D1561" t="s">
        <v>2969</v>
      </c>
      <c r="F1561" s="1">
        <v>45973</v>
      </c>
      <c r="G1561" t="str">
        <f>IF(Table3[[#This Row],[Top Parent Account]]="",Table3[[#This Row],[Account Legal Name]],Table3[[#This Row],[Top Parent Account]])</f>
        <v>Soluciones Químicas Para El Campo y La Industria</v>
      </c>
      <c r="H1561" s="1"/>
    </row>
    <row r="1562" spans="1:8" x14ac:dyDescent="0.35">
      <c r="A1562" s="21"/>
      <c r="B1562" t="s">
        <v>2345</v>
      </c>
      <c r="C1562" t="s">
        <v>6</v>
      </c>
      <c r="D1562" t="s">
        <v>3807</v>
      </c>
      <c r="F1562" s="1">
        <v>45973</v>
      </c>
      <c r="G1562" t="str">
        <f>IF(Table3[[#This Row],[Top Parent Account]]="",Table3[[#This Row],[Account Legal Name]],Table3[[#This Row],[Top Parent Account]])</f>
        <v>Noverek &amp; Associates</v>
      </c>
      <c r="H1562" s="1"/>
    </row>
    <row r="1563" spans="1:8" x14ac:dyDescent="0.35">
      <c r="A1563" s="21"/>
      <c r="B1563" t="s">
        <v>21</v>
      </c>
      <c r="C1563" t="s">
        <v>6</v>
      </c>
      <c r="D1563" t="s">
        <v>4170</v>
      </c>
      <c r="F1563" s="1">
        <v>45973</v>
      </c>
      <c r="G1563" t="str">
        <f>IF(Table3[[#This Row],[Top Parent Account]]="",Table3[[#This Row],[Account Legal Name]],Table3[[#This Row],[Top Parent Account]])</f>
        <v>MANUEL HERNÁNDEZ OCHOA</v>
      </c>
      <c r="H1563" s="1"/>
    </row>
    <row r="1564" spans="1:8" x14ac:dyDescent="0.35">
      <c r="A1564" s="21"/>
      <c r="B1564" t="s">
        <v>208</v>
      </c>
      <c r="C1564" t="s">
        <v>6</v>
      </c>
      <c r="D1564" t="s">
        <v>4172</v>
      </c>
      <c r="F1564" s="1">
        <v>45973</v>
      </c>
      <c r="G1564" t="str">
        <f>IF(Table3[[#This Row],[Top Parent Account]]="",Table3[[#This Row],[Account Legal Name]],Table3[[#This Row],[Top Parent Account]])</f>
        <v>Squeeze Tube International</v>
      </c>
      <c r="H1564" s="1"/>
    </row>
    <row r="1565" spans="1:8" x14ac:dyDescent="0.35">
      <c r="A1565" s="21"/>
      <c r="B1565" t="s">
        <v>3182</v>
      </c>
      <c r="C1565" t="s">
        <v>22</v>
      </c>
      <c r="D1565" t="s">
        <v>414</v>
      </c>
      <c r="F1565" s="1">
        <v>45972</v>
      </c>
      <c r="G1565" t="str">
        <f>IF(Table3[[#This Row],[Top Parent Account]]="",Table3[[#This Row],[Account Legal Name]],Table3[[#This Row],[Top Parent Account]])</f>
        <v>MONTACARGAS GROUP SUPPLIES</v>
      </c>
      <c r="H1565" s="1"/>
    </row>
    <row r="1566" spans="1:8" x14ac:dyDescent="0.35">
      <c r="A1566" s="21"/>
      <c r="B1566" t="s">
        <v>3628</v>
      </c>
      <c r="C1566" t="s">
        <v>6</v>
      </c>
      <c r="D1566" t="s">
        <v>4103</v>
      </c>
      <c r="F1566" s="1">
        <v>45972</v>
      </c>
      <c r="G1566" t="str">
        <f>IF(Table3[[#This Row],[Top Parent Account]]="",Table3[[#This Row],[Account Legal Name]],Table3[[#This Row],[Top Parent Account]])</f>
        <v>Grupo Industrial Saltillo</v>
      </c>
      <c r="H1566" s="1"/>
    </row>
    <row r="1567" spans="1:8" x14ac:dyDescent="0.35">
      <c r="A1567" s="21"/>
      <c r="B1567" t="s">
        <v>1006</v>
      </c>
      <c r="C1567" t="s">
        <v>6</v>
      </c>
      <c r="D1567" t="s">
        <v>4215</v>
      </c>
      <c r="E1567" t="s">
        <v>2141</v>
      </c>
      <c r="F1567" s="1">
        <v>45972</v>
      </c>
      <c r="G1567" t="str">
        <f>IF(Table3[[#This Row],[Top Parent Account]]="",Table3[[#This Row],[Account Legal Name]],Table3[[#This Row],[Top Parent Account]])</f>
        <v>Refacciones y Servicio Automotriz Denisse</v>
      </c>
      <c r="H1567" s="1"/>
    </row>
    <row r="1568" spans="1:8" x14ac:dyDescent="0.35">
      <c r="A1568" s="21"/>
      <c r="B1568" t="s">
        <v>84</v>
      </c>
      <c r="C1568" t="s">
        <v>6</v>
      </c>
      <c r="D1568" t="s">
        <v>4173</v>
      </c>
      <c r="E1568" t="s">
        <v>4174</v>
      </c>
      <c r="F1568" s="1">
        <v>45972</v>
      </c>
      <c r="G1568" t="str">
        <f>IF(Table3[[#This Row],[Top Parent Account]]="",Table3[[#This Row],[Account Legal Name]],Table3[[#This Row],[Top Parent Account]])</f>
        <v>Marcatel Com</v>
      </c>
      <c r="H1568" s="1"/>
    </row>
    <row r="1569" spans="1:8" x14ac:dyDescent="0.35">
      <c r="A1569" s="21"/>
      <c r="B1569" t="s">
        <v>39</v>
      </c>
      <c r="C1569" t="s">
        <v>80</v>
      </c>
      <c r="D1569" t="s">
        <v>4216</v>
      </c>
      <c r="F1569" s="1">
        <v>45972</v>
      </c>
      <c r="G1569" t="str">
        <f>IF(Table3[[#This Row],[Top Parent Account]]="",Table3[[#This Row],[Account Legal Name]],Table3[[#This Row],[Top Parent Account]])</f>
        <v>Productos Pesqueros De Matancitas</v>
      </c>
      <c r="H1569" s="1"/>
    </row>
    <row r="1570" spans="1:8" x14ac:dyDescent="0.35">
      <c r="A1570" s="21"/>
      <c r="B1570" t="s">
        <v>3182</v>
      </c>
      <c r="C1570" t="s">
        <v>6</v>
      </c>
      <c r="D1570" t="s">
        <v>4277</v>
      </c>
      <c r="F1570" s="1">
        <v>45972</v>
      </c>
      <c r="G1570" t="str">
        <f>IF(Table3[[#This Row],[Top Parent Account]]="",Table3[[#This Row],[Account Legal Name]],Table3[[#This Row],[Top Parent Account]])</f>
        <v>CLINICA OFTALMOLOGICA DE OCCIDENTE</v>
      </c>
      <c r="H1570" s="1"/>
    </row>
    <row r="1571" spans="1:8" x14ac:dyDescent="0.35">
      <c r="A1571" s="21"/>
      <c r="B1571" t="s">
        <v>2693</v>
      </c>
      <c r="C1571" t="s">
        <v>6</v>
      </c>
      <c r="D1571" t="s">
        <v>3611</v>
      </c>
      <c r="F1571" s="1">
        <v>45972</v>
      </c>
      <c r="G1571" t="str">
        <f>IF(Table3[[#This Row],[Top Parent Account]]="",Table3[[#This Row],[Account Legal Name]],Table3[[#This Row],[Top Parent Account]])</f>
        <v>COMERSEGTEK</v>
      </c>
      <c r="H1571" s="1"/>
    </row>
    <row r="1572" spans="1:8" x14ac:dyDescent="0.35">
      <c r="A1572" s="21"/>
      <c r="B1572" t="s">
        <v>77</v>
      </c>
      <c r="C1572" t="s">
        <v>6</v>
      </c>
      <c r="D1572" t="s">
        <v>4217</v>
      </c>
      <c r="F1572" s="1">
        <v>45972</v>
      </c>
      <c r="G1572" t="str">
        <f>IF(Table3[[#This Row],[Top Parent Account]]="",Table3[[#This Row],[Account Legal Name]],Table3[[#This Row],[Top Parent Account]])</f>
        <v>DEM INDUSTRIAL</v>
      </c>
      <c r="H1572" s="1"/>
    </row>
    <row r="1573" spans="1:8" x14ac:dyDescent="0.35">
      <c r="A1573" s="21"/>
      <c r="B1573" t="s">
        <v>12</v>
      </c>
      <c r="C1573" t="s">
        <v>6</v>
      </c>
      <c r="D1573" t="s">
        <v>4218</v>
      </c>
      <c r="F1573" s="1">
        <v>45972</v>
      </c>
      <c r="G1573" t="str">
        <f>IF(Table3[[#This Row],[Top Parent Account]]="",Table3[[#This Row],[Account Legal Name]],Table3[[#This Row],[Top Parent Account]])</f>
        <v>Proveedora Del Panadero</v>
      </c>
      <c r="H1573" s="1"/>
    </row>
    <row r="1574" spans="1:8" x14ac:dyDescent="0.35">
      <c r="A1574" s="21"/>
      <c r="B1574" t="s">
        <v>88</v>
      </c>
      <c r="C1574" t="s">
        <v>6</v>
      </c>
      <c r="D1574" t="s">
        <v>4175</v>
      </c>
      <c r="E1574" t="s">
        <v>1599</v>
      </c>
      <c r="F1574" s="1">
        <v>45972</v>
      </c>
      <c r="G1574" t="str">
        <f>IF(Table3[[#This Row],[Top Parent Account]]="",Table3[[#This Row],[Account Legal Name]],Table3[[#This Row],[Top Parent Account]])</f>
        <v>HI-WAY TRANSPORT</v>
      </c>
      <c r="H1574" s="1"/>
    </row>
    <row r="1575" spans="1:8" x14ac:dyDescent="0.35">
      <c r="A1575" s="21"/>
      <c r="B1575" t="s">
        <v>169</v>
      </c>
      <c r="C1575" t="s">
        <v>6</v>
      </c>
      <c r="D1575" t="s">
        <v>1185</v>
      </c>
      <c r="E1575" t="s">
        <v>1186</v>
      </c>
      <c r="F1575" s="1">
        <v>45972</v>
      </c>
      <c r="G1575" t="str">
        <f>IF(Table3[[#This Row],[Top Parent Account]]="",Table3[[#This Row],[Account Legal Name]],Table3[[#This Row],[Top Parent Account]])</f>
        <v>Grupo Amaya Astron</v>
      </c>
      <c r="H1575" s="1"/>
    </row>
    <row r="1576" spans="1:8" x14ac:dyDescent="0.35">
      <c r="A1576" s="21"/>
      <c r="B1576" t="s">
        <v>37</v>
      </c>
      <c r="C1576" t="s">
        <v>6</v>
      </c>
      <c r="D1576" t="s">
        <v>4219</v>
      </c>
      <c r="F1576" s="1">
        <v>45972</v>
      </c>
      <c r="G1576" t="str">
        <f>IF(Table3[[#This Row],[Top Parent Account]]="",Table3[[#This Row],[Account Legal Name]],Table3[[#This Row],[Top Parent Account]])</f>
        <v>Bloquera Gonzalez</v>
      </c>
      <c r="H1576" s="1"/>
    </row>
    <row r="1577" spans="1:8" x14ac:dyDescent="0.35">
      <c r="A1577" s="21"/>
      <c r="B1577" t="s">
        <v>38</v>
      </c>
      <c r="C1577" t="s">
        <v>6</v>
      </c>
      <c r="D1577" t="s">
        <v>507</v>
      </c>
      <c r="F1577" s="1">
        <v>45972</v>
      </c>
      <c r="G1577" t="str">
        <f>IF(Table3[[#This Row],[Top Parent Account]]="",Table3[[#This Row],[Account Legal Name]],Table3[[#This Row],[Top Parent Account]])</f>
        <v>Gim Grupo Industrial Mexicano</v>
      </c>
      <c r="H1577" s="1"/>
    </row>
    <row r="1578" spans="1:8" x14ac:dyDescent="0.35">
      <c r="A1578" s="21"/>
      <c r="B1578" t="s">
        <v>3114</v>
      </c>
      <c r="C1578" t="s">
        <v>6</v>
      </c>
      <c r="D1578" t="s">
        <v>99</v>
      </c>
      <c r="F1578" s="1">
        <v>45972</v>
      </c>
      <c r="G1578" t="str">
        <f>IF(Table3[[#This Row],[Top Parent Account]]="",Table3[[#This Row],[Account Legal Name]],Table3[[#This Row],[Top Parent Account]])</f>
        <v>Grupo Felder Foods</v>
      </c>
      <c r="H1578" s="1"/>
    </row>
    <row r="1579" spans="1:8" x14ac:dyDescent="0.35">
      <c r="A1579" s="21"/>
      <c r="B1579" t="s">
        <v>925</v>
      </c>
      <c r="C1579" t="s">
        <v>6</v>
      </c>
      <c r="D1579" t="s">
        <v>3939</v>
      </c>
      <c r="F1579" s="1">
        <v>45972</v>
      </c>
      <c r="G1579" t="str">
        <f>IF(Table3[[#This Row],[Top Parent Account]]="",Table3[[#This Row],[Account Legal Name]],Table3[[#This Row],[Top Parent Account]])</f>
        <v>Mccain México</v>
      </c>
      <c r="H1579" s="1"/>
    </row>
    <row r="1580" spans="1:8" x14ac:dyDescent="0.35">
      <c r="A1580" s="21"/>
      <c r="B1580" t="s">
        <v>39</v>
      </c>
      <c r="C1580" t="s">
        <v>57</v>
      </c>
      <c r="D1580" t="s">
        <v>4176</v>
      </c>
      <c r="F1580" s="1">
        <v>45972</v>
      </c>
      <c r="G1580" t="str">
        <f>IF(Table3[[#This Row],[Top Parent Account]]="",Table3[[#This Row],[Account Legal Name]],Table3[[#This Row],[Top Parent Account]])</f>
        <v>Intec Group</v>
      </c>
      <c r="H1580" s="1"/>
    </row>
    <row r="1581" spans="1:8" x14ac:dyDescent="0.35">
      <c r="A1581" s="21"/>
      <c r="B1581" t="s">
        <v>280</v>
      </c>
      <c r="C1581" t="s">
        <v>6</v>
      </c>
      <c r="D1581" t="s">
        <v>4177</v>
      </c>
      <c r="F1581" s="1">
        <v>45972</v>
      </c>
      <c r="G1581" t="str">
        <f>IF(Table3[[#This Row],[Top Parent Account]]="",Table3[[#This Row],[Account Legal Name]],Table3[[#This Row],[Top Parent Account]])</f>
        <v>CALCIO Y MARMOLINAS</v>
      </c>
      <c r="H1581" s="1"/>
    </row>
    <row r="1582" spans="1:8" x14ac:dyDescent="0.35">
      <c r="A1582" s="21"/>
      <c r="B1582" t="s">
        <v>208</v>
      </c>
      <c r="C1582" t="s">
        <v>6</v>
      </c>
      <c r="D1582" t="s">
        <v>3007</v>
      </c>
      <c r="F1582" s="1">
        <v>45972</v>
      </c>
      <c r="G1582" t="str">
        <f>IF(Table3[[#This Row],[Top Parent Account]]="",Table3[[#This Row],[Account Legal Name]],Table3[[#This Row],[Top Parent Account]])</f>
        <v>IMPORTADORA RYM</v>
      </c>
      <c r="H1582" s="1"/>
    </row>
    <row r="1583" spans="1:8" x14ac:dyDescent="0.35">
      <c r="A1583" s="21"/>
      <c r="B1583" t="s">
        <v>1006</v>
      </c>
      <c r="C1583" t="s">
        <v>6</v>
      </c>
      <c r="D1583" t="s">
        <v>4130</v>
      </c>
      <c r="E1583" t="s">
        <v>3540</v>
      </c>
      <c r="F1583" s="1">
        <v>45972</v>
      </c>
      <c r="G1583" t="str">
        <f>IF(Table3[[#This Row],[Top Parent Account]]="",Table3[[#This Row],[Account Legal Name]],Table3[[#This Row],[Top Parent Account]])</f>
        <v>Grupo Logístico Mares del Sur</v>
      </c>
      <c r="H1583" s="1"/>
    </row>
    <row r="1584" spans="1:8" x14ac:dyDescent="0.35">
      <c r="A1584" s="21"/>
      <c r="B1584" t="s">
        <v>3182</v>
      </c>
      <c r="C1584" t="s">
        <v>6</v>
      </c>
      <c r="D1584" t="s">
        <v>397</v>
      </c>
      <c r="F1584" s="1">
        <v>45972</v>
      </c>
      <c r="G1584" t="str">
        <f>IF(Table3[[#This Row],[Top Parent Account]]="",Table3[[#This Row],[Account Legal Name]],Table3[[#This Row],[Top Parent Account]])</f>
        <v>Entex de Mexico</v>
      </c>
      <c r="H1584" s="1"/>
    </row>
    <row r="1585" spans="1:8" x14ac:dyDescent="0.35">
      <c r="A1585" s="21"/>
      <c r="B1585" t="s">
        <v>2345</v>
      </c>
      <c r="C1585" t="s">
        <v>6</v>
      </c>
      <c r="D1585" t="s">
        <v>4095</v>
      </c>
      <c r="F1585" s="1">
        <v>45972</v>
      </c>
      <c r="G1585" t="str">
        <f>IF(Table3[[#This Row],[Top Parent Account]]="",Table3[[#This Row],[Account Legal Name]],Table3[[#This Row],[Top Parent Account]])</f>
        <v>Aluminios Desoxidantes de Occidente</v>
      </c>
      <c r="H1585" s="1"/>
    </row>
    <row r="1586" spans="1:8" x14ac:dyDescent="0.35">
      <c r="A1586" s="21"/>
      <c r="B1586" t="s">
        <v>3129</v>
      </c>
      <c r="C1586" t="s">
        <v>6</v>
      </c>
      <c r="D1586" t="s">
        <v>4178</v>
      </c>
      <c r="F1586" s="1">
        <v>45972</v>
      </c>
      <c r="G1586" t="str">
        <f>IF(Table3[[#This Row],[Top Parent Account]]="",Table3[[#This Row],[Account Legal Name]],Table3[[#This Row],[Top Parent Account]])</f>
        <v>Richel Group</v>
      </c>
      <c r="H1586" s="1"/>
    </row>
    <row r="1587" spans="1:8" x14ac:dyDescent="0.35">
      <c r="A1587" s="21"/>
      <c r="B1587" t="s">
        <v>932</v>
      </c>
      <c r="C1587" t="s">
        <v>4220</v>
      </c>
      <c r="D1587" t="s">
        <v>2358</v>
      </c>
      <c r="F1587" s="1">
        <v>45972</v>
      </c>
      <c r="G1587" t="str">
        <f>IF(Table3[[#This Row],[Top Parent Account]]="",Table3[[#This Row],[Account Legal Name]],Table3[[#This Row],[Top Parent Account]])</f>
        <v>Juama</v>
      </c>
      <c r="H1587" s="1"/>
    </row>
    <row r="1588" spans="1:8" x14ac:dyDescent="0.35">
      <c r="A1588" s="21"/>
      <c r="B1588" t="s">
        <v>1511</v>
      </c>
      <c r="C1588" t="s">
        <v>22</v>
      </c>
      <c r="D1588" t="s">
        <v>3444</v>
      </c>
      <c r="F1588" s="1">
        <v>45972</v>
      </c>
      <c r="G1588" t="str">
        <f>IF(Table3[[#This Row],[Top Parent Account]]="",Table3[[#This Row],[Account Legal Name]],Table3[[#This Row],[Top Parent Account]])</f>
        <v>Madero Equipos De Ordeño</v>
      </c>
      <c r="H1588" s="1"/>
    </row>
    <row r="1589" spans="1:8" x14ac:dyDescent="0.35">
      <c r="A1589" s="21"/>
      <c r="B1589" t="s">
        <v>2884</v>
      </c>
      <c r="C1589" t="s">
        <v>6</v>
      </c>
      <c r="D1589" t="s">
        <v>3558</v>
      </c>
      <c r="E1589" t="s">
        <v>3558</v>
      </c>
      <c r="F1589" s="1">
        <v>45972</v>
      </c>
      <c r="G1589" t="str">
        <f>IF(Table3[[#This Row],[Top Parent Account]]="",Table3[[#This Row],[Account Legal Name]],Table3[[#This Row],[Top Parent Account]])</f>
        <v>Pandener</v>
      </c>
      <c r="H1589" s="1"/>
    </row>
    <row r="1590" spans="1:8" x14ac:dyDescent="0.35">
      <c r="A1590" s="21"/>
      <c r="B1590" t="s">
        <v>1006</v>
      </c>
      <c r="C1590" t="s">
        <v>6</v>
      </c>
      <c r="D1590" t="s">
        <v>4179</v>
      </c>
      <c r="F1590" s="1">
        <v>45972</v>
      </c>
      <c r="G1590" t="str">
        <f>IF(Table3[[#This Row],[Top Parent Account]]="",Table3[[#This Row],[Account Legal Name]],Table3[[#This Row],[Top Parent Account]])</f>
        <v>Decsa</v>
      </c>
      <c r="H1590" s="1"/>
    </row>
    <row r="1591" spans="1:8" x14ac:dyDescent="0.35">
      <c r="A1591" s="21"/>
      <c r="B1591" t="s">
        <v>169</v>
      </c>
      <c r="C1591" t="s">
        <v>6</v>
      </c>
      <c r="D1591" t="s">
        <v>3997</v>
      </c>
      <c r="F1591" s="1">
        <v>45972</v>
      </c>
      <c r="G1591" t="str">
        <f>IF(Table3[[#This Row],[Top Parent Account]]="",Table3[[#This Row],[Account Legal Name]],Table3[[#This Row],[Top Parent Account]])</f>
        <v>Print Service</v>
      </c>
      <c r="H1591" s="1"/>
    </row>
    <row r="1592" spans="1:8" x14ac:dyDescent="0.35">
      <c r="A1592" s="21"/>
      <c r="B1592" t="s">
        <v>1899</v>
      </c>
      <c r="C1592" t="s">
        <v>6</v>
      </c>
      <c r="D1592" t="s">
        <v>4180</v>
      </c>
      <c r="F1592" s="1">
        <v>45972</v>
      </c>
      <c r="G1592" t="str">
        <f>IF(Table3[[#This Row],[Top Parent Account]]="",Table3[[#This Row],[Account Legal Name]],Table3[[#This Row],[Top Parent Account]])</f>
        <v>Concretos Tecnicos de México</v>
      </c>
      <c r="H1592" s="1"/>
    </row>
    <row r="1593" spans="1:8" x14ac:dyDescent="0.35">
      <c r="A1593" s="21"/>
      <c r="B1593" t="s">
        <v>3129</v>
      </c>
      <c r="C1593" t="s">
        <v>6</v>
      </c>
      <c r="D1593" t="s">
        <v>442</v>
      </c>
      <c r="F1593" s="1">
        <v>45972</v>
      </c>
      <c r="G1593" t="str">
        <f>IF(Table3[[#This Row],[Top Parent Account]]="",Table3[[#This Row],[Account Legal Name]],Table3[[#This Row],[Top Parent Account]])</f>
        <v>Grupo Radiodifusoras</v>
      </c>
      <c r="H1593" s="1"/>
    </row>
    <row r="1594" spans="1:8" x14ac:dyDescent="0.35">
      <c r="A1594" s="21"/>
      <c r="B1594" t="s">
        <v>3114</v>
      </c>
      <c r="C1594" t="s">
        <v>52</v>
      </c>
      <c r="D1594" t="s">
        <v>458</v>
      </c>
      <c r="F1594" s="1">
        <v>45972</v>
      </c>
      <c r="G1594" t="str">
        <f>IF(Table3[[#This Row],[Top Parent Account]]="",Table3[[#This Row],[Account Legal Name]],Table3[[#This Row],[Top Parent Account]])</f>
        <v>Plastirey</v>
      </c>
      <c r="H1594" s="1"/>
    </row>
    <row r="1595" spans="1:8" x14ac:dyDescent="0.35">
      <c r="A1595" s="21"/>
      <c r="B1595" t="s">
        <v>14</v>
      </c>
      <c r="C1595" t="s">
        <v>6</v>
      </c>
      <c r="D1595" t="s">
        <v>3983</v>
      </c>
      <c r="F1595" s="1">
        <v>45972</v>
      </c>
      <c r="G1595" t="str">
        <f>IF(Table3[[#This Row],[Top Parent Account]]="",Table3[[#This Row],[Account Legal Name]],Table3[[#This Row],[Top Parent Account]])</f>
        <v>Grupo Avotarascas</v>
      </c>
      <c r="H1595" s="1"/>
    </row>
    <row r="1596" spans="1:8" x14ac:dyDescent="0.35">
      <c r="A1596" s="21"/>
      <c r="B1596" t="s">
        <v>26</v>
      </c>
      <c r="C1596" t="s">
        <v>6</v>
      </c>
      <c r="D1596" t="s">
        <v>1040</v>
      </c>
      <c r="F1596" s="1">
        <v>45972</v>
      </c>
      <c r="G1596" t="str">
        <f>IF(Table3[[#This Row],[Top Parent Account]]="",Table3[[#This Row],[Account Legal Name]],Table3[[#This Row],[Top Parent Account]])</f>
        <v>ISI Automotive de México</v>
      </c>
      <c r="H1596" s="1"/>
    </row>
    <row r="1597" spans="1:8" x14ac:dyDescent="0.35">
      <c r="A1597" s="21"/>
      <c r="B1597" t="s">
        <v>3628</v>
      </c>
      <c r="C1597" t="s">
        <v>6</v>
      </c>
      <c r="D1597" t="s">
        <v>677</v>
      </c>
      <c r="F1597" s="1">
        <v>45972</v>
      </c>
      <c r="G1597" t="str">
        <f>IF(Table3[[#This Row],[Top Parent Account]]="",Table3[[#This Row],[Account Legal Name]],Table3[[#This Row],[Top Parent Account]])</f>
        <v>Cosmocel</v>
      </c>
      <c r="H1597" s="1"/>
    </row>
    <row r="1598" spans="1:8" x14ac:dyDescent="0.35">
      <c r="A1598" s="21"/>
      <c r="B1598" t="s">
        <v>23</v>
      </c>
      <c r="C1598" t="s">
        <v>6</v>
      </c>
      <c r="D1598" t="s">
        <v>4181</v>
      </c>
      <c r="F1598" s="1">
        <v>45972</v>
      </c>
      <c r="G1598" t="str">
        <f>IF(Table3[[#This Row],[Top Parent Account]]="",Table3[[#This Row],[Account Legal Name]],Table3[[#This Row],[Top Parent Account]])</f>
        <v>Contenedores Y Químicos De México</v>
      </c>
      <c r="H1598" s="1"/>
    </row>
    <row r="1599" spans="1:8" x14ac:dyDescent="0.35">
      <c r="A1599" s="21"/>
      <c r="B1599" t="s">
        <v>39</v>
      </c>
      <c r="C1599" t="s">
        <v>4182</v>
      </c>
      <c r="D1599" t="s">
        <v>2537</v>
      </c>
      <c r="F1599" s="1">
        <v>45972</v>
      </c>
      <c r="G1599" t="str">
        <f>IF(Table3[[#This Row],[Top Parent Account]]="",Table3[[#This Row],[Account Legal Name]],Table3[[#This Row],[Top Parent Account]])</f>
        <v>Salsas Castillo</v>
      </c>
      <c r="H1599" s="1"/>
    </row>
    <row r="1600" spans="1:8" x14ac:dyDescent="0.35">
      <c r="A1600" s="21"/>
      <c r="B1600" t="s">
        <v>739</v>
      </c>
      <c r="C1600" t="s">
        <v>6</v>
      </c>
      <c r="D1600" t="s">
        <v>2982</v>
      </c>
      <c r="F1600" s="1">
        <v>45971</v>
      </c>
      <c r="G1600" t="str">
        <f>IF(Table3[[#This Row],[Top Parent Account]]="",Table3[[#This Row],[Account Legal Name]],Table3[[#This Row],[Top Parent Account]])</f>
        <v>Mexichem</v>
      </c>
      <c r="H1600" s="1"/>
    </row>
    <row r="1601" spans="1:8" x14ac:dyDescent="0.35">
      <c r="A1601" s="21"/>
      <c r="B1601" t="s">
        <v>3182</v>
      </c>
      <c r="C1601" t="s">
        <v>22</v>
      </c>
      <c r="D1601" t="s">
        <v>427</v>
      </c>
      <c r="E1601" t="s">
        <v>63</v>
      </c>
      <c r="F1601" s="1">
        <v>45971</v>
      </c>
      <c r="G1601" t="str">
        <f>IF(Table3[[#This Row],[Top Parent Account]]="",Table3[[#This Row],[Account Legal Name]],Table3[[#This Row],[Top Parent Account]])</f>
        <v>General Electric México</v>
      </c>
      <c r="H1601" s="1"/>
    </row>
    <row r="1602" spans="1:8" x14ac:dyDescent="0.35">
      <c r="A1602" s="21"/>
      <c r="B1602" t="s">
        <v>3628</v>
      </c>
      <c r="C1602" t="s">
        <v>6</v>
      </c>
      <c r="D1602" t="s">
        <v>3818</v>
      </c>
      <c r="F1602" s="1">
        <v>45971</v>
      </c>
      <c r="G1602" t="str">
        <f>IF(Table3[[#This Row],[Top Parent Account]]="",Table3[[#This Row],[Account Legal Name]],Table3[[#This Row],[Top Parent Account]])</f>
        <v>Win Alimentos</v>
      </c>
      <c r="H1602" s="1"/>
    </row>
    <row r="1603" spans="1:8" x14ac:dyDescent="0.35">
      <c r="A1603" s="21"/>
      <c r="B1603" t="s">
        <v>27</v>
      </c>
      <c r="C1603" t="s">
        <v>6</v>
      </c>
      <c r="D1603" t="s">
        <v>4183</v>
      </c>
      <c r="F1603" s="1">
        <v>45971</v>
      </c>
      <c r="G1603" t="str">
        <f>IF(Table3[[#This Row],[Top Parent Account]]="",Table3[[#This Row],[Account Legal Name]],Table3[[#This Row],[Top Parent Account]])</f>
        <v>Arrendadora Cuanticus</v>
      </c>
      <c r="H1603" s="1"/>
    </row>
    <row r="1604" spans="1:8" x14ac:dyDescent="0.35">
      <c r="A1604" s="21"/>
      <c r="B1604" t="s">
        <v>3628</v>
      </c>
      <c r="C1604" t="s">
        <v>6</v>
      </c>
      <c r="D1604" t="s">
        <v>4221</v>
      </c>
      <c r="F1604" s="1">
        <v>45971</v>
      </c>
      <c r="G1604" t="str">
        <f>IF(Table3[[#This Row],[Top Parent Account]]="",Table3[[#This Row],[Account Legal Name]],Table3[[#This Row],[Top Parent Account]])</f>
        <v>Isringhausen México</v>
      </c>
      <c r="H1604" s="1"/>
    </row>
    <row r="1605" spans="1:8" x14ac:dyDescent="0.35">
      <c r="A1605" s="21"/>
      <c r="B1605" t="s">
        <v>3628</v>
      </c>
      <c r="C1605" t="s">
        <v>6</v>
      </c>
      <c r="D1605" t="s">
        <v>4278</v>
      </c>
      <c r="E1605" t="s">
        <v>4221</v>
      </c>
      <c r="F1605" s="1">
        <v>45971</v>
      </c>
      <c r="G1605" t="str">
        <f>IF(Table3[[#This Row],[Top Parent Account]]="",Table3[[#This Row],[Account Legal Name]],Table3[[#This Row],[Top Parent Account]])</f>
        <v>Isringhausen México</v>
      </c>
      <c r="H1605" s="1"/>
    </row>
    <row r="1606" spans="1:8" x14ac:dyDescent="0.35">
      <c r="A1606" s="21"/>
      <c r="B1606" t="s">
        <v>3628</v>
      </c>
      <c r="C1606" t="s">
        <v>6</v>
      </c>
      <c r="D1606" t="s">
        <v>4159</v>
      </c>
      <c r="F1606" s="1">
        <v>45971</v>
      </c>
      <c r="G1606" t="str">
        <f>IF(Table3[[#This Row],[Top Parent Account]]="",Table3[[#This Row],[Account Legal Name]],Table3[[#This Row],[Top Parent Account]])</f>
        <v>Finsa</v>
      </c>
      <c r="H1606" s="1"/>
    </row>
    <row r="1607" spans="1:8" x14ac:dyDescent="0.35">
      <c r="A1607" s="21"/>
      <c r="B1607" t="s">
        <v>3182</v>
      </c>
      <c r="C1607" t="s">
        <v>6</v>
      </c>
      <c r="D1607" t="s">
        <v>3335</v>
      </c>
      <c r="F1607" s="1">
        <v>45971</v>
      </c>
      <c r="G1607" t="str">
        <f>IF(Table3[[#This Row],[Top Parent Account]]="",Table3[[#This Row],[Account Legal Name]],Table3[[#This Row],[Top Parent Account]])</f>
        <v>Distribuidora Toymark</v>
      </c>
      <c r="H1607" s="1"/>
    </row>
    <row r="1608" spans="1:8" x14ac:dyDescent="0.35">
      <c r="A1608" s="21"/>
      <c r="B1608" t="s">
        <v>70</v>
      </c>
      <c r="C1608" t="s">
        <v>6</v>
      </c>
      <c r="D1608" t="s">
        <v>2644</v>
      </c>
      <c r="F1608" s="1">
        <v>45971</v>
      </c>
      <c r="G1608" t="str">
        <f>IF(Table3[[#This Row],[Top Parent Account]]="",Table3[[#This Row],[Account Legal Name]],Table3[[#This Row],[Top Parent Account]])</f>
        <v>Citrulsa de México</v>
      </c>
      <c r="H1608" s="1"/>
    </row>
    <row r="1609" spans="1:8" x14ac:dyDescent="0.35">
      <c r="A1609" s="21"/>
      <c r="B1609" t="s">
        <v>169</v>
      </c>
      <c r="C1609" t="s">
        <v>6</v>
      </c>
      <c r="D1609" t="s">
        <v>4184</v>
      </c>
      <c r="F1609" s="1">
        <v>45971</v>
      </c>
      <c r="G1609" t="str">
        <f>IF(Table3[[#This Row],[Top Parent Account]]="",Table3[[#This Row],[Account Legal Name]],Table3[[#This Row],[Top Parent Account]])</f>
        <v>JAIR MEJIA ZAMORA</v>
      </c>
      <c r="H1609" s="1"/>
    </row>
    <row r="1610" spans="1:8" x14ac:dyDescent="0.35">
      <c r="A1610" s="21"/>
      <c r="B1610" t="s">
        <v>21</v>
      </c>
      <c r="C1610" t="s">
        <v>22</v>
      </c>
      <c r="D1610" t="s">
        <v>4185</v>
      </c>
      <c r="F1610" s="1">
        <v>45971</v>
      </c>
      <c r="G1610" t="str">
        <f>IF(Table3[[#This Row],[Top Parent Account]]="",Table3[[#This Row],[Account Legal Name]],Table3[[#This Row],[Top Parent Account]])</f>
        <v>Quesos la Ordeña</v>
      </c>
      <c r="H1610" s="1"/>
    </row>
    <row r="1611" spans="1:8" x14ac:dyDescent="0.35">
      <c r="A1611" s="21"/>
      <c r="B1611" t="s">
        <v>18</v>
      </c>
      <c r="C1611" t="s">
        <v>6</v>
      </c>
      <c r="D1611" t="s">
        <v>4186</v>
      </c>
      <c r="F1611" s="1">
        <v>45971</v>
      </c>
      <c r="G1611" t="str">
        <f>IF(Table3[[#This Row],[Top Parent Account]]="",Table3[[#This Row],[Account Legal Name]],Table3[[#This Row],[Top Parent Account]])</f>
        <v>Mego Afek</v>
      </c>
      <c r="H1611" s="1"/>
    </row>
    <row r="1612" spans="1:8" x14ac:dyDescent="0.35">
      <c r="A1612" s="21"/>
      <c r="B1612" t="s">
        <v>37</v>
      </c>
      <c r="C1612" t="s">
        <v>6</v>
      </c>
      <c r="D1612" t="s">
        <v>4222</v>
      </c>
      <c r="F1612" s="1">
        <v>45971</v>
      </c>
      <c r="G1612" t="str">
        <f>IF(Table3[[#This Row],[Top Parent Account]]="",Table3[[#This Row],[Account Legal Name]],Table3[[#This Row],[Top Parent Account]])</f>
        <v>Garbanzo Campo Nuevo</v>
      </c>
      <c r="H1612" s="1"/>
    </row>
    <row r="1613" spans="1:8" x14ac:dyDescent="0.35">
      <c r="A1613" s="21"/>
      <c r="B1613" t="s">
        <v>280</v>
      </c>
      <c r="C1613" t="s">
        <v>6</v>
      </c>
      <c r="D1613" t="s">
        <v>4187</v>
      </c>
      <c r="F1613" s="1">
        <v>45971</v>
      </c>
      <c r="G1613" t="str">
        <f>IF(Table3[[#This Row],[Top Parent Account]]="",Table3[[#This Row],[Account Legal Name]],Table3[[#This Row],[Top Parent Account]])</f>
        <v>RECICLA AMBIENTE</v>
      </c>
      <c r="H1613" s="1"/>
    </row>
    <row r="1614" spans="1:8" x14ac:dyDescent="0.35">
      <c r="A1614" s="21"/>
      <c r="B1614" t="s">
        <v>18</v>
      </c>
      <c r="C1614" t="s">
        <v>6</v>
      </c>
      <c r="D1614" t="s">
        <v>4188</v>
      </c>
      <c r="F1614" s="1">
        <v>45971</v>
      </c>
      <c r="G1614" t="str">
        <f>IF(Table3[[#This Row],[Top Parent Account]]="",Table3[[#This Row],[Account Legal Name]],Table3[[#This Row],[Top Parent Account]])</f>
        <v>Transportes Mar</v>
      </c>
      <c r="H1614" s="1"/>
    </row>
    <row r="1615" spans="1:8" x14ac:dyDescent="0.35">
      <c r="A1615" s="21"/>
      <c r="B1615" t="s">
        <v>3553</v>
      </c>
      <c r="C1615" t="s">
        <v>6</v>
      </c>
      <c r="D1615" t="s">
        <v>2248</v>
      </c>
      <c r="F1615" s="1">
        <v>45971</v>
      </c>
      <c r="G1615" t="str">
        <f>IF(Table3[[#This Row],[Top Parent Account]]="",Table3[[#This Row],[Account Legal Name]],Table3[[#This Row],[Top Parent Account]])</f>
        <v>Nutri Seleccion</v>
      </c>
      <c r="H1615" s="1"/>
    </row>
    <row r="1616" spans="1:8" x14ac:dyDescent="0.35">
      <c r="A1616" s="21"/>
      <c r="B1616" t="s">
        <v>3628</v>
      </c>
      <c r="C1616" t="s">
        <v>6</v>
      </c>
      <c r="D1616" t="s">
        <v>3937</v>
      </c>
      <c r="F1616" s="1">
        <v>45971</v>
      </c>
      <c r="G1616" t="str">
        <f>IF(Table3[[#This Row],[Top Parent Account]]="",Table3[[#This Row],[Account Legal Name]],Table3[[#This Row],[Top Parent Account]])</f>
        <v>Industria Sigrama</v>
      </c>
      <c r="H1616" s="1"/>
    </row>
    <row r="1617" spans="1:8" x14ac:dyDescent="0.35">
      <c r="A1617" s="21"/>
      <c r="B1617" t="s">
        <v>739</v>
      </c>
      <c r="C1617" t="s">
        <v>6</v>
      </c>
      <c r="D1617" t="s">
        <v>237</v>
      </c>
      <c r="F1617" s="1">
        <v>45971</v>
      </c>
      <c r="G1617" t="str">
        <f>IF(Table3[[#This Row],[Top Parent Account]]="",Table3[[#This Row],[Account Legal Name]],Table3[[#This Row],[Top Parent Account]])</f>
        <v>Premium Restaurant Brands</v>
      </c>
      <c r="H1617" s="1"/>
    </row>
    <row r="1618" spans="1:8" x14ac:dyDescent="0.35">
      <c r="A1618" s="21"/>
      <c r="B1618" t="s">
        <v>2693</v>
      </c>
      <c r="C1618" t="s">
        <v>6</v>
      </c>
      <c r="D1618" t="s">
        <v>4106</v>
      </c>
      <c r="F1618" s="1">
        <v>45971</v>
      </c>
      <c r="G1618" t="str">
        <f>IF(Table3[[#This Row],[Top Parent Account]]="",Table3[[#This Row],[Account Legal Name]],Table3[[#This Row],[Top Parent Account]])</f>
        <v>MEC ESPEJOS Y RETROVISORES</v>
      </c>
      <c r="H1618" s="1"/>
    </row>
    <row r="1619" spans="1:8" x14ac:dyDescent="0.35">
      <c r="A1619" s="21"/>
      <c r="B1619" t="s">
        <v>1131</v>
      </c>
      <c r="C1619" t="s">
        <v>6</v>
      </c>
      <c r="D1619" t="s">
        <v>4189</v>
      </c>
      <c r="F1619" s="1">
        <v>45971</v>
      </c>
      <c r="G1619" t="str">
        <f>IF(Table3[[#This Row],[Top Parent Account]]="",Table3[[#This Row],[Account Legal Name]],Table3[[#This Row],[Top Parent Account]])</f>
        <v>Super Farmacias Santa Maria</v>
      </c>
      <c r="H1619" s="1"/>
    </row>
    <row r="1620" spans="1:8" x14ac:dyDescent="0.35">
      <c r="A1620" s="21"/>
      <c r="B1620" t="s">
        <v>1131</v>
      </c>
      <c r="C1620" t="s">
        <v>6</v>
      </c>
      <c r="D1620" t="s">
        <v>4190</v>
      </c>
      <c r="F1620" s="1">
        <v>45971</v>
      </c>
      <c r="G1620" t="str">
        <f>IF(Table3[[#This Row],[Top Parent Account]]="",Table3[[#This Row],[Account Legal Name]],Table3[[#This Row],[Top Parent Account]])</f>
        <v>Frío Express</v>
      </c>
      <c r="H1620" s="1"/>
    </row>
    <row r="1621" spans="1:8" x14ac:dyDescent="0.35">
      <c r="A1621" s="21"/>
      <c r="B1621" t="s">
        <v>925</v>
      </c>
      <c r="C1621" t="s">
        <v>6</v>
      </c>
      <c r="D1621" t="s">
        <v>2913</v>
      </c>
      <c r="F1621" s="1">
        <v>45971</v>
      </c>
      <c r="G1621" t="str">
        <f>IF(Table3[[#This Row],[Top Parent Account]]="",Table3[[#This Row],[Account Legal Name]],Table3[[#This Row],[Top Parent Account]])</f>
        <v>Organo Sintesis</v>
      </c>
      <c r="H1621" s="1"/>
    </row>
    <row r="1622" spans="1:8" x14ac:dyDescent="0.35">
      <c r="A1622" s="21"/>
      <c r="B1622" t="s">
        <v>932</v>
      </c>
      <c r="C1622" t="s">
        <v>4191</v>
      </c>
      <c r="D1622" t="s">
        <v>3272</v>
      </c>
      <c r="F1622" s="1">
        <v>45971</v>
      </c>
      <c r="G1622" t="str">
        <f>IF(Table3[[#This Row],[Top Parent Account]]="",Table3[[#This Row],[Account Legal Name]],Table3[[#This Row],[Top Parent Account]])</f>
        <v>Euro Games Technology</v>
      </c>
      <c r="H1622" s="1"/>
    </row>
    <row r="1623" spans="1:8" x14ac:dyDescent="0.35">
      <c r="A1623" s="21"/>
      <c r="B1623" t="s">
        <v>121</v>
      </c>
      <c r="C1623" t="s">
        <v>6</v>
      </c>
      <c r="D1623" t="s">
        <v>1005</v>
      </c>
      <c r="F1623" s="1">
        <v>45971</v>
      </c>
      <c r="G1623" t="str">
        <f>IF(Table3[[#This Row],[Top Parent Account]]="",Table3[[#This Row],[Account Legal Name]],Table3[[#This Row],[Top Parent Account]])</f>
        <v>Diagnostico México Americano de Culiacán</v>
      </c>
      <c r="H1623" s="1"/>
    </row>
    <row r="1624" spans="1:8" x14ac:dyDescent="0.35">
      <c r="A1624" s="21"/>
      <c r="B1624" t="s">
        <v>43</v>
      </c>
      <c r="C1624" t="s">
        <v>6</v>
      </c>
      <c r="D1624" t="s">
        <v>1119</v>
      </c>
      <c r="F1624" s="1">
        <v>45971</v>
      </c>
      <c r="G1624" t="str">
        <f>IF(Table3[[#This Row],[Top Parent Account]]="",Table3[[#This Row],[Account Legal Name]],Table3[[#This Row],[Top Parent Account]])</f>
        <v>FGR Ingeniería y Montajes del Centro</v>
      </c>
      <c r="H1624" s="1"/>
    </row>
    <row r="1625" spans="1:8" x14ac:dyDescent="0.35">
      <c r="A1625" s="21"/>
      <c r="B1625" t="s">
        <v>18</v>
      </c>
      <c r="C1625" t="s">
        <v>6</v>
      </c>
      <c r="D1625" t="s">
        <v>4192</v>
      </c>
      <c r="F1625" s="1">
        <v>45971</v>
      </c>
      <c r="G1625" t="str">
        <f>IF(Table3[[#This Row],[Top Parent Account]]="",Table3[[#This Row],[Account Legal Name]],Table3[[#This Row],[Top Parent Account]])</f>
        <v>Border Freight</v>
      </c>
      <c r="H1625" s="1"/>
    </row>
    <row r="1626" spans="1:8" x14ac:dyDescent="0.35">
      <c r="A1626" s="21"/>
      <c r="B1626" t="s">
        <v>208</v>
      </c>
      <c r="C1626" t="s">
        <v>6</v>
      </c>
      <c r="D1626" t="s">
        <v>396</v>
      </c>
      <c r="F1626" s="1">
        <v>45971</v>
      </c>
      <c r="G1626" t="str">
        <f>IF(Table3[[#This Row],[Top Parent Account]]="",Table3[[#This Row],[Account Legal Name]],Table3[[#This Row],[Top Parent Account]])</f>
        <v>Fletes y Transportes Ruiz</v>
      </c>
      <c r="H1626" s="1"/>
    </row>
    <row r="1627" spans="1:8" x14ac:dyDescent="0.35">
      <c r="A1627" s="21"/>
      <c r="B1627" t="s">
        <v>32</v>
      </c>
      <c r="C1627" t="s">
        <v>6</v>
      </c>
      <c r="D1627" t="s">
        <v>4608</v>
      </c>
      <c r="F1627" s="1">
        <v>45968</v>
      </c>
      <c r="G1627" t="str">
        <f>IF(Table3[[#This Row],[Top Parent Account]]="",Table3[[#This Row],[Account Legal Name]],Table3[[#This Row],[Top Parent Account]])</f>
        <v>Merik</v>
      </c>
      <c r="H1627" s="1"/>
    </row>
    <row r="1628" spans="1:8" x14ac:dyDescent="0.35">
      <c r="A1628" s="21"/>
      <c r="B1628" t="s">
        <v>208</v>
      </c>
      <c r="C1628" t="s">
        <v>6</v>
      </c>
      <c r="D1628" t="s">
        <v>1215</v>
      </c>
      <c r="F1628" s="1">
        <v>45968</v>
      </c>
      <c r="G1628" t="str">
        <f>IF(Table3[[#This Row],[Top Parent Account]]="",Table3[[#This Row],[Account Legal Name]],Table3[[#This Row],[Top Parent Account]])</f>
        <v>NOGAB COMERCE COMPANY</v>
      </c>
      <c r="H1628" s="1"/>
    </row>
    <row r="1629" spans="1:8" x14ac:dyDescent="0.35">
      <c r="A1629" s="21"/>
      <c r="B1629" t="s">
        <v>25</v>
      </c>
      <c r="C1629" t="s">
        <v>6</v>
      </c>
      <c r="D1629" t="s">
        <v>4111</v>
      </c>
      <c r="F1629" s="1">
        <v>45968</v>
      </c>
      <c r="G1629" t="str">
        <f>IF(Table3[[#This Row],[Top Parent Account]]="",Table3[[#This Row],[Account Legal Name]],Table3[[#This Row],[Top Parent Account]])</f>
        <v>Materiales plasticos del centro</v>
      </c>
      <c r="H1629" s="1"/>
    </row>
    <row r="1630" spans="1:8" x14ac:dyDescent="0.35">
      <c r="A1630" s="21"/>
      <c r="B1630" t="s">
        <v>989</v>
      </c>
      <c r="C1630" t="s">
        <v>6</v>
      </c>
      <c r="D1630" t="s">
        <v>177</v>
      </c>
      <c r="F1630" s="1">
        <v>45968</v>
      </c>
      <c r="G1630" t="str">
        <f>IF(Table3[[#This Row],[Top Parent Account]]="",Table3[[#This Row],[Account Legal Name]],Table3[[#This Row],[Top Parent Account]])</f>
        <v>Cartonera Plástica</v>
      </c>
      <c r="H1630" s="1"/>
    </row>
    <row r="1631" spans="1:8" x14ac:dyDescent="0.35">
      <c r="A1631" s="21"/>
      <c r="B1631" t="s">
        <v>18</v>
      </c>
      <c r="C1631" t="s">
        <v>6</v>
      </c>
      <c r="D1631" t="s">
        <v>4112</v>
      </c>
      <c r="F1631" s="1">
        <v>45968</v>
      </c>
      <c r="G1631" t="str">
        <f>IF(Table3[[#This Row],[Top Parent Account]]="",Table3[[#This Row],[Account Legal Name]],Table3[[#This Row],[Top Parent Account]])</f>
        <v>Cribas y Productos Metalicos</v>
      </c>
      <c r="H1631" s="1"/>
    </row>
    <row r="1632" spans="1:8" x14ac:dyDescent="0.35">
      <c r="A1632" s="21"/>
      <c r="B1632" t="s">
        <v>3628</v>
      </c>
      <c r="C1632" t="s">
        <v>6</v>
      </c>
      <c r="D1632" t="s">
        <v>4026</v>
      </c>
      <c r="F1632" s="1">
        <v>45968</v>
      </c>
      <c r="G1632" t="str">
        <f>IF(Table3[[#This Row],[Top Parent Account]]="",Table3[[#This Row],[Account Legal Name]],Table3[[#This Row],[Top Parent Account]])</f>
        <v>Tecnologías Y Soluciones Tridimensionales</v>
      </c>
      <c r="H1632" s="1"/>
    </row>
    <row r="1633" spans="1:8" x14ac:dyDescent="0.35">
      <c r="A1633" s="21"/>
      <c r="B1633" t="s">
        <v>51</v>
      </c>
      <c r="C1633" t="s">
        <v>6</v>
      </c>
      <c r="D1633" t="s">
        <v>4113</v>
      </c>
      <c r="F1633" s="1">
        <v>45968</v>
      </c>
      <c r="G1633" t="str">
        <f>IF(Table3[[#This Row],[Top Parent Account]]="",Table3[[#This Row],[Account Legal Name]],Table3[[#This Row],[Top Parent Account]])</f>
        <v>Saporis Comercial</v>
      </c>
      <c r="H1633" s="1"/>
    </row>
    <row r="1634" spans="1:8" x14ac:dyDescent="0.35">
      <c r="A1634" s="21"/>
      <c r="B1634" t="s">
        <v>1006</v>
      </c>
      <c r="C1634" t="s">
        <v>6</v>
      </c>
      <c r="D1634" t="s">
        <v>4114</v>
      </c>
      <c r="F1634" s="1">
        <v>45968</v>
      </c>
      <c r="G1634" t="str">
        <f>IF(Table3[[#This Row],[Top Parent Account]]="",Table3[[#This Row],[Account Legal Name]],Table3[[#This Row],[Top Parent Account]])</f>
        <v>Juan Francisco Solis Gonzalez</v>
      </c>
      <c r="H1634" s="1"/>
    </row>
    <row r="1635" spans="1:8" x14ac:dyDescent="0.35">
      <c r="A1635" s="21"/>
      <c r="B1635" t="s">
        <v>77</v>
      </c>
      <c r="C1635" t="s">
        <v>6</v>
      </c>
      <c r="D1635" t="s">
        <v>1148</v>
      </c>
      <c r="F1635" s="1">
        <v>45968</v>
      </c>
      <c r="G1635" t="str">
        <f>IF(Table3[[#This Row],[Top Parent Account]]="",Table3[[#This Row],[Account Legal Name]],Table3[[#This Row],[Top Parent Account]])</f>
        <v>Metalium industries</v>
      </c>
      <c r="H1635" s="1"/>
    </row>
    <row r="1636" spans="1:8" x14ac:dyDescent="0.35">
      <c r="A1636" s="21"/>
      <c r="B1636" t="s">
        <v>18</v>
      </c>
      <c r="C1636" t="s">
        <v>6</v>
      </c>
      <c r="D1636" t="s">
        <v>1125</v>
      </c>
      <c r="F1636" s="1">
        <v>45968</v>
      </c>
      <c r="G1636" t="str">
        <f>IF(Table3[[#This Row],[Top Parent Account]]="",Table3[[#This Row],[Account Legal Name]],Table3[[#This Row],[Top Parent Account]])</f>
        <v>Deposito de Contenedores Mopsa</v>
      </c>
      <c r="H1636" s="1"/>
    </row>
    <row r="1637" spans="1:8" x14ac:dyDescent="0.35">
      <c r="A1637" s="21"/>
      <c r="B1637" t="s">
        <v>28</v>
      </c>
      <c r="C1637" t="s">
        <v>6</v>
      </c>
      <c r="D1637" t="s">
        <v>4139</v>
      </c>
      <c r="F1637" s="1">
        <v>45968</v>
      </c>
      <c r="G1637" t="str">
        <f>IF(Table3[[#This Row],[Top Parent Account]]="",Table3[[#This Row],[Account Legal Name]],Table3[[#This Row],[Top Parent Account]])</f>
        <v>ACEROS Y LAMINAS TREVALSA</v>
      </c>
      <c r="H1637" s="1"/>
    </row>
    <row r="1638" spans="1:8" x14ac:dyDescent="0.35">
      <c r="A1638" s="21"/>
      <c r="B1638" t="s">
        <v>39</v>
      </c>
      <c r="C1638" t="s">
        <v>4115</v>
      </c>
      <c r="D1638" t="s">
        <v>4116</v>
      </c>
      <c r="F1638" s="1">
        <v>45968</v>
      </c>
      <c r="G1638" t="str">
        <f>IF(Table3[[#This Row],[Top Parent Account]]="",Table3[[#This Row],[Account Legal Name]],Table3[[#This Row],[Top Parent Account]])</f>
        <v>Afirme Grupo Financiero</v>
      </c>
      <c r="H1638" s="1"/>
    </row>
    <row r="1639" spans="1:8" x14ac:dyDescent="0.35">
      <c r="A1639" s="21"/>
      <c r="B1639" t="s">
        <v>28</v>
      </c>
      <c r="C1639" t="s">
        <v>6</v>
      </c>
      <c r="D1639" t="s">
        <v>2831</v>
      </c>
      <c r="F1639" s="1">
        <v>45968</v>
      </c>
      <c r="G1639" t="str">
        <f>IF(Table3[[#This Row],[Top Parent Account]]="",Table3[[#This Row],[Account Legal Name]],Table3[[#This Row],[Top Parent Account]])</f>
        <v>Transportes Jalo</v>
      </c>
      <c r="H1639" s="1"/>
    </row>
    <row r="1640" spans="1:8" x14ac:dyDescent="0.35">
      <c r="A1640" s="21"/>
      <c r="B1640" t="s">
        <v>10</v>
      </c>
      <c r="C1640" t="s">
        <v>6</v>
      </c>
      <c r="D1640" t="s">
        <v>112</v>
      </c>
      <c r="F1640" s="1">
        <v>45968</v>
      </c>
      <c r="G1640" t="str">
        <f>IF(Table3[[#This Row],[Top Parent Account]]="",Table3[[#This Row],[Account Legal Name]],Table3[[#This Row],[Top Parent Account]])</f>
        <v>Amco Educación</v>
      </c>
      <c r="H1640" s="1"/>
    </row>
    <row r="1641" spans="1:8" x14ac:dyDescent="0.35">
      <c r="A1641" s="21"/>
      <c r="B1641" t="s">
        <v>10</v>
      </c>
      <c r="C1641" t="s">
        <v>6</v>
      </c>
      <c r="D1641" t="s">
        <v>548</v>
      </c>
      <c r="F1641" s="1">
        <v>45968</v>
      </c>
      <c r="G1641" t="str">
        <f>IF(Table3[[#This Row],[Top Parent Account]]="",Table3[[#This Row],[Account Legal Name]],Table3[[#This Row],[Top Parent Account]])</f>
        <v>Cervecería de Colima</v>
      </c>
      <c r="H1641" s="1"/>
    </row>
    <row r="1642" spans="1:8" x14ac:dyDescent="0.35">
      <c r="A1642" s="21"/>
      <c r="B1642" t="s">
        <v>3092</v>
      </c>
      <c r="C1642" t="s">
        <v>6</v>
      </c>
      <c r="D1642" t="s">
        <v>4117</v>
      </c>
      <c r="F1642" s="1">
        <v>45968</v>
      </c>
      <c r="G1642" t="str">
        <f>IF(Table3[[#This Row],[Top Parent Account]]="",Table3[[#This Row],[Account Legal Name]],Table3[[#This Row],[Top Parent Account]])</f>
        <v>UNIVERSIDAD LICEO CERVANTINO</v>
      </c>
      <c r="H1642" s="1"/>
    </row>
    <row r="1643" spans="1:8" x14ac:dyDescent="0.35">
      <c r="A1643" s="21"/>
      <c r="B1643" t="s">
        <v>24</v>
      </c>
      <c r="C1643" t="s">
        <v>6</v>
      </c>
      <c r="D1643" t="s">
        <v>4118</v>
      </c>
      <c r="F1643" s="1">
        <v>45968</v>
      </c>
      <c r="G1643" t="str">
        <f>IF(Table3[[#This Row],[Top Parent Account]]="",Table3[[#This Row],[Account Legal Name]],Table3[[#This Row],[Top Parent Account]])</f>
        <v>Meganis Industrial</v>
      </c>
      <c r="H1643" s="1"/>
    </row>
    <row r="1644" spans="1:8" x14ac:dyDescent="0.35">
      <c r="A1644" s="21"/>
      <c r="B1644" t="s">
        <v>3092</v>
      </c>
      <c r="C1644" t="s">
        <v>6</v>
      </c>
      <c r="D1644" t="s">
        <v>4117</v>
      </c>
      <c r="F1644" s="1">
        <v>45968</v>
      </c>
      <c r="G1644" t="str">
        <f>IF(Table3[[#This Row],[Top Parent Account]]="",Table3[[#This Row],[Account Legal Name]],Table3[[#This Row],[Top Parent Account]])</f>
        <v>UNIVERSIDAD LICEO CERVANTINO</v>
      </c>
      <c r="H1644" s="1"/>
    </row>
    <row r="1645" spans="1:8" x14ac:dyDescent="0.35">
      <c r="A1645" s="21"/>
      <c r="B1645" t="s">
        <v>169</v>
      </c>
      <c r="C1645" t="s">
        <v>6</v>
      </c>
      <c r="D1645" t="s">
        <v>248</v>
      </c>
      <c r="F1645" s="1">
        <v>45968</v>
      </c>
      <c r="G1645" t="str">
        <f>IF(Table3[[#This Row],[Top Parent Account]]="",Table3[[#This Row],[Account Legal Name]],Table3[[#This Row],[Top Parent Account]])</f>
        <v>Dysal</v>
      </c>
      <c r="H1645" s="1"/>
    </row>
    <row r="1646" spans="1:8" x14ac:dyDescent="0.35">
      <c r="A1646" s="21"/>
      <c r="B1646" t="s">
        <v>51</v>
      </c>
      <c r="C1646" t="s">
        <v>6</v>
      </c>
      <c r="D1646" t="s">
        <v>4119</v>
      </c>
      <c r="F1646" s="1">
        <v>45968</v>
      </c>
      <c r="G1646" t="str">
        <f>IF(Table3[[#This Row],[Top Parent Account]]="",Table3[[#This Row],[Account Legal Name]],Table3[[#This Row],[Top Parent Account]])</f>
        <v>MAGNOCENTRO FERRETERO</v>
      </c>
      <c r="H1646" s="1"/>
    </row>
    <row r="1647" spans="1:8" x14ac:dyDescent="0.35">
      <c r="A1647" s="21"/>
      <c r="B1647" t="s">
        <v>51</v>
      </c>
      <c r="C1647" t="s">
        <v>4193</v>
      </c>
      <c r="D1647" t="s">
        <v>4119</v>
      </c>
      <c r="F1647" s="1">
        <v>45968</v>
      </c>
      <c r="G1647" t="str">
        <f>IF(Table3[[#This Row],[Top Parent Account]]="",Table3[[#This Row],[Account Legal Name]],Table3[[#This Row],[Top Parent Account]])</f>
        <v>MAGNOCENTRO FERRETERO</v>
      </c>
      <c r="H1647" s="1"/>
    </row>
    <row r="1648" spans="1:8" x14ac:dyDescent="0.35">
      <c r="A1648" s="21"/>
      <c r="B1648" t="s">
        <v>37</v>
      </c>
      <c r="C1648" t="s">
        <v>6</v>
      </c>
      <c r="D1648" t="s">
        <v>1151</v>
      </c>
      <c r="F1648" s="1">
        <v>45968</v>
      </c>
      <c r="G1648" t="str">
        <f>IF(Table3[[#This Row],[Top Parent Account]]="",Table3[[#This Row],[Account Legal Name]],Table3[[#This Row],[Top Parent Account]])</f>
        <v>H2e Mexico</v>
      </c>
      <c r="H1648" s="1"/>
    </row>
    <row r="1649" spans="1:8" x14ac:dyDescent="0.35">
      <c r="A1649" s="21"/>
      <c r="B1649" t="s">
        <v>37</v>
      </c>
      <c r="C1649" t="s">
        <v>6</v>
      </c>
      <c r="D1649" t="s">
        <v>4064</v>
      </c>
      <c r="F1649" s="1">
        <v>45968</v>
      </c>
      <c r="G1649" t="str">
        <f>IF(Table3[[#This Row],[Top Parent Account]]="",Table3[[#This Row],[Account Legal Name]],Table3[[#This Row],[Top Parent Account]])</f>
        <v>Yuki Logistics</v>
      </c>
      <c r="H1649" s="1"/>
    </row>
    <row r="1650" spans="1:8" x14ac:dyDescent="0.35">
      <c r="A1650" s="21"/>
      <c r="B1650" t="s">
        <v>589</v>
      </c>
      <c r="C1650" t="s">
        <v>6</v>
      </c>
      <c r="D1650" t="s">
        <v>4120</v>
      </c>
      <c r="F1650" s="1">
        <v>45968</v>
      </c>
      <c r="G1650" t="str">
        <f>IF(Table3[[#This Row],[Top Parent Account]]="",Table3[[#This Row],[Account Legal Name]],Table3[[#This Row],[Top Parent Account]])</f>
        <v>Concretos Tepeyac</v>
      </c>
      <c r="H1650" s="1"/>
    </row>
    <row r="1651" spans="1:8" x14ac:dyDescent="0.35">
      <c r="A1651" s="21"/>
      <c r="B1651" t="s">
        <v>43</v>
      </c>
      <c r="C1651" t="s">
        <v>6</v>
      </c>
      <c r="D1651" t="s">
        <v>4140</v>
      </c>
      <c r="F1651" s="1">
        <v>45968</v>
      </c>
      <c r="G1651" t="str">
        <f>IF(Table3[[#This Row],[Top Parent Account]]="",Table3[[#This Row],[Account Legal Name]],Table3[[#This Row],[Top Parent Account]])</f>
        <v>Yum-kax</v>
      </c>
      <c r="H1651" s="1"/>
    </row>
    <row r="1652" spans="1:8" x14ac:dyDescent="0.35">
      <c r="A1652" s="21"/>
      <c r="B1652" t="s">
        <v>32</v>
      </c>
      <c r="C1652" t="s">
        <v>6</v>
      </c>
      <c r="D1652" t="s">
        <v>954</v>
      </c>
      <c r="F1652" s="1">
        <v>45968</v>
      </c>
      <c r="G1652" t="str">
        <f>IF(Table3[[#This Row],[Top Parent Account]]="",Table3[[#This Row],[Account Legal Name]],Table3[[#This Row],[Top Parent Account]])</f>
        <v>ACCIONA INFRAESTRUCTURAS MÉXICO</v>
      </c>
      <c r="H1652" s="1"/>
    </row>
    <row r="1653" spans="1:8" x14ac:dyDescent="0.35">
      <c r="A1653" s="21"/>
      <c r="B1653" t="s">
        <v>84</v>
      </c>
      <c r="C1653" t="s">
        <v>4121</v>
      </c>
      <c r="D1653" t="s">
        <v>4066</v>
      </c>
      <c r="E1653" t="s">
        <v>4122</v>
      </c>
      <c r="F1653" s="1">
        <v>45968</v>
      </c>
      <c r="G1653" t="str">
        <f>IF(Table3[[#This Row],[Top Parent Account]]="",Table3[[#This Row],[Account Legal Name]],Table3[[#This Row],[Top Parent Account]])</f>
        <v>Grupo Mar De Cortez</v>
      </c>
      <c r="H1653" s="1"/>
    </row>
    <row r="1654" spans="1:8" x14ac:dyDescent="0.35">
      <c r="A1654" s="21"/>
      <c r="B1654" t="s">
        <v>18</v>
      </c>
      <c r="C1654" t="s">
        <v>6</v>
      </c>
      <c r="D1654" t="s">
        <v>1756</v>
      </c>
      <c r="F1654" s="1">
        <v>45967</v>
      </c>
      <c r="G1654" t="str">
        <f>IF(Table3[[#This Row],[Top Parent Account]]="",Table3[[#This Row],[Account Legal Name]],Table3[[#This Row],[Top Parent Account]])</f>
        <v>Alfa Omega Obras y Estructuras</v>
      </c>
      <c r="H1654" s="1"/>
    </row>
    <row r="1655" spans="1:8" x14ac:dyDescent="0.35">
      <c r="A1655" s="21"/>
      <c r="B1655" t="s">
        <v>70</v>
      </c>
      <c r="C1655" t="s">
        <v>6</v>
      </c>
      <c r="D1655" t="s">
        <v>4123</v>
      </c>
      <c r="F1655" s="1">
        <v>45967</v>
      </c>
      <c r="G1655" t="str">
        <f>IF(Table3[[#This Row],[Top Parent Account]]="",Table3[[#This Row],[Account Legal Name]],Table3[[#This Row],[Top Parent Account]])</f>
        <v>Comercializadora Mavero</v>
      </c>
      <c r="H1655" s="1"/>
    </row>
    <row r="1656" spans="1:8" x14ac:dyDescent="0.35">
      <c r="A1656" s="21"/>
      <c r="B1656" t="s">
        <v>38</v>
      </c>
      <c r="C1656" t="s">
        <v>6</v>
      </c>
      <c r="D1656" t="s">
        <v>643</v>
      </c>
      <c r="F1656" s="1">
        <v>45967</v>
      </c>
      <c r="G1656" t="str">
        <f>IF(Table3[[#This Row],[Top Parent Account]]="",Table3[[#This Row],[Account Legal Name]],Table3[[#This Row],[Top Parent Account]])</f>
        <v>Watlow de México</v>
      </c>
      <c r="H1656" s="1"/>
    </row>
    <row r="1657" spans="1:8" x14ac:dyDescent="0.35">
      <c r="A1657" s="21"/>
      <c r="B1657" t="s">
        <v>21</v>
      </c>
      <c r="C1657" t="s">
        <v>6</v>
      </c>
      <c r="D1657" t="s">
        <v>4071</v>
      </c>
      <c r="F1657" s="1">
        <v>45967</v>
      </c>
      <c r="G1657" t="str">
        <f>IF(Table3[[#This Row],[Top Parent Account]]="",Table3[[#This Row],[Account Legal Name]],Table3[[#This Row],[Top Parent Account]])</f>
        <v>Imhp De Mexico</v>
      </c>
      <c r="H1657" s="1"/>
    </row>
    <row r="1658" spans="1:8" x14ac:dyDescent="0.35">
      <c r="A1658" s="21"/>
      <c r="B1658" t="s">
        <v>1006</v>
      </c>
      <c r="C1658" t="s">
        <v>6</v>
      </c>
      <c r="D1658" t="s">
        <v>4047</v>
      </c>
      <c r="F1658" s="1">
        <v>45967</v>
      </c>
      <c r="G1658" t="str">
        <f>IF(Table3[[#This Row],[Top Parent Account]]="",Table3[[#This Row],[Account Legal Name]],Table3[[#This Row],[Top Parent Account]])</f>
        <v>OMNIBUS DEL VALLE DE AMECA</v>
      </c>
      <c r="H1658" s="1"/>
    </row>
    <row r="1659" spans="1:8" x14ac:dyDescent="0.35">
      <c r="A1659" s="21"/>
      <c r="B1659" t="s">
        <v>25</v>
      </c>
      <c r="C1659" t="s">
        <v>6</v>
      </c>
      <c r="D1659" t="s">
        <v>610</v>
      </c>
      <c r="F1659" s="1">
        <v>45967</v>
      </c>
      <c r="G1659" t="str">
        <f>IF(Table3[[#This Row],[Top Parent Account]]="",Table3[[#This Row],[Account Legal Name]],Table3[[#This Row],[Top Parent Account]])</f>
        <v>LOGISTICA Y TRANSPORTES UBUNTU</v>
      </c>
      <c r="H1659" s="1"/>
    </row>
    <row r="1660" spans="1:8" x14ac:dyDescent="0.35">
      <c r="A1660" s="21"/>
      <c r="B1660" t="s">
        <v>3093</v>
      </c>
      <c r="C1660" t="s">
        <v>4072</v>
      </c>
      <c r="D1660" t="s">
        <v>4073</v>
      </c>
      <c r="F1660" s="1">
        <v>45967</v>
      </c>
      <c r="G1660" t="str">
        <f>IF(Table3[[#This Row],[Top Parent Account]]="",Table3[[#This Row],[Account Legal Name]],Table3[[#This Row],[Top Parent Account]])</f>
        <v>Papeles Especiales de Mexico</v>
      </c>
      <c r="H1660" s="1"/>
    </row>
    <row r="1661" spans="1:8" x14ac:dyDescent="0.35">
      <c r="A1661" s="21"/>
      <c r="B1661" t="s">
        <v>77</v>
      </c>
      <c r="C1661" t="s">
        <v>6</v>
      </c>
      <c r="D1661" t="s">
        <v>931</v>
      </c>
      <c r="F1661" s="1">
        <v>45967</v>
      </c>
      <c r="G1661" t="str">
        <f>IF(Table3[[#This Row],[Top Parent Account]]="",Table3[[#This Row],[Account Legal Name]],Table3[[#This Row],[Top Parent Account]])</f>
        <v>Casa De Música De Luxe</v>
      </c>
      <c r="H1661" s="1"/>
    </row>
    <row r="1662" spans="1:8" x14ac:dyDescent="0.35">
      <c r="A1662" s="21"/>
      <c r="B1662" t="s">
        <v>3092</v>
      </c>
      <c r="C1662" t="s">
        <v>6</v>
      </c>
      <c r="D1662" t="s">
        <v>4124</v>
      </c>
      <c r="F1662" s="1">
        <v>45967</v>
      </c>
      <c r="G1662" t="str">
        <f>IF(Table3[[#This Row],[Top Parent Account]]="",Table3[[#This Row],[Account Legal Name]],Table3[[#This Row],[Top Parent Account]])</f>
        <v>BERRY LOVERS</v>
      </c>
      <c r="H1662" s="1"/>
    </row>
    <row r="1663" spans="1:8" x14ac:dyDescent="0.35">
      <c r="A1663" s="21"/>
      <c r="B1663" t="s">
        <v>23</v>
      </c>
      <c r="C1663" t="s">
        <v>6</v>
      </c>
      <c r="D1663" t="s">
        <v>4074</v>
      </c>
      <c r="F1663" s="1">
        <v>45967</v>
      </c>
      <c r="G1663" t="str">
        <f>IF(Table3[[#This Row],[Top Parent Account]]="",Table3[[#This Row],[Account Legal Name]],Table3[[#This Row],[Top Parent Account]])</f>
        <v>CENTRAL DE LAMINAS QUERETARO</v>
      </c>
      <c r="H1663" s="1"/>
    </row>
    <row r="1664" spans="1:8" x14ac:dyDescent="0.35">
      <c r="A1664" s="21"/>
      <c r="B1664" t="s">
        <v>77</v>
      </c>
      <c r="C1664" t="s">
        <v>6</v>
      </c>
      <c r="D1664" t="s">
        <v>50</v>
      </c>
      <c r="F1664" s="1">
        <v>45967</v>
      </c>
      <c r="G1664" t="str">
        <f>IF(Table3[[#This Row],[Top Parent Account]]="",Table3[[#This Row],[Account Legal Name]],Table3[[#This Row],[Top Parent Account]])</f>
        <v>Industrias Montilla</v>
      </c>
      <c r="H1664" s="1"/>
    </row>
    <row r="1665" spans="1:8" x14ac:dyDescent="0.35">
      <c r="A1665" s="21"/>
      <c r="B1665" t="s">
        <v>3182</v>
      </c>
      <c r="C1665" t="s">
        <v>22</v>
      </c>
      <c r="D1665" t="s">
        <v>1263</v>
      </c>
      <c r="F1665" s="1">
        <v>45967</v>
      </c>
      <c r="G1665" t="str">
        <f>IF(Table3[[#This Row],[Top Parent Account]]="",Table3[[#This Row],[Account Legal Name]],Table3[[#This Row],[Top Parent Account]])</f>
        <v>Aquanima</v>
      </c>
      <c r="H1665" s="1"/>
    </row>
    <row r="1666" spans="1:8" x14ac:dyDescent="0.35">
      <c r="A1666" s="21"/>
      <c r="B1666" t="s">
        <v>18</v>
      </c>
      <c r="C1666" t="s">
        <v>6</v>
      </c>
      <c r="D1666" t="s">
        <v>4125</v>
      </c>
      <c r="F1666" s="1">
        <v>45967</v>
      </c>
      <c r="G1666" t="str">
        <f>IF(Table3[[#This Row],[Top Parent Account]]="",Table3[[#This Row],[Account Legal Name]],Table3[[#This Row],[Top Parent Account]])</f>
        <v>Concretera Titan</v>
      </c>
      <c r="H1666" s="1"/>
    </row>
    <row r="1667" spans="1:8" x14ac:dyDescent="0.35">
      <c r="A1667" s="21"/>
      <c r="B1667" t="s">
        <v>3092</v>
      </c>
      <c r="C1667" t="s">
        <v>6</v>
      </c>
      <c r="D1667" t="s">
        <v>3326</v>
      </c>
      <c r="F1667" s="1">
        <v>45967</v>
      </c>
      <c r="G1667" t="str">
        <f>IF(Table3[[#This Row],[Top Parent Account]]="",Table3[[#This Row],[Account Legal Name]],Table3[[#This Row],[Top Parent Account]])</f>
        <v>Cortes Especializados de Papel</v>
      </c>
      <c r="H1667" s="1"/>
    </row>
    <row r="1668" spans="1:8" x14ac:dyDescent="0.35">
      <c r="A1668" s="21"/>
      <c r="B1668" t="s">
        <v>932</v>
      </c>
      <c r="C1668" t="s">
        <v>6</v>
      </c>
      <c r="D1668" t="s">
        <v>4141</v>
      </c>
      <c r="F1668" s="1">
        <v>45967</v>
      </c>
      <c r="G1668" t="str">
        <f>IF(Table3[[#This Row],[Top Parent Account]]="",Table3[[#This Row],[Account Legal Name]],Table3[[#This Row],[Top Parent Account]])</f>
        <v>Induplastic de México</v>
      </c>
      <c r="H1668" s="1"/>
    </row>
    <row r="1669" spans="1:8" x14ac:dyDescent="0.35">
      <c r="A1669" s="21"/>
      <c r="B1669" t="s">
        <v>1006</v>
      </c>
      <c r="C1669" t="s">
        <v>6</v>
      </c>
      <c r="D1669" t="s">
        <v>2141</v>
      </c>
      <c r="F1669" s="1">
        <v>45967</v>
      </c>
      <c r="G1669" t="str">
        <f>IF(Table3[[#This Row],[Top Parent Account]]="",Table3[[#This Row],[Account Legal Name]],Table3[[#This Row],[Top Parent Account]])</f>
        <v>Refacciones y Servicio Automotriz Denisse</v>
      </c>
      <c r="H1669" s="1"/>
    </row>
    <row r="1670" spans="1:8" x14ac:dyDescent="0.35">
      <c r="A1670" s="21"/>
      <c r="B1670" t="s">
        <v>88</v>
      </c>
      <c r="C1670" t="s">
        <v>6</v>
      </c>
      <c r="D1670" t="s">
        <v>1036</v>
      </c>
      <c r="F1670" s="1">
        <v>45967</v>
      </c>
      <c r="G1670" t="str">
        <f>IF(Table3[[#This Row],[Top Parent Account]]="",Table3[[#This Row],[Account Legal Name]],Table3[[#This Row],[Top Parent Account]])</f>
        <v>Hortali Grow</v>
      </c>
      <c r="H1670" s="1"/>
    </row>
    <row r="1671" spans="1:8" x14ac:dyDescent="0.35">
      <c r="A1671" s="21"/>
      <c r="B1671" t="s">
        <v>32</v>
      </c>
      <c r="C1671" t="s">
        <v>6</v>
      </c>
      <c r="D1671" t="s">
        <v>4075</v>
      </c>
      <c r="F1671" s="1">
        <v>45967</v>
      </c>
      <c r="G1671" t="str">
        <f>IF(Table3[[#This Row],[Top Parent Account]]="",Table3[[#This Row],[Account Legal Name]],Table3[[#This Row],[Top Parent Account]])</f>
        <v>Braskem Idesa Capi</v>
      </c>
      <c r="H1671" s="1"/>
    </row>
    <row r="1672" spans="1:8" x14ac:dyDescent="0.35">
      <c r="A1672" s="21"/>
      <c r="B1672" t="s">
        <v>169</v>
      </c>
      <c r="C1672" t="s">
        <v>6</v>
      </c>
      <c r="D1672" t="s">
        <v>686</v>
      </c>
      <c r="F1672" s="1">
        <v>45967</v>
      </c>
      <c r="G1672" t="str">
        <f>IF(Table3[[#This Row],[Top Parent Account]]="",Table3[[#This Row],[Account Legal Name]],Table3[[#This Row],[Top Parent Account]])</f>
        <v>PRODUCTOS CARNICOS MI GRANJITA</v>
      </c>
      <c r="H1672" s="1"/>
    </row>
    <row r="1673" spans="1:8" x14ac:dyDescent="0.35">
      <c r="A1673" s="21"/>
      <c r="B1673" t="s">
        <v>38</v>
      </c>
      <c r="C1673" t="s">
        <v>6</v>
      </c>
      <c r="D1673" t="s">
        <v>669</v>
      </c>
      <c r="F1673" s="1">
        <v>45967</v>
      </c>
      <c r="G1673" t="str">
        <f>IF(Table3[[#This Row],[Top Parent Account]]="",Table3[[#This Row],[Account Legal Name]],Table3[[#This Row],[Top Parent Account]])</f>
        <v>Lactomark</v>
      </c>
      <c r="H1673" s="1"/>
    </row>
    <row r="1674" spans="1:8" x14ac:dyDescent="0.35">
      <c r="A1674" s="21"/>
      <c r="B1674" t="s">
        <v>10</v>
      </c>
      <c r="C1674" t="s">
        <v>6</v>
      </c>
      <c r="D1674" t="s">
        <v>666</v>
      </c>
      <c r="F1674" s="1">
        <v>45967</v>
      </c>
      <c r="G1674" t="str">
        <f>IF(Table3[[#This Row],[Top Parent Account]]="",Table3[[#This Row],[Account Legal Name]],Table3[[#This Row],[Top Parent Account]])</f>
        <v>Hospital San Javier</v>
      </c>
      <c r="H1674" s="1"/>
    </row>
    <row r="1675" spans="1:8" x14ac:dyDescent="0.35">
      <c r="A1675" s="21"/>
      <c r="B1675" t="s">
        <v>77</v>
      </c>
      <c r="C1675" t="s">
        <v>6</v>
      </c>
      <c r="D1675" t="s">
        <v>4142</v>
      </c>
      <c r="F1675" s="1">
        <v>45967</v>
      </c>
      <c r="G1675" t="str">
        <f>IF(Table3[[#This Row],[Top Parent Account]]="",Table3[[#This Row],[Account Legal Name]],Table3[[#This Row],[Top Parent Account]])</f>
        <v>Inter Servicio De Mexicosa</v>
      </c>
      <c r="H1675" s="1"/>
    </row>
    <row r="1676" spans="1:8" x14ac:dyDescent="0.35">
      <c r="A1676" s="21"/>
      <c r="B1676" t="s">
        <v>3114</v>
      </c>
      <c r="C1676" t="s">
        <v>52</v>
      </c>
      <c r="D1676" t="s">
        <v>1413</v>
      </c>
      <c r="F1676" s="1">
        <v>45967</v>
      </c>
      <c r="G1676" t="str">
        <f>IF(Table3[[#This Row],[Top Parent Account]]="",Table3[[#This Row],[Account Legal Name]],Table3[[#This Row],[Top Parent Account]])</f>
        <v>Lacteos Menonitas de Chihuahua</v>
      </c>
      <c r="H1676" s="1"/>
    </row>
    <row r="1677" spans="1:8" x14ac:dyDescent="0.35">
      <c r="A1677" s="21"/>
      <c r="B1677" t="s">
        <v>43</v>
      </c>
      <c r="C1677" t="s">
        <v>6</v>
      </c>
      <c r="D1677" t="s">
        <v>4076</v>
      </c>
      <c r="F1677" s="1">
        <v>45967</v>
      </c>
      <c r="G1677" t="str">
        <f>IF(Table3[[#This Row],[Top Parent Account]]="",Table3[[#This Row],[Account Legal Name]],Table3[[#This Row],[Top Parent Account]])</f>
        <v>Distribuidora VW del Bajío</v>
      </c>
      <c r="H1677" s="1"/>
    </row>
    <row r="1678" spans="1:8" x14ac:dyDescent="0.35">
      <c r="A1678" s="21"/>
      <c r="B1678" t="s">
        <v>21</v>
      </c>
      <c r="C1678" t="s">
        <v>6</v>
      </c>
      <c r="D1678" t="s">
        <v>4077</v>
      </c>
      <c r="F1678" s="1">
        <v>45967</v>
      </c>
      <c r="G1678" t="str">
        <f>IF(Table3[[#This Row],[Top Parent Account]]="",Table3[[#This Row],[Account Legal Name]],Table3[[#This Row],[Top Parent Account]])</f>
        <v>Autolineas De Carga Jireh</v>
      </c>
      <c r="H1678" s="1"/>
    </row>
    <row r="1679" spans="1:8" x14ac:dyDescent="0.35">
      <c r="A1679" s="21"/>
      <c r="B1679" t="s">
        <v>3553</v>
      </c>
      <c r="C1679" t="s">
        <v>6</v>
      </c>
      <c r="D1679" t="s">
        <v>4078</v>
      </c>
      <c r="F1679" s="1">
        <v>45967</v>
      </c>
      <c r="G1679" t="str">
        <f>IF(Table3[[#This Row],[Top Parent Account]]="",Table3[[#This Row],[Account Legal Name]],Table3[[#This Row],[Top Parent Account]])</f>
        <v>Perfobar</v>
      </c>
      <c r="H1679" s="1"/>
    </row>
    <row r="1680" spans="1:8" x14ac:dyDescent="0.35">
      <c r="A1680" s="21"/>
      <c r="B1680" t="s">
        <v>121</v>
      </c>
      <c r="C1680" t="s">
        <v>6</v>
      </c>
      <c r="D1680" t="s">
        <v>4126</v>
      </c>
      <c r="F1680" s="1">
        <v>45967</v>
      </c>
      <c r="G1680" t="str">
        <f>IF(Table3[[#This Row],[Top Parent Account]]="",Table3[[#This Row],[Account Legal Name]],Table3[[#This Row],[Top Parent Account]])</f>
        <v>CAJAS Y PLASTICOS DE SINALOA</v>
      </c>
      <c r="H1680" s="1"/>
    </row>
    <row r="1681" spans="1:8" x14ac:dyDescent="0.35">
      <c r="A1681" s="21"/>
      <c r="B1681" t="s">
        <v>207</v>
      </c>
      <c r="C1681" t="s">
        <v>6</v>
      </c>
      <c r="D1681" t="s">
        <v>1144</v>
      </c>
      <c r="F1681" s="1">
        <v>45967</v>
      </c>
      <c r="G1681" t="str">
        <f>IF(Table3[[#This Row],[Top Parent Account]]="",Table3[[#This Row],[Account Legal Name]],Table3[[#This Row],[Top Parent Account]])</f>
        <v>Comercializadora Fibrasan</v>
      </c>
      <c r="H1681" s="1"/>
    </row>
    <row r="1682" spans="1:8" x14ac:dyDescent="0.35">
      <c r="A1682" s="21"/>
      <c r="B1682" t="s">
        <v>3114</v>
      </c>
      <c r="C1682" t="s">
        <v>52</v>
      </c>
      <c r="D1682" t="s">
        <v>2834</v>
      </c>
      <c r="F1682" s="1">
        <v>45967</v>
      </c>
      <c r="G1682" t="str">
        <f>IF(Table3[[#This Row],[Top Parent Account]]="",Table3[[#This Row],[Account Legal Name]],Table3[[#This Row],[Top Parent Account]])</f>
        <v>Autofletes Chihuahua</v>
      </c>
      <c r="H1682" s="1"/>
    </row>
    <row r="1683" spans="1:8" x14ac:dyDescent="0.35">
      <c r="A1683" s="21"/>
      <c r="B1683" t="s">
        <v>375</v>
      </c>
      <c r="C1683" t="s">
        <v>6</v>
      </c>
      <c r="D1683" t="s">
        <v>4013</v>
      </c>
      <c r="F1683" s="1">
        <v>45967</v>
      </c>
      <c r="G1683" t="str">
        <f>IF(Table3[[#This Row],[Top Parent Account]]="",Table3[[#This Row],[Account Legal Name]],Table3[[#This Row],[Top Parent Account]])</f>
        <v>Yakult</v>
      </c>
      <c r="H1683" s="1"/>
    </row>
    <row r="1684" spans="1:8" x14ac:dyDescent="0.35">
      <c r="A1684" s="21"/>
      <c r="B1684" t="s">
        <v>38</v>
      </c>
      <c r="C1684" t="s">
        <v>6</v>
      </c>
      <c r="D1684" t="s">
        <v>471</v>
      </c>
      <c r="F1684" s="1">
        <v>45967</v>
      </c>
      <c r="G1684" t="str">
        <f>IF(Table3[[#This Row],[Top Parent Account]]="",Table3[[#This Row],[Account Legal Name]],Table3[[#This Row],[Top Parent Account]])</f>
        <v>Ciudad Maderas</v>
      </c>
      <c r="H1684" s="1"/>
    </row>
    <row r="1685" spans="1:8" x14ac:dyDescent="0.35">
      <c r="A1685" s="21"/>
      <c r="B1685" t="s">
        <v>3092</v>
      </c>
      <c r="C1685" t="s">
        <v>6</v>
      </c>
      <c r="D1685" t="s">
        <v>3106</v>
      </c>
      <c r="F1685" s="1">
        <v>45967</v>
      </c>
      <c r="G1685" t="str">
        <f>IF(Table3[[#This Row],[Top Parent Account]]="",Table3[[#This Row],[Account Legal Name]],Table3[[#This Row],[Top Parent Account]])</f>
        <v>Servicios de Anuncios Publicitarios</v>
      </c>
      <c r="H1685" s="1"/>
    </row>
    <row r="1686" spans="1:8" x14ac:dyDescent="0.35">
      <c r="A1686" s="21"/>
      <c r="B1686" t="s">
        <v>2912</v>
      </c>
      <c r="C1686" t="s">
        <v>6</v>
      </c>
      <c r="D1686" t="s">
        <v>3487</v>
      </c>
      <c r="F1686" s="1">
        <v>45967</v>
      </c>
      <c r="G1686" t="str">
        <f>IF(Table3[[#This Row],[Top Parent Account]]="",Table3[[#This Row],[Account Legal Name]],Table3[[#This Row],[Top Parent Account]])</f>
        <v>Pintacomex</v>
      </c>
      <c r="H1686" s="1"/>
    </row>
    <row r="1687" spans="1:8" x14ac:dyDescent="0.35">
      <c r="A1687" s="21"/>
      <c r="B1687" t="s">
        <v>2693</v>
      </c>
      <c r="C1687" t="s">
        <v>6</v>
      </c>
      <c r="D1687" t="s">
        <v>3642</v>
      </c>
      <c r="F1687" s="1">
        <v>45967</v>
      </c>
      <c r="G1687" t="str">
        <f>IF(Table3[[#This Row],[Top Parent Account]]="",Table3[[#This Row],[Account Legal Name]],Table3[[#This Row],[Top Parent Account]])</f>
        <v>GRUPO DIECAST MEXICO</v>
      </c>
      <c r="H1687" s="1"/>
    </row>
    <row r="1688" spans="1:8" x14ac:dyDescent="0.35">
      <c r="A1688" s="21"/>
      <c r="B1688" t="s">
        <v>116</v>
      </c>
      <c r="C1688" t="s">
        <v>6</v>
      </c>
      <c r="D1688" t="s">
        <v>4127</v>
      </c>
      <c r="F1688" s="1">
        <v>45967</v>
      </c>
      <c r="G1688" t="str">
        <f>IF(Table3[[#This Row],[Top Parent Account]]="",Table3[[#This Row],[Account Legal Name]],Table3[[#This Row],[Top Parent Account]])</f>
        <v>Tequilas Del Señor</v>
      </c>
      <c r="H1688" s="1"/>
    </row>
    <row r="1689" spans="1:8" x14ac:dyDescent="0.35">
      <c r="A1689" s="21"/>
      <c r="B1689" t="s">
        <v>2884</v>
      </c>
      <c r="C1689" t="s">
        <v>6</v>
      </c>
      <c r="D1689" t="s">
        <v>4143</v>
      </c>
      <c r="F1689" s="1">
        <v>45967</v>
      </c>
      <c r="G1689" t="str">
        <f>IF(Table3[[#This Row],[Top Parent Account]]="",Table3[[#This Row],[Account Legal Name]],Table3[[#This Row],[Top Parent Account]])</f>
        <v>Fariel</v>
      </c>
      <c r="H1689" s="1"/>
    </row>
    <row r="1690" spans="1:8" x14ac:dyDescent="0.35">
      <c r="A1690" s="21"/>
      <c r="B1690" t="s">
        <v>2884</v>
      </c>
      <c r="C1690" t="s">
        <v>6</v>
      </c>
      <c r="D1690" t="s">
        <v>1044</v>
      </c>
      <c r="F1690" s="1">
        <v>45967</v>
      </c>
      <c r="G1690" t="str">
        <f>IF(Table3[[#This Row],[Top Parent Account]]="",Table3[[#This Row],[Account Legal Name]],Table3[[#This Row],[Top Parent Account]])</f>
        <v>MONTAJES INDUSTRIALES MYCA</v>
      </c>
      <c r="H1690" s="1"/>
    </row>
    <row r="1691" spans="1:8" x14ac:dyDescent="0.35">
      <c r="A1691" s="21"/>
      <c r="B1691" t="s">
        <v>3182</v>
      </c>
      <c r="C1691" t="s">
        <v>6</v>
      </c>
      <c r="D1691" t="s">
        <v>4079</v>
      </c>
      <c r="F1691" s="1">
        <v>45967</v>
      </c>
      <c r="G1691" t="str">
        <f>IF(Table3[[#This Row],[Top Parent Account]]="",Table3[[#This Row],[Account Legal Name]],Table3[[#This Row],[Top Parent Account]])</f>
        <v>Aceitera La Española</v>
      </c>
      <c r="H1691" s="1"/>
    </row>
    <row r="1692" spans="1:8" x14ac:dyDescent="0.35">
      <c r="A1692" s="21"/>
      <c r="B1692" t="s">
        <v>10</v>
      </c>
      <c r="C1692" t="s">
        <v>6</v>
      </c>
      <c r="D1692" t="s">
        <v>1317</v>
      </c>
      <c r="F1692" s="1">
        <v>45967</v>
      </c>
      <c r="G1692" t="str">
        <f>IF(Table3[[#This Row],[Top Parent Account]]="",Table3[[#This Row],[Account Legal Name]],Table3[[#This Row],[Top Parent Account]])</f>
        <v>Laboratorios Pisa</v>
      </c>
      <c r="H1692" s="1"/>
    </row>
    <row r="1693" spans="1:8" x14ac:dyDescent="0.35">
      <c r="A1693" s="21"/>
      <c r="B1693" t="s">
        <v>2912</v>
      </c>
      <c r="C1693" t="s">
        <v>6</v>
      </c>
      <c r="D1693" t="s">
        <v>4080</v>
      </c>
      <c r="F1693" s="1">
        <v>45967</v>
      </c>
      <c r="G1693" t="str">
        <f>IF(Table3[[#This Row],[Top Parent Account]]="",Table3[[#This Row],[Account Legal Name]],Table3[[#This Row],[Top Parent Account]])</f>
        <v>Atlas Copco Mexicana</v>
      </c>
      <c r="H1693" s="1"/>
    </row>
    <row r="1694" spans="1:8" x14ac:dyDescent="0.35">
      <c r="A1694" s="21"/>
      <c r="B1694" t="s">
        <v>23</v>
      </c>
      <c r="C1694" t="s">
        <v>6</v>
      </c>
      <c r="D1694" t="s">
        <v>3699</v>
      </c>
      <c r="F1694" s="1">
        <v>45967</v>
      </c>
      <c r="G1694" t="str">
        <f>IF(Table3[[#This Row],[Top Parent Account]]="",Table3[[#This Row],[Account Legal Name]],Table3[[#This Row],[Top Parent Account]])</f>
        <v>Innovaciones Asfálticas ALTEA</v>
      </c>
      <c r="H1694" s="1"/>
    </row>
    <row r="1695" spans="1:8" x14ac:dyDescent="0.35">
      <c r="A1695" s="21"/>
      <c r="B1695" t="s">
        <v>3129</v>
      </c>
      <c r="C1695" t="s">
        <v>6</v>
      </c>
      <c r="D1695" t="s">
        <v>469</v>
      </c>
      <c r="F1695" s="1">
        <v>45967</v>
      </c>
      <c r="G1695" t="str">
        <f>IF(Table3[[#This Row],[Top Parent Account]]="",Table3[[#This Row],[Account Legal Name]],Table3[[#This Row],[Top Parent Account]])</f>
        <v>Dicipa</v>
      </c>
      <c r="H1695" s="1"/>
    </row>
    <row r="1696" spans="1:8" x14ac:dyDescent="0.35">
      <c r="A1696" s="21"/>
      <c r="B1696" t="s">
        <v>37</v>
      </c>
      <c r="C1696" t="s">
        <v>6</v>
      </c>
      <c r="D1696" t="s">
        <v>1151</v>
      </c>
      <c r="F1696" s="1">
        <v>45967</v>
      </c>
      <c r="G1696" t="str">
        <f>IF(Table3[[#This Row],[Top Parent Account]]="",Table3[[#This Row],[Account Legal Name]],Table3[[#This Row],[Top Parent Account]])</f>
        <v>H2e Mexico</v>
      </c>
      <c r="H1696" s="1"/>
    </row>
    <row r="1697" spans="1:8" x14ac:dyDescent="0.35">
      <c r="A1697" s="21"/>
      <c r="B1697" t="s">
        <v>1511</v>
      </c>
      <c r="C1697" t="s">
        <v>6</v>
      </c>
      <c r="D1697" t="s">
        <v>4128</v>
      </c>
      <c r="F1697" s="1">
        <v>45967</v>
      </c>
      <c r="G1697" t="str">
        <f>IF(Table3[[#This Row],[Top Parent Account]]="",Table3[[#This Row],[Account Legal Name]],Table3[[#This Row],[Top Parent Account]])</f>
        <v>Corrugados Logo</v>
      </c>
      <c r="H1697" s="1"/>
    </row>
    <row r="1698" spans="1:8" x14ac:dyDescent="0.35">
      <c r="A1698" s="21"/>
      <c r="B1698" t="s">
        <v>32</v>
      </c>
      <c r="C1698" t="s">
        <v>6</v>
      </c>
      <c r="D1698" t="s">
        <v>93</v>
      </c>
      <c r="F1698" s="1">
        <v>45967</v>
      </c>
      <c r="G1698" t="str">
        <f>IF(Table3[[#This Row],[Top Parent Account]]="",Table3[[#This Row],[Account Legal Name]],Table3[[#This Row],[Top Parent Account]])</f>
        <v>Beta San Miguel</v>
      </c>
      <c r="H1698" s="1"/>
    </row>
    <row r="1699" spans="1:8" x14ac:dyDescent="0.35">
      <c r="A1699" s="21"/>
      <c r="B1699" t="s">
        <v>2693</v>
      </c>
      <c r="C1699" t="s">
        <v>6</v>
      </c>
      <c r="D1699" t="s">
        <v>3502</v>
      </c>
      <c r="E1699" t="s">
        <v>3503</v>
      </c>
      <c r="F1699" s="1">
        <v>45967</v>
      </c>
      <c r="G1699" t="str">
        <f>IF(Table3[[#This Row],[Top Parent Account]]="",Table3[[#This Row],[Account Legal Name]],Table3[[#This Row],[Top Parent Account]])</f>
        <v>ARG-PALMAR AGRONEGOCIOS</v>
      </c>
      <c r="H1699" s="1"/>
    </row>
    <row r="1700" spans="1:8" x14ac:dyDescent="0.35">
      <c r="A1700" s="21"/>
      <c r="B1700" t="s">
        <v>932</v>
      </c>
      <c r="C1700" t="s">
        <v>1693</v>
      </c>
      <c r="D1700" t="s">
        <v>4081</v>
      </c>
      <c r="F1700" s="1">
        <v>45967</v>
      </c>
      <c r="G1700" t="str">
        <f>IF(Table3[[#This Row],[Top Parent Account]]="",Table3[[#This Row],[Account Legal Name]],Table3[[#This Row],[Top Parent Account]])</f>
        <v>El Crisol</v>
      </c>
      <c r="H1700" s="1"/>
    </row>
    <row r="1701" spans="1:8" x14ac:dyDescent="0.35">
      <c r="A1701" s="21"/>
      <c r="B1701" t="s">
        <v>1006</v>
      </c>
      <c r="C1701" t="s">
        <v>6</v>
      </c>
      <c r="D1701" t="s">
        <v>3590</v>
      </c>
      <c r="F1701" s="1">
        <v>45966</v>
      </c>
      <c r="G1701" t="str">
        <f>IF(Table3[[#This Row],[Top Parent Account]]="",Table3[[#This Row],[Account Legal Name]],Table3[[#This Row],[Top Parent Account]])</f>
        <v>Frescar</v>
      </c>
      <c r="H1701" s="1"/>
    </row>
    <row r="1702" spans="1:8" x14ac:dyDescent="0.35">
      <c r="A1702" s="21"/>
      <c r="B1702" t="s">
        <v>3182</v>
      </c>
      <c r="C1702" t="s">
        <v>22</v>
      </c>
      <c r="D1702" t="s">
        <v>1345</v>
      </c>
      <c r="F1702" s="1">
        <v>45966</v>
      </c>
      <c r="G1702" t="str">
        <f>IF(Table3[[#This Row],[Top Parent Account]]="",Table3[[#This Row],[Account Legal Name]],Table3[[#This Row],[Top Parent Account]])</f>
        <v>Productora y Comercializadora Internacional Mexicana</v>
      </c>
      <c r="H1702" s="1"/>
    </row>
    <row r="1703" spans="1:8" x14ac:dyDescent="0.35">
      <c r="A1703" s="21"/>
      <c r="B1703" t="s">
        <v>172</v>
      </c>
      <c r="C1703" t="s">
        <v>6</v>
      </c>
      <c r="D1703" t="s">
        <v>4129</v>
      </c>
      <c r="F1703" s="1">
        <v>45966</v>
      </c>
      <c r="G1703" t="str">
        <f>IF(Table3[[#This Row],[Top Parent Account]]="",Table3[[#This Row],[Account Legal Name]],Table3[[#This Row],[Top Parent Account]])</f>
        <v>Administracion Dimsa</v>
      </c>
      <c r="H1703" s="1"/>
    </row>
    <row r="1704" spans="1:8" x14ac:dyDescent="0.35">
      <c r="A1704" s="21"/>
      <c r="B1704" t="s">
        <v>32</v>
      </c>
      <c r="C1704" t="s">
        <v>6</v>
      </c>
      <c r="D1704" t="s">
        <v>195</v>
      </c>
      <c r="F1704" s="1">
        <v>45966</v>
      </c>
      <c r="G1704" t="str">
        <f>IF(Table3[[#This Row],[Top Parent Account]]="",Table3[[#This Row],[Account Legal Name]],Table3[[#This Row],[Top Parent Account]])</f>
        <v>Grupo Indi</v>
      </c>
      <c r="H1704" s="1"/>
    </row>
    <row r="1705" spans="1:8" x14ac:dyDescent="0.35">
      <c r="A1705" s="21"/>
      <c r="B1705" t="s">
        <v>14</v>
      </c>
      <c r="C1705" t="s">
        <v>6</v>
      </c>
      <c r="D1705" t="s">
        <v>1077</v>
      </c>
      <c r="E1705" t="s">
        <v>1078</v>
      </c>
      <c r="F1705" s="1">
        <v>45966</v>
      </c>
      <c r="G1705" t="str">
        <f>IF(Table3[[#This Row],[Top Parent Account]]="",Table3[[#This Row],[Account Legal Name]],Table3[[#This Row],[Top Parent Account]])</f>
        <v>CAMPO HASS</v>
      </c>
      <c r="H1705" s="1"/>
    </row>
    <row r="1706" spans="1:8" x14ac:dyDescent="0.35">
      <c r="A1706" s="21"/>
      <c r="B1706" t="s">
        <v>10</v>
      </c>
      <c r="C1706" t="s">
        <v>6</v>
      </c>
      <c r="D1706" t="s">
        <v>3557</v>
      </c>
      <c r="F1706" s="1">
        <v>45966</v>
      </c>
      <c r="G1706" t="str">
        <f>IF(Table3[[#This Row],[Top Parent Account]]="",Table3[[#This Row],[Account Legal Name]],Table3[[#This Row],[Top Parent Account]])</f>
        <v>Corrugados Especializados Del Bajío</v>
      </c>
      <c r="H1706" s="1"/>
    </row>
    <row r="1707" spans="1:8" x14ac:dyDescent="0.35">
      <c r="A1707" s="21"/>
      <c r="B1707" t="s">
        <v>14</v>
      </c>
      <c r="C1707" t="s">
        <v>6</v>
      </c>
      <c r="D1707" t="s">
        <v>4144</v>
      </c>
      <c r="F1707" s="1">
        <v>45966</v>
      </c>
      <c r="G1707" t="str">
        <f>IF(Table3[[#This Row],[Top Parent Account]]="",Table3[[#This Row],[Account Legal Name]],Table3[[#This Row],[Top Parent Account]])</f>
        <v>PARTES HERRAMIENTAS Y MAQUINADOS</v>
      </c>
      <c r="H1707" s="1"/>
    </row>
    <row r="1708" spans="1:8" x14ac:dyDescent="0.35">
      <c r="A1708" s="21"/>
      <c r="B1708" t="s">
        <v>896</v>
      </c>
      <c r="C1708" t="s">
        <v>6</v>
      </c>
      <c r="D1708" t="s">
        <v>4082</v>
      </c>
      <c r="E1708" t="s">
        <v>4083</v>
      </c>
      <c r="F1708" s="1">
        <v>45966</v>
      </c>
      <c r="G1708" t="str">
        <f>IF(Table3[[#This Row],[Top Parent Account]]="",Table3[[#This Row],[Account Legal Name]],Table3[[#This Row],[Top Parent Account]])</f>
        <v>Médica TEC 100</v>
      </c>
      <c r="H1708" s="1"/>
    </row>
    <row r="1709" spans="1:8" x14ac:dyDescent="0.35">
      <c r="A1709" s="21"/>
      <c r="B1709" t="s">
        <v>3628</v>
      </c>
      <c r="C1709" t="s">
        <v>6</v>
      </c>
      <c r="D1709" t="s">
        <v>4084</v>
      </c>
      <c r="F1709" s="1">
        <v>45966</v>
      </c>
      <c r="G1709" t="str">
        <f>IF(Table3[[#This Row],[Top Parent Account]]="",Table3[[#This Row],[Account Legal Name]],Table3[[#This Row],[Top Parent Account]])</f>
        <v>Inavant</v>
      </c>
      <c r="H1709" s="1"/>
    </row>
    <row r="1710" spans="1:8" x14ac:dyDescent="0.35">
      <c r="A1710" s="21"/>
      <c r="B1710" t="s">
        <v>925</v>
      </c>
      <c r="C1710" t="s">
        <v>6</v>
      </c>
      <c r="D1710" t="s">
        <v>2913</v>
      </c>
      <c r="F1710" s="1">
        <v>45966</v>
      </c>
      <c r="G1710" t="str">
        <f>IF(Table3[[#This Row],[Top Parent Account]]="",Table3[[#This Row],[Account Legal Name]],Table3[[#This Row],[Top Parent Account]])</f>
        <v>Organo Sintesis</v>
      </c>
      <c r="H1710" s="1"/>
    </row>
    <row r="1711" spans="1:8" x14ac:dyDescent="0.35">
      <c r="A1711" s="21"/>
      <c r="B1711" t="s">
        <v>3114</v>
      </c>
      <c r="C1711" t="s">
        <v>52</v>
      </c>
      <c r="D1711" t="s">
        <v>4085</v>
      </c>
      <c r="F1711" s="1">
        <v>45966</v>
      </c>
      <c r="G1711" t="str">
        <f>IF(Table3[[#This Row],[Top Parent Account]]="",Table3[[#This Row],[Account Legal Name]],Table3[[#This Row],[Top Parent Account]])</f>
        <v>INNOVAK GLOBAL</v>
      </c>
      <c r="H1711" s="1"/>
    </row>
    <row r="1712" spans="1:8" x14ac:dyDescent="0.35">
      <c r="A1712" s="21"/>
      <c r="B1712" t="s">
        <v>2912</v>
      </c>
      <c r="C1712" t="s">
        <v>6</v>
      </c>
      <c r="D1712" t="s">
        <v>3617</v>
      </c>
      <c r="F1712" s="1">
        <v>45966</v>
      </c>
      <c r="G1712" t="str">
        <f>IF(Table3[[#This Row],[Top Parent Account]]="",Table3[[#This Row],[Account Legal Name]],Table3[[#This Row],[Top Parent Account]])</f>
        <v>Mill Foods</v>
      </c>
      <c r="H1712" s="1"/>
    </row>
    <row r="1713" spans="1:8" x14ac:dyDescent="0.35">
      <c r="A1713" s="21"/>
      <c r="B1713" t="s">
        <v>43</v>
      </c>
      <c r="C1713" t="s">
        <v>6</v>
      </c>
      <c r="D1713" t="s">
        <v>4086</v>
      </c>
      <c r="F1713" s="1">
        <v>45966</v>
      </c>
      <c r="G1713" t="str">
        <f>IF(Table3[[#This Row],[Top Parent Account]]="",Table3[[#This Row],[Account Legal Name]],Table3[[#This Row],[Top Parent Account]])</f>
        <v>B Pack</v>
      </c>
      <c r="H1713" s="1"/>
    </row>
    <row r="1714" spans="1:8" x14ac:dyDescent="0.35">
      <c r="A1714" s="21"/>
      <c r="B1714" t="s">
        <v>2693</v>
      </c>
      <c r="C1714" t="s">
        <v>6</v>
      </c>
      <c r="D1714" t="s">
        <v>3858</v>
      </c>
      <c r="F1714" s="1">
        <v>45966</v>
      </c>
      <c r="G1714" t="str">
        <f>IF(Table3[[#This Row],[Top Parent Account]]="",Table3[[#This Row],[Account Legal Name]],Table3[[#This Row],[Top Parent Account]])</f>
        <v>ESTRUCTURAS SOLANA</v>
      </c>
      <c r="H1714" s="1"/>
    </row>
    <row r="1715" spans="1:8" x14ac:dyDescent="0.35">
      <c r="A1715" s="21"/>
      <c r="B1715" t="s">
        <v>925</v>
      </c>
      <c r="C1715" t="s">
        <v>6</v>
      </c>
      <c r="D1715" t="s">
        <v>4087</v>
      </c>
      <c r="F1715" s="1">
        <v>45966</v>
      </c>
      <c r="G1715" t="str">
        <f>IF(Table3[[#This Row],[Top Parent Account]]="",Table3[[#This Row],[Account Legal Name]],Table3[[#This Row],[Top Parent Account]])</f>
        <v>TECHNOLOGIS</v>
      </c>
      <c r="H1715" s="1"/>
    </row>
    <row r="1716" spans="1:8" x14ac:dyDescent="0.35">
      <c r="A1716" s="21"/>
      <c r="B1716" t="s">
        <v>207</v>
      </c>
      <c r="C1716" t="s">
        <v>6</v>
      </c>
      <c r="D1716" t="s">
        <v>3633</v>
      </c>
      <c r="F1716" s="1">
        <v>45966</v>
      </c>
      <c r="G1716" t="str">
        <f>IF(Table3[[#This Row],[Top Parent Account]]="",Table3[[#This Row],[Account Legal Name]],Table3[[#This Row],[Top Parent Account]])</f>
        <v>TECNO PACK CORRUGADOS</v>
      </c>
      <c r="H1716" s="1"/>
    </row>
    <row r="1717" spans="1:8" x14ac:dyDescent="0.35">
      <c r="A1717" s="21"/>
      <c r="B1717" t="s">
        <v>3628</v>
      </c>
      <c r="C1717" t="s">
        <v>6</v>
      </c>
      <c r="D1717" t="s">
        <v>4026</v>
      </c>
      <c r="F1717" s="1">
        <v>45966</v>
      </c>
      <c r="G1717" t="str">
        <f>IF(Table3[[#This Row],[Top Parent Account]]="",Table3[[#This Row],[Account Legal Name]],Table3[[#This Row],[Top Parent Account]])</f>
        <v>Tecnologías Y Soluciones Tridimensionales</v>
      </c>
      <c r="H1717" s="1"/>
    </row>
    <row r="1718" spans="1:8" x14ac:dyDescent="0.35">
      <c r="A1718" s="21"/>
      <c r="B1718" t="s">
        <v>1006</v>
      </c>
      <c r="C1718" t="s">
        <v>6</v>
      </c>
      <c r="D1718" t="s">
        <v>4088</v>
      </c>
      <c r="F1718" s="1">
        <v>45966</v>
      </c>
      <c r="G1718" t="str">
        <f>IF(Table3[[#This Row],[Top Parent Account]]="",Table3[[#This Row],[Account Legal Name]],Table3[[#This Row],[Top Parent Account]])</f>
        <v>LOGISTICA PORTUARIA DE MANZANILLO</v>
      </c>
      <c r="H1718" s="1"/>
    </row>
    <row r="1719" spans="1:8" x14ac:dyDescent="0.35">
      <c r="A1719" s="21"/>
      <c r="B1719" t="s">
        <v>23</v>
      </c>
      <c r="C1719" t="s">
        <v>6</v>
      </c>
      <c r="D1719" t="s">
        <v>3767</v>
      </c>
      <c r="F1719" s="1">
        <v>45966</v>
      </c>
      <c r="G1719" t="str">
        <f>IF(Table3[[#This Row],[Top Parent Account]]="",Table3[[#This Row],[Account Legal Name]],Table3[[#This Row],[Top Parent Account]])</f>
        <v>Comercializadora del Bajío Sitrak</v>
      </c>
      <c r="H1719" s="1"/>
    </row>
    <row r="1720" spans="1:8" x14ac:dyDescent="0.35">
      <c r="A1720" s="21"/>
      <c r="B1720" t="s">
        <v>121</v>
      </c>
      <c r="C1720" t="s">
        <v>6</v>
      </c>
      <c r="D1720" t="s">
        <v>574</v>
      </c>
      <c r="F1720" s="1">
        <v>45966</v>
      </c>
      <c r="G1720" t="str">
        <f>IF(Table3[[#This Row],[Top Parent Account]]="",Table3[[#This Row],[Account Legal Name]],Table3[[#This Row],[Top Parent Account]])</f>
        <v>PROMAQUILA DE COCULA</v>
      </c>
      <c r="H1720" s="1"/>
    </row>
    <row r="1721" spans="1:8" x14ac:dyDescent="0.35">
      <c r="A1721" s="21"/>
      <c r="B1721" t="s">
        <v>121</v>
      </c>
      <c r="C1721" t="s">
        <v>6</v>
      </c>
      <c r="D1721" t="s">
        <v>1212</v>
      </c>
      <c r="F1721" s="1">
        <v>45966</v>
      </c>
      <c r="G1721" t="str">
        <f>IF(Table3[[#This Row],[Top Parent Account]]="",Table3[[#This Row],[Account Legal Name]],Table3[[#This Row],[Top Parent Account]])</f>
        <v>Sazón Natural (Genaro Robles Serrano) (Persona Física)</v>
      </c>
      <c r="H1721" s="1"/>
    </row>
    <row r="1722" spans="1:8" x14ac:dyDescent="0.35">
      <c r="A1722" s="21"/>
      <c r="B1722" t="s">
        <v>2693</v>
      </c>
      <c r="C1722" t="s">
        <v>6</v>
      </c>
      <c r="D1722" t="s">
        <v>3835</v>
      </c>
      <c r="F1722" s="1">
        <v>45966</v>
      </c>
      <c r="G1722" t="str">
        <f>IF(Table3[[#This Row],[Top Parent Account]]="",Table3[[#This Row],[Account Legal Name]],Table3[[#This Row],[Top Parent Account]])</f>
        <v>Pabisan</v>
      </c>
      <c r="H1722" s="1"/>
    </row>
    <row r="1723" spans="1:8" x14ac:dyDescent="0.35">
      <c r="A1723" s="21"/>
      <c r="B1723" t="s">
        <v>1006</v>
      </c>
      <c r="C1723" t="s">
        <v>6</v>
      </c>
      <c r="D1723" t="s">
        <v>4089</v>
      </c>
      <c r="F1723" s="1">
        <v>45966</v>
      </c>
      <c r="G1723" t="str">
        <f>IF(Table3[[#This Row],[Top Parent Account]]="",Table3[[#This Row],[Account Legal Name]],Table3[[#This Row],[Top Parent Account]])</f>
        <v>TRANSPORTES COLMEX</v>
      </c>
      <c r="H1723" s="1"/>
    </row>
    <row r="1724" spans="1:8" x14ac:dyDescent="0.35">
      <c r="A1724" s="21"/>
      <c r="B1724" t="s">
        <v>51</v>
      </c>
      <c r="C1724" t="s">
        <v>6</v>
      </c>
      <c r="D1724" t="s">
        <v>4090</v>
      </c>
      <c r="F1724" s="1">
        <v>45966</v>
      </c>
      <c r="G1724" t="str">
        <f>IF(Table3[[#This Row],[Top Parent Account]]="",Table3[[#This Row],[Account Legal Name]],Table3[[#This Row],[Top Parent Account]])</f>
        <v>Grupo Malsa Constructora</v>
      </c>
      <c r="H1724" s="1"/>
    </row>
    <row r="1725" spans="1:8" x14ac:dyDescent="0.35">
      <c r="A1725" s="21"/>
      <c r="B1725" t="s">
        <v>925</v>
      </c>
      <c r="C1725" t="s">
        <v>6</v>
      </c>
      <c r="D1725" t="s">
        <v>4091</v>
      </c>
      <c r="F1725" s="1">
        <v>45966</v>
      </c>
      <c r="G1725" t="str">
        <f>IF(Table3[[#This Row],[Top Parent Account]]="",Table3[[#This Row],[Account Legal Name]],Table3[[#This Row],[Top Parent Account]])</f>
        <v>Mina Pica Piedra</v>
      </c>
      <c r="H1725" s="1"/>
    </row>
    <row r="1726" spans="1:8" x14ac:dyDescent="0.35">
      <c r="A1726" s="21"/>
      <c r="B1726" t="s">
        <v>121</v>
      </c>
      <c r="C1726" t="s">
        <v>6</v>
      </c>
      <c r="D1726" t="s">
        <v>947</v>
      </c>
      <c r="F1726" s="1">
        <v>45966</v>
      </c>
      <c r="G1726" t="str">
        <f>IF(Table3[[#This Row],[Top Parent Account]]="",Table3[[#This Row],[Account Legal Name]],Table3[[#This Row],[Top Parent Account]])</f>
        <v>Old School Spirits</v>
      </c>
      <c r="H1726" s="1"/>
    </row>
    <row r="1727" spans="1:8" x14ac:dyDescent="0.35">
      <c r="A1727" s="21"/>
      <c r="B1727" t="s">
        <v>3114</v>
      </c>
      <c r="C1727" t="s">
        <v>52</v>
      </c>
      <c r="D1727" t="s">
        <v>4279</v>
      </c>
      <c r="F1727" s="1">
        <v>45966</v>
      </c>
      <c r="G1727" t="str">
        <f>IF(Table3[[#This Row],[Top Parent Account]]="",Table3[[#This Row],[Account Legal Name]],Table3[[#This Row],[Top Parent Account]])</f>
        <v>Concentrados  Bovilac</v>
      </c>
      <c r="H1727" s="1"/>
    </row>
    <row r="1728" spans="1:8" x14ac:dyDescent="0.35">
      <c r="A1728" s="21"/>
      <c r="B1728" t="s">
        <v>27</v>
      </c>
      <c r="C1728" t="s">
        <v>6</v>
      </c>
      <c r="D1728" t="s">
        <v>2341</v>
      </c>
      <c r="F1728" s="1">
        <v>45966</v>
      </c>
      <c r="G1728" t="str">
        <f>IF(Table3[[#This Row],[Top Parent Account]]="",Table3[[#This Row],[Account Legal Name]],Table3[[#This Row],[Top Parent Account]])</f>
        <v>Die Cut Solutions</v>
      </c>
      <c r="H1728" s="1"/>
    </row>
    <row r="1729" spans="1:8" x14ac:dyDescent="0.35">
      <c r="A1729" s="21"/>
      <c r="B1729" t="s">
        <v>18</v>
      </c>
      <c r="C1729" t="s">
        <v>6</v>
      </c>
      <c r="D1729" t="s">
        <v>4092</v>
      </c>
      <c r="F1729" s="1">
        <v>45966</v>
      </c>
      <c r="G1729" t="str">
        <f>IF(Table3[[#This Row],[Top Parent Account]]="",Table3[[#This Row],[Account Legal Name]],Table3[[#This Row],[Top Parent Account]])</f>
        <v>TRACMORSA</v>
      </c>
      <c r="H1729" s="1"/>
    </row>
    <row r="1730" spans="1:8" x14ac:dyDescent="0.35">
      <c r="A1730" s="21"/>
      <c r="B1730" t="s">
        <v>77</v>
      </c>
      <c r="C1730" t="s">
        <v>6</v>
      </c>
      <c r="D1730" t="s">
        <v>974</v>
      </c>
      <c r="F1730" s="1">
        <v>45966</v>
      </c>
      <c r="G1730" t="str">
        <f>IF(Table3[[#This Row],[Top Parent Account]]="",Table3[[#This Row],[Account Legal Name]],Table3[[#This Row],[Top Parent Account]])</f>
        <v>SYB Schmitt</v>
      </c>
      <c r="H1730" s="1"/>
    </row>
    <row r="1731" spans="1:8" x14ac:dyDescent="0.35">
      <c r="A1731" s="21"/>
      <c r="B1731" t="s">
        <v>1006</v>
      </c>
      <c r="C1731" t="s">
        <v>6</v>
      </c>
      <c r="D1731" t="s">
        <v>4130</v>
      </c>
      <c r="E1731" t="s">
        <v>3540</v>
      </c>
      <c r="F1731" s="1">
        <v>45966</v>
      </c>
      <c r="G1731" t="str">
        <f>IF(Table3[[#This Row],[Top Parent Account]]="",Table3[[#This Row],[Account Legal Name]],Table3[[#This Row],[Top Parent Account]])</f>
        <v>Grupo Logístico Mares del Sur</v>
      </c>
      <c r="H1731" s="1"/>
    </row>
    <row r="1732" spans="1:8" x14ac:dyDescent="0.35">
      <c r="A1732" s="21"/>
      <c r="B1732" t="s">
        <v>23</v>
      </c>
      <c r="C1732" t="s">
        <v>6</v>
      </c>
      <c r="D1732" t="s">
        <v>4093</v>
      </c>
      <c r="F1732" s="1">
        <v>45966</v>
      </c>
      <c r="G1732" t="str">
        <f>IF(Table3[[#This Row],[Top Parent Account]]="",Table3[[#This Row],[Account Legal Name]],Table3[[#This Row],[Top Parent Account]])</f>
        <v>Transporte Automatización de Materiales</v>
      </c>
      <c r="H1732" s="1"/>
    </row>
    <row r="1733" spans="1:8" x14ac:dyDescent="0.35">
      <c r="A1733" s="21"/>
      <c r="B1733" t="s">
        <v>3129</v>
      </c>
      <c r="C1733" t="s">
        <v>6</v>
      </c>
      <c r="D1733" t="s">
        <v>4094</v>
      </c>
      <c r="F1733" s="1">
        <v>45966</v>
      </c>
      <c r="G1733" t="str">
        <f>IF(Table3[[#This Row],[Top Parent Account]]="",Table3[[#This Row],[Account Legal Name]],Table3[[#This Row],[Top Parent Account]])</f>
        <v>BSM FORWARDING</v>
      </c>
      <c r="H1733" s="1"/>
    </row>
    <row r="1734" spans="1:8" x14ac:dyDescent="0.35">
      <c r="A1734" s="21"/>
      <c r="B1734" t="s">
        <v>43</v>
      </c>
      <c r="C1734" t="s">
        <v>6</v>
      </c>
      <c r="D1734" t="s">
        <v>4097</v>
      </c>
      <c r="F1734" s="1">
        <v>45966</v>
      </c>
      <c r="G1734" t="str">
        <f>IF(Table3[[#This Row],[Top Parent Account]]="",Table3[[#This Row],[Account Legal Name]],Table3[[#This Row],[Top Parent Account]])</f>
        <v>Maclean Engineering Mexicana</v>
      </c>
      <c r="H1734" s="1"/>
    </row>
    <row r="1735" spans="1:8" x14ac:dyDescent="0.35">
      <c r="A1735" s="21"/>
      <c r="B1735" t="s">
        <v>925</v>
      </c>
      <c r="C1735" t="s">
        <v>6</v>
      </c>
      <c r="D1735" t="s">
        <v>2957</v>
      </c>
      <c r="F1735" s="1">
        <v>45966</v>
      </c>
      <c r="G1735" t="str">
        <f>IF(Table3[[#This Row],[Top Parent Account]]="",Table3[[#This Row],[Account Legal Name]],Table3[[#This Row],[Top Parent Account]])</f>
        <v>Somaki de México</v>
      </c>
      <c r="H1735" s="1"/>
    </row>
    <row r="1736" spans="1:8" x14ac:dyDescent="0.35">
      <c r="A1736" s="21"/>
      <c r="B1736" t="s">
        <v>2345</v>
      </c>
      <c r="C1736" t="s">
        <v>6</v>
      </c>
      <c r="D1736" t="s">
        <v>4095</v>
      </c>
      <c r="F1736" s="1">
        <v>45966</v>
      </c>
      <c r="G1736" t="str">
        <f>IF(Table3[[#This Row],[Top Parent Account]]="",Table3[[#This Row],[Account Legal Name]],Table3[[#This Row],[Top Parent Account]])</f>
        <v>Aluminios Desoxidantes de Occidente</v>
      </c>
      <c r="H1736" s="1"/>
    </row>
    <row r="1737" spans="1:8" x14ac:dyDescent="0.35">
      <c r="A1737" s="21"/>
      <c r="B1737" t="s">
        <v>3092</v>
      </c>
      <c r="C1737" t="s">
        <v>6</v>
      </c>
      <c r="D1737" t="s">
        <v>4096</v>
      </c>
      <c r="F1737" s="1">
        <v>45966</v>
      </c>
      <c r="G1737" t="str">
        <f>IF(Table3[[#This Row],[Top Parent Account]]="",Table3[[#This Row],[Account Legal Name]],Table3[[#This Row],[Top Parent Account]])</f>
        <v>Desarrollos que trascienden</v>
      </c>
      <c r="H1737" s="1"/>
    </row>
    <row r="1738" spans="1:8" x14ac:dyDescent="0.35">
      <c r="A1738" s="21"/>
      <c r="B1738" t="s">
        <v>3182</v>
      </c>
      <c r="C1738" t="s">
        <v>6</v>
      </c>
      <c r="D1738" t="s">
        <v>181</v>
      </c>
      <c r="F1738" s="1">
        <v>45966</v>
      </c>
      <c r="G1738" t="str">
        <f>IF(Table3[[#This Row],[Top Parent Account]]="",Table3[[#This Row],[Account Legal Name]],Table3[[#This Row],[Top Parent Account]])</f>
        <v>Heidelberg México</v>
      </c>
      <c r="H1738" s="1"/>
    </row>
    <row r="1739" spans="1:8" x14ac:dyDescent="0.35">
      <c r="A1739" s="21"/>
      <c r="B1739" t="s">
        <v>589</v>
      </c>
      <c r="C1739" t="s">
        <v>6</v>
      </c>
      <c r="D1739" t="s">
        <v>4131</v>
      </c>
      <c r="F1739" s="1">
        <v>45966</v>
      </c>
      <c r="G1739" t="str">
        <f>IF(Table3[[#This Row],[Top Parent Account]]="",Table3[[#This Row],[Account Legal Name]],Table3[[#This Row],[Top Parent Account]])</f>
        <v>Distribuidora De Naranjas Tamez</v>
      </c>
      <c r="H1739" s="1"/>
    </row>
    <row r="1740" spans="1:8" x14ac:dyDescent="0.35">
      <c r="A1740" s="21"/>
      <c r="B1740" t="s">
        <v>43</v>
      </c>
      <c r="C1740" t="s">
        <v>6</v>
      </c>
      <c r="D1740" t="s">
        <v>364</v>
      </c>
      <c r="F1740" s="1">
        <v>45966</v>
      </c>
      <c r="G1740" t="str">
        <f>IF(Table3[[#This Row],[Top Parent Account]]="",Table3[[#This Row],[Account Legal Name]],Table3[[#This Row],[Top Parent Account]])</f>
        <v>Galnik</v>
      </c>
      <c r="H1740" s="1"/>
    </row>
    <row r="1741" spans="1:8" x14ac:dyDescent="0.35">
      <c r="A1741" s="21"/>
      <c r="B1741" t="s">
        <v>70</v>
      </c>
      <c r="C1741" t="s">
        <v>6</v>
      </c>
      <c r="D1741" t="s">
        <v>283</v>
      </c>
      <c r="F1741" s="1">
        <v>45966</v>
      </c>
      <c r="G1741" t="str">
        <f>IF(Table3[[#This Row],[Top Parent Account]]="",Table3[[#This Row],[Account Legal Name]],Table3[[#This Row],[Top Parent Account]])</f>
        <v>Tecnologia Spine</v>
      </c>
      <c r="H1741" s="1"/>
    </row>
    <row r="1742" spans="1:8" x14ac:dyDescent="0.35">
      <c r="A1742" s="21"/>
      <c r="B1742" t="s">
        <v>77</v>
      </c>
      <c r="C1742" t="s">
        <v>6</v>
      </c>
      <c r="D1742" t="s">
        <v>2462</v>
      </c>
      <c r="F1742" s="1">
        <v>45966</v>
      </c>
      <c r="G1742" t="str">
        <f>IF(Table3[[#This Row],[Top Parent Account]]="",Table3[[#This Row],[Account Legal Name]],Table3[[#This Row],[Top Parent Account]])</f>
        <v>Agropecuaria Sans Souci</v>
      </c>
      <c r="H1742" s="1"/>
    </row>
    <row r="1743" spans="1:8" x14ac:dyDescent="0.35">
      <c r="A1743" s="21"/>
      <c r="B1743" t="s">
        <v>1006</v>
      </c>
      <c r="C1743" t="s">
        <v>6</v>
      </c>
      <c r="D1743" t="s">
        <v>824</v>
      </c>
      <c r="E1743" t="s">
        <v>817</v>
      </c>
      <c r="F1743" s="1">
        <v>45966</v>
      </c>
      <c r="G1743" t="str">
        <f>IF(Table3[[#This Row],[Top Parent Account]]="",Table3[[#This Row],[Account Legal Name]],Table3[[#This Row],[Top Parent Account]])</f>
        <v>GRUPO CIMA</v>
      </c>
      <c r="H1743" s="1"/>
    </row>
    <row r="1744" spans="1:8" x14ac:dyDescent="0.35">
      <c r="A1744" s="21"/>
      <c r="B1744" t="s">
        <v>37</v>
      </c>
      <c r="C1744" t="s">
        <v>6</v>
      </c>
      <c r="D1744" t="s">
        <v>4132</v>
      </c>
      <c r="F1744" s="1">
        <v>45966</v>
      </c>
      <c r="G1744" t="str">
        <f>IF(Table3[[#This Row],[Top Parent Account]]="",Table3[[#This Row],[Account Legal Name]],Table3[[#This Row],[Top Parent Account]])</f>
        <v>Orocahui Mining</v>
      </c>
      <c r="H1744" s="1"/>
    </row>
    <row r="1745" spans="1:8" x14ac:dyDescent="0.35">
      <c r="A1745" s="21"/>
      <c r="B1745" t="s">
        <v>2693</v>
      </c>
      <c r="C1745" t="s">
        <v>6</v>
      </c>
      <c r="D1745" t="s">
        <v>1159</v>
      </c>
      <c r="F1745" s="1">
        <v>45966</v>
      </c>
      <c r="G1745" t="str">
        <f>IF(Table3[[#This Row],[Top Parent Account]]="",Table3[[#This Row],[Account Legal Name]],Table3[[#This Row],[Top Parent Account]])</f>
        <v>Lacteos Montealban</v>
      </c>
      <c r="H1745" s="1"/>
    </row>
    <row r="1746" spans="1:8" x14ac:dyDescent="0.35">
      <c r="A1746" s="21"/>
      <c r="B1746" t="s">
        <v>32</v>
      </c>
      <c r="C1746" t="s">
        <v>6</v>
      </c>
      <c r="D1746" t="s">
        <v>277</v>
      </c>
      <c r="F1746" s="1">
        <v>45965</v>
      </c>
      <c r="G1746" t="str">
        <f>IF(Table3[[#This Row],[Top Parent Account]]="",Table3[[#This Row],[Account Legal Name]],Table3[[#This Row],[Top Parent Account]])</f>
        <v>Grupo Cice</v>
      </c>
      <c r="H1746" s="1"/>
    </row>
    <row r="1747" spans="1:8" x14ac:dyDescent="0.35">
      <c r="A1747" s="21"/>
      <c r="B1747" t="s">
        <v>2884</v>
      </c>
      <c r="C1747" t="s">
        <v>22</v>
      </c>
      <c r="D1747" t="s">
        <v>3558</v>
      </c>
      <c r="E1747" t="s">
        <v>3558</v>
      </c>
      <c r="F1747" s="1">
        <v>45965</v>
      </c>
      <c r="G1747" t="str">
        <f>IF(Table3[[#This Row],[Top Parent Account]]="",Table3[[#This Row],[Account Legal Name]],Table3[[#This Row],[Top Parent Account]])</f>
        <v>Pandener</v>
      </c>
      <c r="H1747" s="1"/>
    </row>
    <row r="1748" spans="1:8" x14ac:dyDescent="0.35">
      <c r="A1748" s="21"/>
      <c r="B1748" t="s">
        <v>18</v>
      </c>
      <c r="C1748" t="s">
        <v>6</v>
      </c>
      <c r="D1748" t="s">
        <v>4098</v>
      </c>
      <c r="E1748" t="s">
        <v>4099</v>
      </c>
      <c r="F1748" s="1">
        <v>45965</v>
      </c>
      <c r="G1748" t="str">
        <f>IF(Table3[[#This Row],[Top Parent Account]]="",Table3[[#This Row],[Account Legal Name]],Table3[[#This Row],[Top Parent Account]])</f>
        <v>Triturados El Roble</v>
      </c>
      <c r="H1748" s="1"/>
    </row>
    <row r="1749" spans="1:8" x14ac:dyDescent="0.35">
      <c r="A1749" s="21"/>
      <c r="B1749" t="s">
        <v>3114</v>
      </c>
      <c r="C1749" t="s">
        <v>52</v>
      </c>
      <c r="D1749" t="s">
        <v>3002</v>
      </c>
      <c r="F1749" s="1">
        <v>45965</v>
      </c>
      <c r="G1749" t="str">
        <f>IF(Table3[[#This Row],[Top Parent Account]]="",Table3[[#This Row],[Account Legal Name]],Table3[[#This Row],[Top Parent Account]])</f>
        <v>Productora De Quesos Sierra Verde</v>
      </c>
      <c r="H1749" s="1"/>
    </row>
    <row r="1750" spans="1:8" x14ac:dyDescent="0.35">
      <c r="A1750" s="21"/>
      <c r="B1750" t="s">
        <v>925</v>
      </c>
      <c r="C1750" t="s">
        <v>6</v>
      </c>
      <c r="D1750" t="s">
        <v>1869</v>
      </c>
      <c r="F1750" s="1">
        <v>45965</v>
      </c>
      <c r="G1750" t="str">
        <f>IF(Table3[[#This Row],[Top Parent Account]]="",Table3[[#This Row],[Account Legal Name]],Table3[[#This Row],[Top Parent Account]])</f>
        <v>ACEROS Y PRODUCTOS PERFICORTE</v>
      </c>
      <c r="H1750" s="1"/>
    </row>
    <row r="1751" spans="1:8" x14ac:dyDescent="0.35">
      <c r="A1751" s="21"/>
      <c r="B1751" t="s">
        <v>77</v>
      </c>
      <c r="C1751" t="s">
        <v>6</v>
      </c>
      <c r="D1751" t="s">
        <v>1842</v>
      </c>
      <c r="F1751" s="1">
        <v>45965</v>
      </c>
      <c r="G1751" t="str">
        <f>IF(Table3[[#This Row],[Top Parent Account]]="",Table3[[#This Row],[Account Legal Name]],Table3[[#This Row],[Top Parent Account]])</f>
        <v>Johan Froese Enns</v>
      </c>
      <c r="H1751" s="1"/>
    </row>
    <row r="1752" spans="1:8" x14ac:dyDescent="0.35">
      <c r="A1752" s="21"/>
      <c r="B1752" t="s">
        <v>3628</v>
      </c>
      <c r="C1752" t="s">
        <v>6</v>
      </c>
      <c r="D1752" t="s">
        <v>4100</v>
      </c>
      <c r="F1752" s="1">
        <v>45965</v>
      </c>
      <c r="G1752" t="str">
        <f>IF(Table3[[#This Row],[Top Parent Account]]="",Table3[[#This Row],[Account Legal Name]],Table3[[#This Row],[Top Parent Account]])</f>
        <v>Pinturas Osel</v>
      </c>
      <c r="H1752" s="1"/>
    </row>
    <row r="1753" spans="1:8" x14ac:dyDescent="0.35">
      <c r="A1753" s="21"/>
      <c r="B1753" t="s">
        <v>2345</v>
      </c>
      <c r="C1753" t="s">
        <v>6</v>
      </c>
      <c r="D1753" t="s">
        <v>1605</v>
      </c>
      <c r="F1753" s="1">
        <v>45965</v>
      </c>
      <c r="G1753" t="str">
        <f>IF(Table3[[#This Row],[Top Parent Account]]="",Table3[[#This Row],[Account Legal Name]],Table3[[#This Row],[Top Parent Account]])</f>
        <v>Carnes Selectas el Jalisciense</v>
      </c>
      <c r="H1753" s="1"/>
    </row>
    <row r="1754" spans="1:8" x14ac:dyDescent="0.35">
      <c r="A1754" s="21"/>
      <c r="B1754" t="s">
        <v>29</v>
      </c>
      <c r="C1754" t="s">
        <v>6</v>
      </c>
      <c r="D1754" t="s">
        <v>4133</v>
      </c>
      <c r="F1754" s="1">
        <v>45965</v>
      </c>
      <c r="G1754" t="str">
        <f>IF(Table3[[#This Row],[Top Parent Account]]="",Table3[[#This Row],[Account Legal Name]],Table3[[#This Row],[Top Parent Account]])</f>
        <v>Flexometal</v>
      </c>
      <c r="H1754" s="1"/>
    </row>
    <row r="1755" spans="1:8" x14ac:dyDescent="0.35">
      <c r="A1755" s="21"/>
      <c r="B1755" t="s">
        <v>3553</v>
      </c>
      <c r="C1755" t="s">
        <v>6</v>
      </c>
      <c r="D1755" t="s">
        <v>1745</v>
      </c>
      <c r="F1755" s="1">
        <v>45965</v>
      </c>
      <c r="G1755" t="str">
        <f>IF(Table3[[#This Row],[Top Parent Account]]="",Table3[[#This Row],[Account Legal Name]],Table3[[#This Row],[Top Parent Account]])</f>
        <v>Garin Etiquetas</v>
      </c>
      <c r="H1755" s="1"/>
    </row>
    <row r="1756" spans="1:8" x14ac:dyDescent="0.35">
      <c r="A1756" s="21"/>
      <c r="B1756" t="s">
        <v>3114</v>
      </c>
      <c r="C1756" t="s">
        <v>52</v>
      </c>
      <c r="D1756" t="s">
        <v>1540</v>
      </c>
      <c r="F1756" s="1">
        <v>45965</v>
      </c>
      <c r="G1756" t="str">
        <f>IF(Table3[[#This Row],[Top Parent Account]]="",Table3[[#This Row],[Account Legal Name]],Table3[[#This Row],[Top Parent Account]])</f>
        <v>Queseria Dos Lagunas</v>
      </c>
      <c r="H1756" s="1"/>
    </row>
    <row r="1757" spans="1:8" x14ac:dyDescent="0.35">
      <c r="A1757" s="21"/>
      <c r="B1757" t="s">
        <v>925</v>
      </c>
      <c r="C1757" t="s">
        <v>6</v>
      </c>
      <c r="D1757" t="s">
        <v>4087</v>
      </c>
      <c r="F1757" s="1">
        <v>45965</v>
      </c>
      <c r="G1757" t="str">
        <f>IF(Table3[[#This Row],[Top Parent Account]]="",Table3[[#This Row],[Account Legal Name]],Table3[[#This Row],[Top Parent Account]])</f>
        <v>TECHNOLOGIS</v>
      </c>
      <c r="H1757" s="1"/>
    </row>
    <row r="1758" spans="1:8" x14ac:dyDescent="0.35">
      <c r="A1758" s="21"/>
      <c r="B1758" t="s">
        <v>1511</v>
      </c>
      <c r="C1758" t="s">
        <v>6</v>
      </c>
      <c r="D1758" t="s">
        <v>4134</v>
      </c>
      <c r="F1758" s="1">
        <v>45965</v>
      </c>
      <c r="G1758" t="str">
        <f>IF(Table3[[#This Row],[Top Parent Account]]="",Table3[[#This Row],[Account Legal Name]],Table3[[#This Row],[Top Parent Account]])</f>
        <v>Hyundai Glovis México</v>
      </c>
      <c r="H1758" s="1"/>
    </row>
    <row r="1759" spans="1:8" x14ac:dyDescent="0.35">
      <c r="A1759" s="21"/>
      <c r="B1759" t="s">
        <v>27</v>
      </c>
      <c r="C1759" t="s">
        <v>6</v>
      </c>
      <c r="D1759" t="s">
        <v>438</v>
      </c>
      <c r="F1759" s="1">
        <v>45965</v>
      </c>
      <c r="G1759" t="str">
        <f>IF(Table3[[#This Row],[Top Parent Account]]="",Table3[[#This Row],[Account Legal Name]],Table3[[#This Row],[Top Parent Account]])</f>
        <v>Arbomex</v>
      </c>
      <c r="H1759" s="1"/>
    </row>
    <row r="1760" spans="1:8" x14ac:dyDescent="0.35">
      <c r="A1760" s="21"/>
      <c r="B1760" t="s">
        <v>3114</v>
      </c>
      <c r="C1760" t="s">
        <v>52</v>
      </c>
      <c r="D1760" t="s">
        <v>1010</v>
      </c>
      <c r="F1760" s="1">
        <v>45965</v>
      </c>
      <c r="G1760" t="str">
        <f>IF(Table3[[#This Row],[Top Parent Account]]="",Table3[[#This Row],[Account Legal Name]],Table3[[#This Row],[Top Parent Account]])</f>
        <v>Ilas México</v>
      </c>
      <c r="H1760" s="1"/>
    </row>
    <row r="1761" spans="1:8" x14ac:dyDescent="0.35">
      <c r="A1761" s="21"/>
      <c r="B1761" t="s">
        <v>10</v>
      </c>
      <c r="C1761" t="s">
        <v>6</v>
      </c>
      <c r="D1761" t="s">
        <v>4135</v>
      </c>
      <c r="F1761" s="1">
        <v>45965</v>
      </c>
      <c r="G1761" t="str">
        <f>IF(Table3[[#This Row],[Top Parent Account]]="",Table3[[#This Row],[Account Legal Name]],Table3[[#This Row],[Top Parent Account]])</f>
        <v>Nutroline</v>
      </c>
      <c r="H1761" s="1"/>
    </row>
    <row r="1762" spans="1:8" x14ac:dyDescent="0.35">
      <c r="A1762" s="21"/>
      <c r="B1762" t="s">
        <v>1899</v>
      </c>
      <c r="C1762" t="s">
        <v>6</v>
      </c>
      <c r="D1762" t="s">
        <v>4136</v>
      </c>
      <c r="F1762" s="1">
        <v>45965</v>
      </c>
      <c r="G1762" t="str">
        <f>IF(Table3[[#This Row],[Top Parent Account]]="",Table3[[#This Row],[Account Legal Name]],Table3[[#This Row],[Top Parent Account]])</f>
        <v>Franquicias Josephinos</v>
      </c>
      <c r="H1762" s="1"/>
    </row>
    <row r="1763" spans="1:8" x14ac:dyDescent="0.35">
      <c r="A1763" s="21"/>
      <c r="B1763" t="s">
        <v>70</v>
      </c>
      <c r="C1763" t="s">
        <v>22</v>
      </c>
      <c r="D1763" t="s">
        <v>222</v>
      </c>
      <c r="F1763" s="1">
        <v>45965</v>
      </c>
      <c r="G1763" t="str">
        <f>IF(Table3[[#This Row],[Top Parent Account]]="",Table3[[#This Row],[Account Legal Name]],Table3[[#This Row],[Top Parent Account]])</f>
        <v>Vensi Ventajas En Servicios Integrales</v>
      </c>
      <c r="H1763" s="1"/>
    </row>
    <row r="1764" spans="1:8" x14ac:dyDescent="0.35">
      <c r="A1764" s="21"/>
      <c r="B1764" t="s">
        <v>10</v>
      </c>
      <c r="C1764" t="s">
        <v>6</v>
      </c>
      <c r="D1764" t="s">
        <v>476</v>
      </c>
      <c r="F1764" s="1">
        <v>45965</v>
      </c>
      <c r="G1764" t="str">
        <f>IF(Table3[[#This Row],[Top Parent Account]]="",Table3[[#This Row],[Account Legal Name]],Table3[[#This Row],[Top Parent Account]])</f>
        <v>Litografía D Ortega</v>
      </c>
      <c r="H1764" s="1"/>
    </row>
    <row r="1765" spans="1:8" x14ac:dyDescent="0.35">
      <c r="A1765" s="21"/>
      <c r="B1765" t="s">
        <v>28</v>
      </c>
      <c r="C1765" t="s">
        <v>6</v>
      </c>
      <c r="D1765" t="s">
        <v>1741</v>
      </c>
      <c r="F1765" s="1">
        <v>45965</v>
      </c>
      <c r="G1765" t="str">
        <f>IF(Table3[[#This Row],[Top Parent Account]]="",Table3[[#This Row],[Account Legal Name]],Table3[[#This Row],[Top Parent Account]])</f>
        <v>W2G LOGISTICA</v>
      </c>
      <c r="H1765" s="1"/>
    </row>
    <row r="1766" spans="1:8" x14ac:dyDescent="0.35">
      <c r="A1766" s="21"/>
      <c r="B1766" t="s">
        <v>3129</v>
      </c>
      <c r="C1766" t="s">
        <v>6</v>
      </c>
      <c r="D1766" t="s">
        <v>4101</v>
      </c>
      <c r="F1766" s="1">
        <v>45965</v>
      </c>
      <c r="G1766" t="str">
        <f>IF(Table3[[#This Row],[Top Parent Account]]="",Table3[[#This Row],[Account Legal Name]],Table3[[#This Row],[Top Parent Account]])</f>
        <v>SERTEC</v>
      </c>
      <c r="H1766" s="1"/>
    </row>
    <row r="1767" spans="1:8" x14ac:dyDescent="0.35">
      <c r="A1767" s="21"/>
      <c r="B1767" t="s">
        <v>37</v>
      </c>
      <c r="C1767" t="s">
        <v>6</v>
      </c>
      <c r="D1767" t="s">
        <v>4137</v>
      </c>
      <c r="F1767" s="1">
        <v>45965</v>
      </c>
      <c r="G1767" t="str">
        <f>IF(Table3[[#This Row],[Top Parent Account]]="",Table3[[#This Row],[Account Legal Name]],Table3[[#This Row],[Top Parent Account]])</f>
        <v>R.O. Maquinaria</v>
      </c>
      <c r="H1767" s="1"/>
    </row>
    <row r="1768" spans="1:8" x14ac:dyDescent="0.35">
      <c r="A1768" s="21"/>
      <c r="B1768" t="s">
        <v>3628</v>
      </c>
      <c r="C1768" t="s">
        <v>6</v>
      </c>
      <c r="D1768" t="s">
        <v>4102</v>
      </c>
      <c r="F1768" s="1">
        <v>45965</v>
      </c>
      <c r="G1768" t="str">
        <f>IF(Table3[[#This Row],[Top Parent Account]]="",Table3[[#This Row],[Account Legal Name]],Table3[[#This Row],[Top Parent Account]])</f>
        <v>Amisa Monterrey</v>
      </c>
      <c r="H1768" s="1"/>
    </row>
    <row r="1769" spans="1:8" x14ac:dyDescent="0.35">
      <c r="A1769" s="21"/>
      <c r="B1769" t="s">
        <v>3628</v>
      </c>
      <c r="C1769" t="s">
        <v>6</v>
      </c>
      <c r="D1769" t="s">
        <v>4103</v>
      </c>
      <c r="F1769" s="1">
        <v>45964</v>
      </c>
      <c r="G1769" t="str">
        <f>IF(Table3[[#This Row],[Top Parent Account]]="",Table3[[#This Row],[Account Legal Name]],Table3[[#This Row],[Top Parent Account]])</f>
        <v>Grupo Industrial Saltillo</v>
      </c>
      <c r="H1769" s="1"/>
    </row>
    <row r="1770" spans="1:8" x14ac:dyDescent="0.35">
      <c r="A1770" s="21"/>
      <c r="B1770" t="s">
        <v>3628</v>
      </c>
      <c r="C1770" t="s">
        <v>6</v>
      </c>
      <c r="D1770" t="s">
        <v>4104</v>
      </c>
      <c r="F1770" s="1">
        <v>45964</v>
      </c>
      <c r="G1770" t="str">
        <f>IF(Table3[[#This Row],[Top Parent Account]]="",Table3[[#This Row],[Account Legal Name]],Table3[[#This Row],[Top Parent Account]])</f>
        <v>Suminregio</v>
      </c>
      <c r="H1770" s="1"/>
    </row>
    <row r="1771" spans="1:8" x14ac:dyDescent="0.35">
      <c r="A1771" s="21"/>
      <c r="B1771" t="s">
        <v>3628</v>
      </c>
      <c r="C1771" t="s">
        <v>6</v>
      </c>
      <c r="D1771" t="s">
        <v>4105</v>
      </c>
      <c r="F1771" s="1">
        <v>45964</v>
      </c>
      <c r="G1771" t="str">
        <f>IF(Table3[[#This Row],[Top Parent Account]]="",Table3[[#This Row],[Account Legal Name]],Table3[[#This Row],[Top Parent Account]])</f>
        <v>Comercializadora Mayco</v>
      </c>
      <c r="H1771" s="1"/>
    </row>
    <row r="1772" spans="1:8" x14ac:dyDescent="0.35">
      <c r="A1772" s="21"/>
      <c r="B1772" t="s">
        <v>2693</v>
      </c>
      <c r="C1772" t="s">
        <v>6</v>
      </c>
      <c r="D1772" t="s">
        <v>4106</v>
      </c>
      <c r="F1772" s="1">
        <v>45964</v>
      </c>
      <c r="G1772" t="str">
        <f>IF(Table3[[#This Row],[Top Parent Account]]="",Table3[[#This Row],[Account Legal Name]],Table3[[#This Row],[Top Parent Account]])</f>
        <v>MEC ESPEJOS Y RETROVISORES</v>
      </c>
      <c r="H1772" s="1"/>
    </row>
    <row r="1773" spans="1:8" x14ac:dyDescent="0.35">
      <c r="A1773" s="21"/>
      <c r="B1773" t="s">
        <v>43</v>
      </c>
      <c r="C1773" t="s">
        <v>6</v>
      </c>
      <c r="D1773" t="s">
        <v>915</v>
      </c>
      <c r="F1773" s="1">
        <v>45964</v>
      </c>
      <c r="G1773" t="str">
        <f>IF(Table3[[#This Row],[Top Parent Account]]="",Table3[[#This Row],[Account Legal Name]],Table3[[#This Row],[Top Parent Account]])</f>
        <v>Luca Mining</v>
      </c>
      <c r="H1773" s="1"/>
    </row>
    <row r="1774" spans="1:8" x14ac:dyDescent="0.35">
      <c r="A1774" s="21"/>
      <c r="B1774" t="s">
        <v>28</v>
      </c>
      <c r="C1774" t="s">
        <v>6</v>
      </c>
      <c r="D1774" t="s">
        <v>4107</v>
      </c>
      <c r="F1774" s="1">
        <v>45964</v>
      </c>
      <c r="G1774" t="str">
        <f>IF(Table3[[#This Row],[Top Parent Account]]="",Table3[[#This Row],[Account Legal Name]],Table3[[#This Row],[Top Parent Account]])</f>
        <v>MOLIENDAS TECNICAS</v>
      </c>
      <c r="H1774" s="1"/>
    </row>
    <row r="1775" spans="1:8" x14ac:dyDescent="0.35">
      <c r="A1775" s="21"/>
      <c r="B1775" t="s">
        <v>207</v>
      </c>
      <c r="C1775" t="s">
        <v>6</v>
      </c>
      <c r="D1775" t="s">
        <v>4108</v>
      </c>
      <c r="F1775" s="1">
        <v>45964</v>
      </c>
      <c r="G1775" t="str">
        <f>IF(Table3[[#This Row],[Top Parent Account]]="",Table3[[#This Row],[Account Legal Name]],Table3[[#This Row],[Top Parent Account]])</f>
        <v>INSPIRE SOLUTIONS</v>
      </c>
      <c r="H1775" s="1"/>
    </row>
    <row r="1776" spans="1:8" x14ac:dyDescent="0.35">
      <c r="A1776" s="21"/>
      <c r="B1776" t="s">
        <v>26</v>
      </c>
      <c r="C1776" t="s">
        <v>6</v>
      </c>
      <c r="D1776" t="s">
        <v>433</v>
      </c>
      <c r="F1776" s="1">
        <v>45964</v>
      </c>
      <c r="G1776" t="str">
        <f>IF(Table3[[#This Row],[Top Parent Account]]="",Table3[[#This Row],[Account Legal Name]],Table3[[#This Row],[Top Parent Account]])</f>
        <v>Usg México</v>
      </c>
      <c r="H1776" s="1"/>
    </row>
    <row r="1777" spans="1:8" x14ac:dyDescent="0.35">
      <c r="A1777" s="21"/>
      <c r="B1777" t="s">
        <v>208</v>
      </c>
      <c r="C1777" t="s">
        <v>6</v>
      </c>
      <c r="D1777" t="s">
        <v>4138</v>
      </c>
      <c r="F1777" s="1">
        <v>45964</v>
      </c>
      <c r="G1777" t="str">
        <f>IF(Table3[[#This Row],[Top Parent Account]]="",Table3[[#This Row],[Account Legal Name]],Table3[[#This Row],[Top Parent Account]])</f>
        <v>MULTIMADERAS Y TRIPLAY</v>
      </c>
      <c r="H1777" s="1"/>
    </row>
    <row r="1778" spans="1:8" x14ac:dyDescent="0.35">
      <c r="A1778" s="21"/>
      <c r="B1778" t="s">
        <v>70</v>
      </c>
      <c r="C1778" t="s">
        <v>6</v>
      </c>
      <c r="D1778" t="s">
        <v>4579</v>
      </c>
      <c r="E1778" t="s">
        <v>1068</v>
      </c>
      <c r="F1778" s="1">
        <v>45964</v>
      </c>
      <c r="G1778" t="str">
        <f>IF(Table3[[#This Row],[Top Parent Account]]="",Table3[[#This Row],[Account Legal Name]],Table3[[#This Row],[Top Parent Account]])</f>
        <v>Igsa</v>
      </c>
      <c r="H1778" s="1"/>
    </row>
    <row r="1779" spans="1:8" x14ac:dyDescent="0.35">
      <c r="A1779" s="21"/>
      <c r="B1779" t="s">
        <v>14</v>
      </c>
      <c r="C1779" t="s">
        <v>6</v>
      </c>
      <c r="D1779" t="s">
        <v>4145</v>
      </c>
      <c r="F1779" s="1">
        <v>45964</v>
      </c>
      <c r="G1779" t="str">
        <f>IF(Table3[[#This Row],[Top Parent Account]]="",Table3[[#This Row],[Account Legal Name]],Table3[[#This Row],[Top Parent Account]])</f>
        <v>Construcciones Covimex</v>
      </c>
      <c r="H1779" s="1"/>
    </row>
    <row r="1780" spans="1:8" x14ac:dyDescent="0.35">
      <c r="A1780" s="21"/>
      <c r="B1780" t="s">
        <v>208</v>
      </c>
      <c r="C1780" t="s">
        <v>6</v>
      </c>
      <c r="D1780" t="s">
        <v>4065</v>
      </c>
      <c r="F1780" s="1">
        <v>45964</v>
      </c>
      <c r="G1780" t="str">
        <f>IF(Table3[[#This Row],[Top Parent Account]]="",Table3[[#This Row],[Account Legal Name]],Table3[[#This Row],[Top Parent Account]])</f>
        <v>GRUPO AUTOMOTRIZ VMH</v>
      </c>
      <c r="H1780" s="1"/>
    </row>
    <row r="1781" spans="1:8" x14ac:dyDescent="0.35">
      <c r="A1781" s="21"/>
      <c r="B1781" t="s">
        <v>589</v>
      </c>
      <c r="C1781" t="s">
        <v>6</v>
      </c>
      <c r="D1781" t="s">
        <v>4033</v>
      </c>
      <c r="F1781" s="1">
        <v>45961</v>
      </c>
      <c r="G1781" t="str">
        <f>IF(Table3[[#This Row],[Top Parent Account]]="",Table3[[#This Row],[Account Legal Name]],Table3[[#This Row],[Top Parent Account]])</f>
        <v>Trammosa</v>
      </c>
      <c r="H1781" s="1"/>
    </row>
    <row r="1782" spans="1:8" x14ac:dyDescent="0.35">
      <c r="A1782" s="21"/>
      <c r="B1782" t="s">
        <v>989</v>
      </c>
      <c r="C1782" t="s">
        <v>6</v>
      </c>
      <c r="D1782" t="s">
        <v>4034</v>
      </c>
      <c r="F1782" s="1">
        <v>45961</v>
      </c>
      <c r="G1782" t="str">
        <f>IF(Table3[[#This Row],[Top Parent Account]]="",Table3[[#This Row],[Account Legal Name]],Table3[[#This Row],[Top Parent Account]])</f>
        <v>Servibev</v>
      </c>
      <c r="H1782" s="1"/>
    </row>
    <row r="1783" spans="1:8" x14ac:dyDescent="0.35">
      <c r="A1783" s="21"/>
      <c r="B1783" t="s">
        <v>14</v>
      </c>
      <c r="C1783" t="s">
        <v>6</v>
      </c>
      <c r="D1783" t="s">
        <v>3359</v>
      </c>
      <c r="F1783" s="1">
        <v>45961</v>
      </c>
      <c r="G1783" t="str">
        <f>IF(Table3[[#This Row],[Top Parent Account]]="",Table3[[#This Row],[Account Legal Name]],Table3[[#This Row],[Top Parent Account]])</f>
        <v>Dasavena Gourmet</v>
      </c>
      <c r="H1783" s="1"/>
    </row>
    <row r="1784" spans="1:8" x14ac:dyDescent="0.35">
      <c r="A1784" s="21"/>
      <c r="B1784" t="s">
        <v>3092</v>
      </c>
      <c r="C1784" t="s">
        <v>6</v>
      </c>
      <c r="D1784" t="s">
        <v>4035</v>
      </c>
      <c r="F1784" s="1">
        <v>45961</v>
      </c>
      <c r="G1784" t="str">
        <f>IF(Table3[[#This Row],[Top Parent Account]]="",Table3[[#This Row],[Account Legal Name]],Table3[[#This Row],[Top Parent Account]])</f>
        <v>Pulido Truck And Parts</v>
      </c>
      <c r="H1784" s="1"/>
    </row>
    <row r="1785" spans="1:8" x14ac:dyDescent="0.35">
      <c r="A1785" s="21"/>
      <c r="B1785" t="s">
        <v>2345</v>
      </c>
      <c r="C1785" t="s">
        <v>6</v>
      </c>
      <c r="D1785" t="s">
        <v>4036</v>
      </c>
      <c r="F1785" s="1">
        <v>45961</v>
      </c>
      <c r="G1785" t="str">
        <f>IF(Table3[[#This Row],[Top Parent Account]]="",Table3[[#This Row],[Account Legal Name]],Table3[[#This Row],[Top Parent Account]])</f>
        <v>Abastecedora de Aceros de Nayarit</v>
      </c>
      <c r="H1785" s="1"/>
    </row>
    <row r="1786" spans="1:8" x14ac:dyDescent="0.35">
      <c r="A1786" s="21"/>
      <c r="B1786" t="s">
        <v>932</v>
      </c>
      <c r="C1786" t="s">
        <v>6</v>
      </c>
      <c r="D1786" t="s">
        <v>4067</v>
      </c>
      <c r="F1786" s="1">
        <v>45961</v>
      </c>
      <c r="G1786" t="str">
        <f>IF(Table3[[#This Row],[Top Parent Account]]="",Table3[[#This Row],[Account Legal Name]],Table3[[#This Row],[Top Parent Account]])</f>
        <v>Productos Innovador</v>
      </c>
      <c r="H1786" s="1"/>
    </row>
    <row r="1787" spans="1:8" x14ac:dyDescent="0.35">
      <c r="A1787" s="21"/>
      <c r="B1787" t="s">
        <v>77</v>
      </c>
      <c r="C1787" t="s">
        <v>6</v>
      </c>
      <c r="D1787" t="s">
        <v>392</v>
      </c>
      <c r="F1787" s="1">
        <v>45961</v>
      </c>
      <c r="G1787" t="str">
        <f>IF(Table3[[#This Row],[Top Parent Account]]="",Table3[[#This Row],[Account Legal Name]],Table3[[#This Row],[Top Parent Account]])</f>
        <v>COMERCIALIZADORA MEXICANA DE FRUTOS SECOS</v>
      </c>
      <c r="H1787" s="1"/>
    </row>
    <row r="1788" spans="1:8" x14ac:dyDescent="0.35">
      <c r="A1788" s="21"/>
      <c r="B1788" t="s">
        <v>70</v>
      </c>
      <c r="C1788" t="s">
        <v>6</v>
      </c>
      <c r="D1788" t="s">
        <v>4037</v>
      </c>
      <c r="F1788" s="1">
        <v>45961</v>
      </c>
      <c r="G1788" t="str">
        <f>IF(Table3[[#This Row],[Top Parent Account]]="",Table3[[#This Row],[Account Legal Name]],Table3[[#This Row],[Top Parent Account]])</f>
        <v>San patricio consultorios y oficinas</v>
      </c>
      <c r="H1788" s="1"/>
    </row>
    <row r="1789" spans="1:8" x14ac:dyDescent="0.35">
      <c r="A1789" s="21"/>
      <c r="B1789" t="s">
        <v>169</v>
      </c>
      <c r="C1789" t="s">
        <v>6</v>
      </c>
      <c r="D1789" t="s">
        <v>616</v>
      </c>
      <c r="F1789" s="1">
        <v>45961</v>
      </c>
      <c r="G1789" t="str">
        <f>IF(Table3[[#This Row],[Top Parent Account]]="",Table3[[#This Row],[Account Legal Name]],Table3[[#This Row],[Top Parent Account]])</f>
        <v>Absara Cosmetics</v>
      </c>
      <c r="H1789" s="1"/>
    </row>
    <row r="1790" spans="1:8" x14ac:dyDescent="0.35">
      <c r="A1790" s="21"/>
      <c r="B1790" t="s">
        <v>3182</v>
      </c>
      <c r="C1790" t="s">
        <v>6</v>
      </c>
      <c r="D1790" t="s">
        <v>480</v>
      </c>
      <c r="F1790" s="1">
        <v>45961</v>
      </c>
      <c r="G1790" t="str">
        <f>IF(Table3[[#This Row],[Top Parent Account]]="",Table3[[#This Row],[Account Legal Name]],Table3[[#This Row],[Top Parent Account]])</f>
        <v>Minera Media Luna</v>
      </c>
      <c r="H1790" s="1"/>
    </row>
    <row r="1791" spans="1:8" x14ac:dyDescent="0.35">
      <c r="A1791" s="21"/>
      <c r="B1791" t="s">
        <v>1511</v>
      </c>
      <c r="C1791" t="s">
        <v>22</v>
      </c>
      <c r="D1791" t="s">
        <v>965</v>
      </c>
      <c r="F1791" s="1">
        <v>45961</v>
      </c>
      <c r="G1791" t="str">
        <f>IF(Table3[[#This Row],[Top Parent Account]]="",Table3[[#This Row],[Account Legal Name]],Table3[[#This Row],[Top Parent Account]])</f>
        <v>Tagar Maquinaria</v>
      </c>
      <c r="H1791" s="1"/>
    </row>
    <row r="1792" spans="1:8" x14ac:dyDescent="0.35">
      <c r="A1792" s="21"/>
      <c r="B1792" t="s">
        <v>589</v>
      </c>
      <c r="C1792" t="s">
        <v>6</v>
      </c>
      <c r="D1792" t="s">
        <v>4264</v>
      </c>
      <c r="F1792" s="1">
        <v>45961</v>
      </c>
      <c r="G1792" t="str">
        <f>IF(Table3[[#This Row],[Top Parent Account]]="",Table3[[#This Row],[Account Legal Name]],Table3[[#This Row],[Top Parent Account]])</f>
        <v>Granja Porcina los Girasolres</v>
      </c>
      <c r="H1792" s="1"/>
    </row>
    <row r="1793" spans="1:8" x14ac:dyDescent="0.35">
      <c r="A1793" s="21"/>
      <c r="B1793" t="s">
        <v>23</v>
      </c>
      <c r="C1793" t="s">
        <v>6</v>
      </c>
      <c r="D1793" t="s">
        <v>4038</v>
      </c>
      <c r="E1793" t="s">
        <v>4039</v>
      </c>
      <c r="F1793" s="1">
        <v>45961</v>
      </c>
      <c r="G1793" t="str">
        <f>IF(Table3[[#This Row],[Top Parent Account]]="",Table3[[#This Row],[Account Legal Name]],Table3[[#This Row],[Top Parent Account]])</f>
        <v>Agroindustrias Montser</v>
      </c>
      <c r="H1793" s="1"/>
    </row>
    <row r="1794" spans="1:8" x14ac:dyDescent="0.35">
      <c r="A1794" s="21"/>
      <c r="B1794" t="s">
        <v>2345</v>
      </c>
      <c r="C1794" t="s">
        <v>6</v>
      </c>
      <c r="D1794" t="s">
        <v>4040</v>
      </c>
      <c r="F1794" s="1">
        <v>45961</v>
      </c>
      <c r="G1794" t="str">
        <f>IF(Table3[[#This Row],[Top Parent Account]]="",Table3[[#This Row],[Account Legal Name]],Table3[[#This Row],[Top Parent Account]])</f>
        <v>PROEBA PACK</v>
      </c>
      <c r="H1794" s="1"/>
    </row>
    <row r="1795" spans="1:8" x14ac:dyDescent="0.35">
      <c r="A1795" s="21"/>
      <c r="B1795" t="s">
        <v>3093</v>
      </c>
      <c r="C1795" t="s">
        <v>6</v>
      </c>
      <c r="D1795" t="s">
        <v>4041</v>
      </c>
      <c r="F1795" s="1">
        <v>45961</v>
      </c>
      <c r="G1795" t="str">
        <f>IF(Table3[[#This Row],[Top Parent Account]]="",Table3[[#This Row],[Account Legal Name]],Table3[[#This Row],[Top Parent Account]])</f>
        <v>Industrias Ilsa Frigo</v>
      </c>
      <c r="H1795" s="1"/>
    </row>
    <row r="1796" spans="1:8" x14ac:dyDescent="0.35">
      <c r="A1796" s="21"/>
      <c r="B1796" t="s">
        <v>1006</v>
      </c>
      <c r="C1796" t="s">
        <v>6</v>
      </c>
      <c r="D1796" t="s">
        <v>2141</v>
      </c>
      <c r="F1796" s="1">
        <v>45961</v>
      </c>
      <c r="G1796" t="str">
        <f>IF(Table3[[#This Row],[Top Parent Account]]="",Table3[[#This Row],[Account Legal Name]],Table3[[#This Row],[Top Parent Account]])</f>
        <v>Refacciones y Servicio Automotriz Denisse</v>
      </c>
      <c r="H1796" s="1"/>
    </row>
    <row r="1797" spans="1:8" x14ac:dyDescent="0.35">
      <c r="A1797" s="21"/>
      <c r="B1797" t="s">
        <v>84</v>
      </c>
      <c r="C1797" t="s">
        <v>193</v>
      </c>
      <c r="D1797" t="s">
        <v>3979</v>
      </c>
      <c r="F1797" s="1">
        <v>45960</v>
      </c>
      <c r="G1797" t="str">
        <f>IF(Table3[[#This Row],[Top Parent Account]]="",Table3[[#This Row],[Account Legal Name]],Table3[[#This Row],[Top Parent Account]])</f>
        <v>Isgo Manufacturing</v>
      </c>
      <c r="H1797" s="1"/>
    </row>
    <row r="1798" spans="1:8" x14ac:dyDescent="0.35">
      <c r="A1798" s="21"/>
      <c r="B1798" t="s">
        <v>10</v>
      </c>
      <c r="C1798" t="s">
        <v>33</v>
      </c>
      <c r="D1798" t="s">
        <v>3980</v>
      </c>
      <c r="F1798" s="1">
        <v>45960</v>
      </c>
      <c r="G1798" t="str">
        <f>IF(Table3[[#This Row],[Top Parent Account]]="",Table3[[#This Row],[Account Legal Name]],Table3[[#This Row],[Top Parent Account]])</f>
        <v>ROMYC INDUSTRIAL</v>
      </c>
      <c r="H1798" s="1"/>
    </row>
    <row r="1799" spans="1:8" x14ac:dyDescent="0.35">
      <c r="A1799" s="21"/>
      <c r="B1799" t="s">
        <v>969</v>
      </c>
      <c r="C1799" t="s">
        <v>6</v>
      </c>
      <c r="D1799" t="s">
        <v>2333</v>
      </c>
      <c r="F1799" s="1">
        <v>45960</v>
      </c>
      <c r="G1799" t="str">
        <f>IF(Table3[[#This Row],[Top Parent Account]]="",Table3[[#This Row],[Account Legal Name]],Table3[[#This Row],[Top Parent Account]])</f>
        <v>Flexotecnia</v>
      </c>
      <c r="H1799" s="1"/>
    </row>
    <row r="1800" spans="1:8" x14ac:dyDescent="0.35">
      <c r="A1800" s="21"/>
      <c r="B1800" t="s">
        <v>2693</v>
      </c>
      <c r="C1800" t="s">
        <v>6</v>
      </c>
      <c r="D1800" t="s">
        <v>4042</v>
      </c>
      <c r="F1800" s="1">
        <v>45960</v>
      </c>
      <c r="G1800" t="str">
        <f>IF(Table3[[#This Row],[Top Parent Account]]="",Table3[[#This Row],[Account Legal Name]],Table3[[#This Row],[Top Parent Account]])</f>
        <v>HILARSA LAB</v>
      </c>
      <c r="H1800" s="1"/>
    </row>
    <row r="1801" spans="1:8" x14ac:dyDescent="0.35">
      <c r="A1801" s="21"/>
      <c r="B1801" t="s">
        <v>116</v>
      </c>
      <c r="C1801" t="s">
        <v>6</v>
      </c>
      <c r="D1801" t="s">
        <v>3981</v>
      </c>
      <c r="F1801" s="1">
        <v>45960</v>
      </c>
      <c r="G1801" t="str">
        <f>IF(Table3[[#This Row],[Top Parent Account]]="",Table3[[#This Row],[Account Legal Name]],Table3[[#This Row],[Top Parent Account]])</f>
        <v>Grupo Arcoiris</v>
      </c>
      <c r="H1801" s="1"/>
    </row>
    <row r="1802" spans="1:8" x14ac:dyDescent="0.35">
      <c r="A1802" s="21"/>
      <c r="B1802" t="s">
        <v>37</v>
      </c>
      <c r="C1802" t="s">
        <v>6</v>
      </c>
      <c r="D1802" t="s">
        <v>3971</v>
      </c>
      <c r="F1802" s="1">
        <v>45960</v>
      </c>
      <c r="G1802" t="str">
        <f>IF(Table3[[#This Row],[Top Parent Account]]="",Table3[[#This Row],[Account Legal Name]],Table3[[#This Row],[Top Parent Account]])</f>
        <v>Construccion y Urbanizacion Prizma</v>
      </c>
      <c r="H1802" s="1"/>
    </row>
    <row r="1803" spans="1:8" x14ac:dyDescent="0.35">
      <c r="A1803" s="21"/>
      <c r="B1803" t="s">
        <v>14</v>
      </c>
      <c r="C1803" t="s">
        <v>6</v>
      </c>
      <c r="D1803" t="s">
        <v>4043</v>
      </c>
      <c r="F1803" s="1">
        <v>45960</v>
      </c>
      <c r="G1803" t="str">
        <f>IF(Table3[[#This Row],[Top Parent Account]]="",Table3[[#This Row],[Account Legal Name]],Table3[[#This Row],[Top Parent Account]])</f>
        <v>Techsmart De Mexico</v>
      </c>
      <c r="H1803" s="1"/>
    </row>
    <row r="1804" spans="1:8" x14ac:dyDescent="0.35">
      <c r="A1804" s="21"/>
      <c r="B1804" t="s">
        <v>70</v>
      </c>
      <c r="C1804" t="s">
        <v>6</v>
      </c>
      <c r="D1804" t="s">
        <v>4046</v>
      </c>
      <c r="F1804" s="1">
        <v>45960</v>
      </c>
      <c r="G1804" t="str">
        <f>IF(Table3[[#This Row],[Top Parent Account]]="",Table3[[#This Row],[Account Legal Name]],Table3[[#This Row],[Top Parent Account]])</f>
        <v>SOLARIS FARMA</v>
      </c>
      <c r="H1804" s="1"/>
    </row>
    <row r="1805" spans="1:8" x14ac:dyDescent="0.35">
      <c r="A1805" s="21"/>
      <c r="B1805" t="s">
        <v>280</v>
      </c>
      <c r="C1805" t="s">
        <v>6</v>
      </c>
      <c r="D1805" t="s">
        <v>4044</v>
      </c>
      <c r="F1805" s="1">
        <v>45960</v>
      </c>
      <c r="G1805" t="str">
        <f>IF(Table3[[#This Row],[Top Parent Account]]="",Table3[[#This Row],[Account Legal Name]],Table3[[#This Row],[Top Parent Account]])</f>
        <v>AGUIVA AVOCADOS</v>
      </c>
      <c r="H1805" s="1"/>
    </row>
    <row r="1806" spans="1:8" x14ac:dyDescent="0.35">
      <c r="A1806" s="21"/>
      <c r="B1806" t="s">
        <v>2345</v>
      </c>
      <c r="C1806" t="s">
        <v>6</v>
      </c>
      <c r="D1806" t="s">
        <v>4045</v>
      </c>
      <c r="F1806" s="1">
        <v>45960</v>
      </c>
      <c r="G1806" t="str">
        <f>IF(Table3[[#This Row],[Top Parent Account]]="",Table3[[#This Row],[Account Legal Name]],Table3[[#This Row],[Top Parent Account]])</f>
        <v>Arrocera de Nayarit</v>
      </c>
      <c r="H1806" s="1"/>
    </row>
    <row r="1807" spans="1:8" x14ac:dyDescent="0.35">
      <c r="A1807" s="21"/>
      <c r="B1807" t="s">
        <v>24</v>
      </c>
      <c r="C1807" t="s">
        <v>6</v>
      </c>
      <c r="D1807" t="s">
        <v>3982</v>
      </c>
      <c r="E1807" t="s">
        <v>2959</v>
      </c>
      <c r="F1807" s="1">
        <v>45960</v>
      </c>
      <c r="G1807" t="str">
        <f>IF(Table3[[#This Row],[Top Parent Account]]="",Table3[[#This Row],[Account Legal Name]],Table3[[#This Row],[Top Parent Account]])</f>
        <v>Grupo Ceres</v>
      </c>
      <c r="H1807" s="1"/>
    </row>
    <row r="1808" spans="1:8" x14ac:dyDescent="0.35">
      <c r="A1808" s="21"/>
      <c r="B1808" t="s">
        <v>3628</v>
      </c>
      <c r="C1808" t="s">
        <v>6</v>
      </c>
      <c r="D1808" t="s">
        <v>1880</v>
      </c>
      <c r="E1808" t="s">
        <v>1879</v>
      </c>
      <c r="F1808" s="1">
        <v>45960</v>
      </c>
      <c r="G1808" t="str">
        <f>IF(Table3[[#This Row],[Top Parent Account]]="",Table3[[#This Row],[Account Legal Name]],Table3[[#This Row],[Top Parent Account]])</f>
        <v>IAMMOLD &amp; DIE</v>
      </c>
      <c r="H1808" s="1"/>
    </row>
    <row r="1809" spans="1:8" x14ac:dyDescent="0.35">
      <c r="A1809" s="21"/>
      <c r="B1809" t="s">
        <v>280</v>
      </c>
      <c r="C1809" t="s">
        <v>6</v>
      </c>
      <c r="D1809" t="s">
        <v>1033</v>
      </c>
      <c r="F1809" s="1">
        <v>45960</v>
      </c>
      <c r="G1809" t="str">
        <f>IF(Table3[[#This Row],[Top Parent Account]]="",Table3[[#This Row],[Account Legal Name]],Table3[[#This Row],[Top Parent Account]])</f>
        <v>Agro González</v>
      </c>
      <c r="H1809" s="1"/>
    </row>
    <row r="1810" spans="1:8" x14ac:dyDescent="0.35">
      <c r="A1810" s="21"/>
      <c r="B1810" t="s">
        <v>1006</v>
      </c>
      <c r="C1810" t="s">
        <v>6</v>
      </c>
      <c r="D1810" t="s">
        <v>4047</v>
      </c>
      <c r="F1810" s="1">
        <v>45960</v>
      </c>
      <c r="G1810" t="str">
        <f>IF(Table3[[#This Row],[Top Parent Account]]="",Table3[[#This Row],[Account Legal Name]],Table3[[#This Row],[Top Parent Account]])</f>
        <v>OMNIBUS DEL VALLE DE AMECA</v>
      </c>
      <c r="H1810" s="1"/>
    </row>
    <row r="1811" spans="1:8" x14ac:dyDescent="0.35">
      <c r="A1811" s="21"/>
      <c r="B1811" t="s">
        <v>51</v>
      </c>
      <c r="C1811" t="s">
        <v>6</v>
      </c>
      <c r="D1811" t="s">
        <v>4048</v>
      </c>
      <c r="F1811" s="1">
        <v>45960</v>
      </c>
      <c r="G1811" t="str">
        <f>IF(Table3[[#This Row],[Top Parent Account]]="",Table3[[#This Row],[Account Legal Name]],Table3[[#This Row],[Top Parent Account]])</f>
        <v>VICENTE TORNS GROUP</v>
      </c>
      <c r="H1811" s="1"/>
    </row>
    <row r="1812" spans="1:8" x14ac:dyDescent="0.35">
      <c r="A1812" s="21"/>
      <c r="B1812" t="s">
        <v>3114</v>
      </c>
      <c r="C1812" t="s">
        <v>22</v>
      </c>
      <c r="D1812" t="s">
        <v>3002</v>
      </c>
      <c r="F1812" s="1">
        <v>45960</v>
      </c>
      <c r="G1812" t="str">
        <f>IF(Table3[[#This Row],[Top Parent Account]]="",Table3[[#This Row],[Account Legal Name]],Table3[[#This Row],[Top Parent Account]])</f>
        <v>Productora De Quesos Sierra Verde</v>
      </c>
      <c r="H1812" s="1"/>
    </row>
    <row r="1813" spans="1:8" x14ac:dyDescent="0.35">
      <c r="A1813" s="21"/>
      <c r="B1813" t="s">
        <v>3628</v>
      </c>
      <c r="C1813" t="s">
        <v>6</v>
      </c>
      <c r="D1813" t="s">
        <v>1879</v>
      </c>
      <c r="E1813" t="s">
        <v>1880</v>
      </c>
      <c r="F1813" s="1">
        <v>45960</v>
      </c>
      <c r="G1813" t="str">
        <f>IF(Table3[[#This Row],[Top Parent Account]]="",Table3[[#This Row],[Account Legal Name]],Table3[[#This Row],[Top Parent Account]])</f>
        <v>Iamdmex</v>
      </c>
      <c r="H1813" s="1"/>
    </row>
    <row r="1814" spans="1:8" x14ac:dyDescent="0.35">
      <c r="A1814" s="21"/>
      <c r="B1814" t="s">
        <v>3114</v>
      </c>
      <c r="C1814" t="s">
        <v>22</v>
      </c>
      <c r="D1814" t="s">
        <v>2825</v>
      </c>
      <c r="F1814" s="1">
        <v>45960</v>
      </c>
      <c r="G1814" t="str">
        <f>IF(Table3[[#This Row],[Top Parent Account]]="",Table3[[#This Row],[Account Legal Name]],Table3[[#This Row],[Top Parent Account]])</f>
        <v>Beyond pipe</v>
      </c>
      <c r="H1814" s="1"/>
    </row>
    <row r="1815" spans="1:8" x14ac:dyDescent="0.35">
      <c r="A1815" s="21"/>
      <c r="B1815" t="s">
        <v>375</v>
      </c>
      <c r="C1815" t="s">
        <v>6</v>
      </c>
      <c r="D1815" t="s">
        <v>2752</v>
      </c>
      <c r="F1815" s="1">
        <v>45960</v>
      </c>
      <c r="G1815" t="str">
        <f>IF(Table3[[#This Row],[Top Parent Account]]="",Table3[[#This Row],[Account Legal Name]],Table3[[#This Row],[Top Parent Account]])</f>
        <v>Botanas Metropoli</v>
      </c>
      <c r="H1815" s="1"/>
    </row>
    <row r="1816" spans="1:8" x14ac:dyDescent="0.35">
      <c r="A1816" s="21"/>
      <c r="B1816" t="s">
        <v>969</v>
      </c>
      <c r="C1816" t="s">
        <v>6</v>
      </c>
      <c r="D1816" t="s">
        <v>3984</v>
      </c>
      <c r="F1816" s="1">
        <v>45960</v>
      </c>
      <c r="G1816" t="str">
        <f>IF(Table3[[#This Row],[Top Parent Account]]="",Table3[[#This Row],[Account Legal Name]],Table3[[#This Row],[Top Parent Account]])</f>
        <v>Alimentos Deshidratados</v>
      </c>
      <c r="H1816" s="1"/>
    </row>
    <row r="1817" spans="1:8" x14ac:dyDescent="0.35">
      <c r="A1817" s="21"/>
      <c r="B1817" t="s">
        <v>28</v>
      </c>
      <c r="C1817" t="s">
        <v>6</v>
      </c>
      <c r="D1817" t="s">
        <v>3985</v>
      </c>
      <c r="F1817" s="1">
        <v>45960</v>
      </c>
      <c r="G1817" t="str">
        <f>IF(Table3[[#This Row],[Top Parent Account]]="",Table3[[#This Row],[Account Legal Name]],Table3[[#This Row],[Top Parent Account]])</f>
        <v>ROCAMEX DISTRIBUIDORA</v>
      </c>
      <c r="H1817" s="1"/>
    </row>
    <row r="1818" spans="1:8" x14ac:dyDescent="0.35">
      <c r="A1818" s="21"/>
      <c r="B1818" t="s">
        <v>121</v>
      </c>
      <c r="C1818" t="s">
        <v>6</v>
      </c>
      <c r="D1818" t="s">
        <v>4068</v>
      </c>
      <c r="F1818" s="1">
        <v>45960</v>
      </c>
      <c r="G1818" t="str">
        <f>IF(Table3[[#This Row],[Top Parent Account]]="",Table3[[#This Row],[Account Legal Name]],Table3[[#This Row],[Top Parent Account]])</f>
        <v>GRUPO AGROALIMENTARIO DON VILLA</v>
      </c>
      <c r="H1818" s="1"/>
    </row>
    <row r="1819" spans="1:8" x14ac:dyDescent="0.35">
      <c r="A1819" s="21"/>
      <c r="B1819" t="s">
        <v>280</v>
      </c>
      <c r="C1819" t="s">
        <v>6</v>
      </c>
      <c r="D1819" t="s">
        <v>4049</v>
      </c>
      <c r="F1819" s="1">
        <v>45960</v>
      </c>
      <c r="G1819" t="str">
        <f>IF(Table3[[#This Row],[Top Parent Account]]="",Table3[[#This Row],[Account Legal Name]],Table3[[#This Row],[Top Parent Account]])</f>
        <v>Transportes Casta</v>
      </c>
      <c r="H1819" s="1"/>
    </row>
    <row r="1820" spans="1:8" x14ac:dyDescent="0.35">
      <c r="A1820" s="21"/>
      <c r="B1820" t="s">
        <v>14</v>
      </c>
      <c r="C1820" t="s">
        <v>6</v>
      </c>
      <c r="D1820" t="s">
        <v>3983</v>
      </c>
      <c r="F1820" s="1">
        <v>45960</v>
      </c>
      <c r="G1820" t="str">
        <f>IF(Table3[[#This Row],[Top Parent Account]]="",Table3[[#This Row],[Account Legal Name]],Table3[[#This Row],[Top Parent Account]])</f>
        <v>Grupo Avotarascas</v>
      </c>
      <c r="H1820" s="1"/>
    </row>
    <row r="1821" spans="1:8" x14ac:dyDescent="0.35">
      <c r="A1821" s="21"/>
      <c r="B1821" t="s">
        <v>24</v>
      </c>
      <c r="C1821" t="s">
        <v>6</v>
      </c>
      <c r="D1821" t="s">
        <v>1065</v>
      </c>
      <c r="F1821" s="1">
        <v>45960</v>
      </c>
      <c r="G1821" t="str">
        <f>IF(Table3[[#This Row],[Top Parent Account]]="",Table3[[#This Row],[Account Legal Name]],Table3[[#This Row],[Top Parent Account]])</f>
        <v>Aleaciones Dentales Zeyco</v>
      </c>
      <c r="H1821" s="1"/>
    </row>
    <row r="1822" spans="1:8" x14ac:dyDescent="0.35">
      <c r="A1822" s="21"/>
      <c r="B1822" t="s">
        <v>1006</v>
      </c>
      <c r="C1822" t="s">
        <v>6</v>
      </c>
      <c r="D1822" t="s">
        <v>4050</v>
      </c>
      <c r="F1822" s="1">
        <v>45960</v>
      </c>
      <c r="G1822" t="str">
        <f>IF(Table3[[#This Row],[Top Parent Account]]="",Table3[[#This Row],[Account Legal Name]],Table3[[#This Row],[Top Parent Account]])</f>
        <v>Grupo Aduanal del Pacífico</v>
      </c>
      <c r="H1822" s="1"/>
    </row>
    <row r="1823" spans="1:8" x14ac:dyDescent="0.35">
      <c r="A1823" s="21"/>
      <c r="B1823" t="s">
        <v>21</v>
      </c>
      <c r="C1823" t="s">
        <v>6</v>
      </c>
      <c r="D1823" t="s">
        <v>3987</v>
      </c>
      <c r="F1823" s="1">
        <v>45960</v>
      </c>
      <c r="G1823" t="str">
        <f>IF(Table3[[#This Row],[Top Parent Account]]="",Table3[[#This Row],[Account Legal Name]],Table3[[#This Row],[Top Parent Account]])</f>
        <v>Escudero Industrial</v>
      </c>
      <c r="H1823" s="1"/>
    </row>
    <row r="1824" spans="1:8" x14ac:dyDescent="0.35">
      <c r="A1824" s="21"/>
      <c r="B1824" t="s">
        <v>88</v>
      </c>
      <c r="C1824" t="s">
        <v>6</v>
      </c>
      <c r="D1824" t="s">
        <v>3986</v>
      </c>
      <c r="F1824" s="1">
        <v>45960</v>
      </c>
      <c r="G1824" t="str">
        <f>IF(Table3[[#This Row],[Top Parent Account]]="",Table3[[#This Row],[Account Legal Name]],Table3[[#This Row],[Top Parent Account]])</f>
        <v>Aldo Israel Martínez Quintero</v>
      </c>
      <c r="H1824" s="1"/>
    </row>
    <row r="1825" spans="1:8" x14ac:dyDescent="0.35">
      <c r="A1825" s="21"/>
      <c r="B1825" t="s">
        <v>280</v>
      </c>
      <c r="C1825" t="s">
        <v>6</v>
      </c>
      <c r="D1825" t="s">
        <v>4053</v>
      </c>
      <c r="F1825" s="1">
        <v>45960</v>
      </c>
      <c r="G1825" t="str">
        <f>IF(Table3[[#This Row],[Top Parent Account]]="",Table3[[#This Row],[Account Legal Name]],Table3[[#This Row],[Top Parent Account]])</f>
        <v>PTM LA REYNA</v>
      </c>
      <c r="H1825" s="1"/>
    </row>
    <row r="1826" spans="1:8" x14ac:dyDescent="0.35">
      <c r="A1826" s="21"/>
      <c r="B1826" t="s">
        <v>37</v>
      </c>
      <c r="C1826" t="s">
        <v>6</v>
      </c>
      <c r="D1826" t="s">
        <v>4051</v>
      </c>
      <c r="F1826" s="1">
        <v>45960</v>
      </c>
      <c r="G1826" t="str">
        <f>IF(Table3[[#This Row],[Top Parent Account]]="",Table3[[#This Row],[Account Legal Name]],Table3[[#This Row],[Top Parent Account]])</f>
        <v>CONSON CONSTRUCCIONES</v>
      </c>
      <c r="H1826" s="1"/>
    </row>
    <row r="1827" spans="1:8" x14ac:dyDescent="0.35">
      <c r="A1827" s="21"/>
      <c r="B1827" t="s">
        <v>1899</v>
      </c>
      <c r="C1827" t="s">
        <v>6</v>
      </c>
      <c r="D1827" t="s">
        <v>4052</v>
      </c>
      <c r="F1827" s="1">
        <v>45960</v>
      </c>
      <c r="G1827" t="str">
        <f>IF(Table3[[#This Row],[Top Parent Account]]="",Table3[[#This Row],[Account Legal Name]],Table3[[#This Row],[Top Parent Account]])</f>
        <v>Forrajera Elizondo</v>
      </c>
      <c r="H1827" s="1"/>
    </row>
    <row r="1828" spans="1:8" x14ac:dyDescent="0.35">
      <c r="A1828" s="21"/>
      <c r="B1828" t="s">
        <v>207</v>
      </c>
      <c r="C1828" t="s">
        <v>6</v>
      </c>
      <c r="D1828" t="s">
        <v>2960</v>
      </c>
      <c r="F1828" s="1">
        <v>45960</v>
      </c>
      <c r="G1828" t="str">
        <f>IF(Table3[[#This Row],[Top Parent Account]]="",Table3[[#This Row],[Account Legal Name]],Table3[[#This Row],[Top Parent Account]])</f>
        <v>Grupo Medesa</v>
      </c>
      <c r="H1828" s="1"/>
    </row>
    <row r="1829" spans="1:8" x14ac:dyDescent="0.35">
      <c r="A1829" s="21"/>
      <c r="B1829" t="s">
        <v>3182</v>
      </c>
      <c r="C1829" t="s">
        <v>6</v>
      </c>
      <c r="D1829" t="s">
        <v>4480</v>
      </c>
      <c r="F1829" s="1">
        <v>45960</v>
      </c>
      <c r="G1829" t="str">
        <f>IF(Table3[[#This Row],[Top Parent Account]]="",Table3[[#This Row],[Account Legal Name]],Table3[[#This Row],[Top Parent Account]])</f>
        <v>MYSOFT GLOBAL</v>
      </c>
      <c r="H1829" s="1"/>
    </row>
    <row r="1830" spans="1:8" x14ac:dyDescent="0.35">
      <c r="A1830" s="21"/>
      <c r="B1830" t="s">
        <v>3092</v>
      </c>
      <c r="C1830" t="s">
        <v>6</v>
      </c>
      <c r="D1830" t="s">
        <v>3988</v>
      </c>
      <c r="F1830" s="1">
        <v>45960</v>
      </c>
      <c r="G1830" t="str">
        <f>IF(Table3[[#This Row],[Top Parent Account]]="",Table3[[#This Row],[Account Legal Name]],Table3[[#This Row],[Top Parent Account]])</f>
        <v>Avedia Valley Fruits</v>
      </c>
      <c r="H1830" s="1"/>
    </row>
    <row r="1831" spans="1:8" x14ac:dyDescent="0.35">
      <c r="A1831" s="21"/>
      <c r="B1831" t="s">
        <v>3114</v>
      </c>
      <c r="C1831" t="s">
        <v>52</v>
      </c>
      <c r="D1831" t="s">
        <v>3989</v>
      </c>
      <c r="F1831" s="1">
        <v>45960</v>
      </c>
      <c r="G1831" t="str">
        <f>IF(Table3[[#This Row],[Top Parent Account]]="",Table3[[#This Row],[Account Legal Name]],Table3[[#This Row],[Top Parent Account]])</f>
        <v>Artigraf</v>
      </c>
      <c r="H1831" s="1"/>
    </row>
    <row r="1832" spans="1:8" x14ac:dyDescent="0.35">
      <c r="A1832" s="21"/>
      <c r="B1832" t="s">
        <v>1511</v>
      </c>
      <c r="C1832" t="s">
        <v>6</v>
      </c>
      <c r="D1832" t="s">
        <v>4069</v>
      </c>
      <c r="F1832" s="1">
        <v>45960</v>
      </c>
      <c r="G1832" t="str">
        <f>IF(Table3[[#This Row],[Top Parent Account]]="",Table3[[#This Row],[Account Legal Name]],Table3[[#This Row],[Top Parent Account]])</f>
        <v>Steel Serv</v>
      </c>
      <c r="H1832" s="1"/>
    </row>
    <row r="1833" spans="1:8" x14ac:dyDescent="0.35">
      <c r="A1833" s="21"/>
      <c r="B1833" t="s">
        <v>3628</v>
      </c>
      <c r="C1833" t="s">
        <v>6</v>
      </c>
      <c r="D1833" t="s">
        <v>4054</v>
      </c>
      <c r="F1833" s="1">
        <v>45960</v>
      </c>
      <c r="G1833" t="str">
        <f>IF(Table3[[#This Row],[Top Parent Account]]="",Table3[[#This Row],[Account Legal Name]],Table3[[#This Row],[Top Parent Account]])</f>
        <v>Grupo Shield México</v>
      </c>
      <c r="H1833" s="1"/>
    </row>
    <row r="1834" spans="1:8" x14ac:dyDescent="0.35">
      <c r="A1834" s="21"/>
      <c r="B1834" t="s">
        <v>1511</v>
      </c>
      <c r="C1834" t="s">
        <v>6</v>
      </c>
      <c r="D1834" t="s">
        <v>3259</v>
      </c>
      <c r="F1834" s="1">
        <v>45960</v>
      </c>
      <c r="G1834" t="str">
        <f>IF(Table3[[#This Row],[Top Parent Account]]="",Table3[[#This Row],[Account Legal Name]],Table3[[#This Row],[Top Parent Account]])</f>
        <v>GREENBRICK</v>
      </c>
      <c r="H1834" s="1"/>
    </row>
    <row r="1835" spans="1:8" x14ac:dyDescent="0.35">
      <c r="A1835" s="21"/>
      <c r="B1835" t="s">
        <v>280</v>
      </c>
      <c r="C1835" t="s">
        <v>6</v>
      </c>
      <c r="D1835" t="s">
        <v>4055</v>
      </c>
      <c r="F1835" s="1">
        <v>45960</v>
      </c>
      <c r="G1835" t="str">
        <f>IF(Table3[[#This Row],[Top Parent Account]]="",Table3[[#This Row],[Account Legal Name]],Table3[[#This Row],[Top Parent Account]])</f>
        <v>Gear Alimentos</v>
      </c>
      <c r="H1835" s="1"/>
    </row>
    <row r="1836" spans="1:8" x14ac:dyDescent="0.35">
      <c r="A1836" s="21"/>
      <c r="B1836" t="s">
        <v>2345</v>
      </c>
      <c r="C1836" t="s">
        <v>6</v>
      </c>
      <c r="D1836" t="s">
        <v>4056</v>
      </c>
      <c r="F1836" s="1">
        <v>45960</v>
      </c>
      <c r="G1836" t="str">
        <f>IF(Table3[[#This Row],[Top Parent Account]]="",Table3[[#This Row],[Account Legal Name]],Table3[[#This Row],[Top Parent Account]])</f>
        <v>CENTRO QUIRURGICO SAN RAFAEL</v>
      </c>
      <c r="H1836" s="1"/>
    </row>
    <row r="1837" spans="1:8" x14ac:dyDescent="0.35">
      <c r="A1837" s="21"/>
      <c r="B1837" t="s">
        <v>77</v>
      </c>
      <c r="C1837" t="s">
        <v>6</v>
      </c>
      <c r="D1837" t="s">
        <v>3990</v>
      </c>
      <c r="F1837" s="1">
        <v>45959</v>
      </c>
      <c r="G1837" t="str">
        <f>IF(Table3[[#This Row],[Top Parent Account]]="",Table3[[#This Row],[Account Legal Name]],Table3[[#This Row],[Top Parent Account]])</f>
        <v>Continental contitech de chihuahua</v>
      </c>
      <c r="H1837" s="1"/>
    </row>
    <row r="1838" spans="1:8" x14ac:dyDescent="0.35">
      <c r="A1838" s="21"/>
      <c r="B1838" t="s">
        <v>2884</v>
      </c>
      <c r="C1838" t="s">
        <v>6</v>
      </c>
      <c r="D1838" t="s">
        <v>4070</v>
      </c>
      <c r="F1838" s="1">
        <v>45959</v>
      </c>
      <c r="G1838" t="str">
        <f>IF(Table3[[#This Row],[Top Parent Account]]="",Table3[[#This Row],[Account Legal Name]],Table3[[#This Row],[Top Parent Account]])</f>
        <v>Laureate Education</v>
      </c>
      <c r="H1838" s="1"/>
    </row>
    <row r="1839" spans="1:8" x14ac:dyDescent="0.35">
      <c r="A1839" s="21"/>
      <c r="B1839" t="s">
        <v>169</v>
      </c>
      <c r="C1839" t="s">
        <v>6</v>
      </c>
      <c r="D1839" t="s">
        <v>3991</v>
      </c>
      <c r="F1839" s="1">
        <v>45959</v>
      </c>
      <c r="G1839" t="str">
        <f>IF(Table3[[#This Row],[Top Parent Account]]="",Table3[[#This Row],[Account Legal Name]],Table3[[#This Row],[Top Parent Account]])</f>
        <v>Carrocerías Hernandez</v>
      </c>
      <c r="H1839" s="1"/>
    </row>
    <row r="1840" spans="1:8" x14ac:dyDescent="0.35">
      <c r="A1840" s="21"/>
      <c r="B1840" t="s">
        <v>38</v>
      </c>
      <c r="C1840" t="s">
        <v>6</v>
      </c>
      <c r="D1840" t="s">
        <v>3992</v>
      </c>
      <c r="F1840" s="1">
        <v>45959</v>
      </c>
      <c r="G1840" t="str">
        <f>IF(Table3[[#This Row],[Top Parent Account]]="",Table3[[#This Row],[Account Legal Name]],Table3[[#This Row],[Top Parent Account]])</f>
        <v>Grupo Botanero Alteño</v>
      </c>
      <c r="H1840" s="1"/>
    </row>
    <row r="1841" spans="1:8" x14ac:dyDescent="0.35">
      <c r="A1841" s="21"/>
      <c r="B1841" t="s">
        <v>3182</v>
      </c>
      <c r="C1841" t="s">
        <v>22</v>
      </c>
      <c r="D1841" t="s">
        <v>1021</v>
      </c>
      <c r="F1841" s="1">
        <v>45959</v>
      </c>
      <c r="G1841" t="str">
        <f>IF(Table3[[#This Row],[Top Parent Account]]="",Table3[[#This Row],[Account Legal Name]],Table3[[#This Row],[Top Parent Account]])</f>
        <v>Puratos de México</v>
      </c>
      <c r="H1841" s="1"/>
    </row>
    <row r="1842" spans="1:8" x14ac:dyDescent="0.35">
      <c r="A1842" s="21"/>
      <c r="B1842" t="s">
        <v>14</v>
      </c>
      <c r="C1842" t="s">
        <v>6</v>
      </c>
      <c r="D1842" t="s">
        <v>4057</v>
      </c>
      <c r="F1842" s="1">
        <v>45959</v>
      </c>
      <c r="G1842" t="str">
        <f>IF(Table3[[#This Row],[Top Parent Account]]="",Table3[[#This Row],[Account Legal Name]],Table3[[#This Row],[Top Parent Account]])</f>
        <v>Janesville de México</v>
      </c>
      <c r="H1842" s="1"/>
    </row>
    <row r="1843" spans="1:8" x14ac:dyDescent="0.35">
      <c r="A1843" s="21"/>
      <c r="B1843" t="s">
        <v>1006</v>
      </c>
      <c r="C1843" t="s">
        <v>6</v>
      </c>
      <c r="D1843" t="s">
        <v>3590</v>
      </c>
      <c r="F1843" s="1">
        <v>45959</v>
      </c>
      <c r="G1843" t="str">
        <f>IF(Table3[[#This Row],[Top Parent Account]]="",Table3[[#This Row],[Account Legal Name]],Table3[[#This Row],[Top Parent Account]])</f>
        <v>Frescar</v>
      </c>
      <c r="H1843" s="1"/>
    </row>
    <row r="1844" spans="1:8" x14ac:dyDescent="0.35">
      <c r="A1844" s="21"/>
      <c r="B1844" t="s">
        <v>3182</v>
      </c>
      <c r="C1844" t="s">
        <v>22</v>
      </c>
      <c r="D1844" t="s">
        <v>3993</v>
      </c>
      <c r="F1844" s="1">
        <v>45959</v>
      </c>
      <c r="G1844" t="str">
        <f>IF(Table3[[#This Row],[Top Parent Account]]="",Table3[[#This Row],[Account Legal Name]],Table3[[#This Row],[Top Parent Account]])</f>
        <v>Guantes Vargas</v>
      </c>
      <c r="H1844" s="1"/>
    </row>
    <row r="1845" spans="1:8" x14ac:dyDescent="0.35">
      <c r="A1845" s="21"/>
      <c r="B1845" t="s">
        <v>3114</v>
      </c>
      <c r="C1845" t="s">
        <v>22</v>
      </c>
      <c r="D1845" t="s">
        <v>3994</v>
      </c>
      <c r="F1845" s="1">
        <v>45959</v>
      </c>
      <c r="G1845" t="str">
        <f>IF(Table3[[#This Row],[Top Parent Account]]="",Table3[[#This Row],[Account Legal Name]],Table3[[#This Row],[Top Parent Account]])</f>
        <v>Grupo Remolques del Norte</v>
      </c>
      <c r="H1845" s="1"/>
    </row>
    <row r="1846" spans="1:8" x14ac:dyDescent="0.35">
      <c r="A1846" s="21"/>
      <c r="B1846" t="s">
        <v>28</v>
      </c>
      <c r="C1846" t="s">
        <v>6</v>
      </c>
      <c r="D1846" t="s">
        <v>1932</v>
      </c>
      <c r="F1846" s="1">
        <v>45959</v>
      </c>
      <c r="G1846" t="str">
        <f>IF(Table3[[#This Row],[Top Parent Account]]="",Table3[[#This Row],[Account Legal Name]],Table3[[#This Row],[Top Parent Account]])</f>
        <v>CHAD MANUFACTURING</v>
      </c>
      <c r="H1846" s="1"/>
    </row>
    <row r="1847" spans="1:8" x14ac:dyDescent="0.35">
      <c r="A1847" s="21"/>
      <c r="B1847" t="s">
        <v>3553</v>
      </c>
      <c r="C1847" t="s">
        <v>6</v>
      </c>
      <c r="D1847" t="s">
        <v>3995</v>
      </c>
      <c r="F1847" s="1">
        <v>45959</v>
      </c>
      <c r="G1847" t="str">
        <f>IF(Table3[[#This Row],[Top Parent Account]]="",Table3[[#This Row],[Account Legal Name]],Table3[[#This Row],[Top Parent Account]])</f>
        <v>Representaciones Insercom</v>
      </c>
      <c r="H1847" s="1"/>
    </row>
    <row r="1848" spans="1:8" x14ac:dyDescent="0.35">
      <c r="A1848" s="21"/>
      <c r="B1848" t="s">
        <v>989</v>
      </c>
      <c r="C1848" t="s">
        <v>6</v>
      </c>
      <c r="D1848" t="s">
        <v>1245</v>
      </c>
      <c r="F1848" s="1">
        <v>45959</v>
      </c>
      <c r="G1848" t="str">
        <f>IF(Table3[[#This Row],[Top Parent Account]]="",Table3[[#This Row],[Account Legal Name]],Table3[[#This Row],[Top Parent Account]])</f>
        <v>Servicios y Reparaciones LYP</v>
      </c>
      <c r="H1848" s="1"/>
    </row>
    <row r="1849" spans="1:8" x14ac:dyDescent="0.35">
      <c r="A1849" s="21"/>
      <c r="B1849" t="s">
        <v>77</v>
      </c>
      <c r="C1849" t="s">
        <v>6</v>
      </c>
      <c r="D1849" t="s">
        <v>4058</v>
      </c>
      <c r="F1849" s="1">
        <v>45959</v>
      </c>
      <c r="G1849" t="str">
        <f>IF(Table3[[#This Row],[Top Parent Account]]="",Table3[[#This Row],[Account Legal Name]],Table3[[#This Row],[Top Parent Account]])</f>
        <v>Yonke San Marcos</v>
      </c>
      <c r="H1849" s="1"/>
    </row>
    <row r="1850" spans="1:8" x14ac:dyDescent="0.35">
      <c r="A1850" s="21"/>
      <c r="B1850" t="s">
        <v>207</v>
      </c>
      <c r="C1850" t="s">
        <v>6</v>
      </c>
      <c r="D1850" t="s">
        <v>3996</v>
      </c>
      <c r="F1850" s="1">
        <v>45959</v>
      </c>
      <c r="G1850" t="str">
        <f>IF(Table3[[#This Row],[Top Parent Account]]="",Table3[[#This Row],[Account Legal Name]],Table3[[#This Row],[Top Parent Account]])</f>
        <v>International Corporation </v>
      </c>
      <c r="H1850" s="1"/>
    </row>
    <row r="1851" spans="1:8" x14ac:dyDescent="0.35">
      <c r="A1851" s="21"/>
      <c r="B1851" t="s">
        <v>1511</v>
      </c>
      <c r="C1851" t="s">
        <v>22</v>
      </c>
      <c r="D1851" t="s">
        <v>1775</v>
      </c>
      <c r="F1851" s="1">
        <v>45959</v>
      </c>
      <c r="G1851" t="str">
        <f>IF(Table3[[#This Row],[Top Parent Account]]="",Table3[[#This Row],[Account Legal Name]],Table3[[#This Row],[Top Parent Account]])</f>
        <v>Transportes De Los Santos</v>
      </c>
      <c r="H1851" s="1"/>
    </row>
    <row r="1852" spans="1:8" x14ac:dyDescent="0.35">
      <c r="A1852" s="21"/>
      <c r="B1852" t="s">
        <v>1511</v>
      </c>
      <c r="C1852" t="s">
        <v>22</v>
      </c>
      <c r="D1852" t="s">
        <v>3173</v>
      </c>
      <c r="F1852" s="1">
        <v>45959</v>
      </c>
      <c r="G1852" t="str">
        <f>IF(Table3[[#This Row],[Top Parent Account]]="",Table3[[#This Row],[Account Legal Name]],Table3[[#This Row],[Top Parent Account]])</f>
        <v>Toreo Motors</v>
      </c>
      <c r="H1852" s="1"/>
    </row>
    <row r="1853" spans="1:8" x14ac:dyDescent="0.35">
      <c r="A1853" s="21"/>
      <c r="B1853" t="s">
        <v>3114</v>
      </c>
      <c r="C1853" t="s">
        <v>6</v>
      </c>
      <c r="D1853" t="s">
        <v>99</v>
      </c>
      <c r="F1853" s="1">
        <v>45959</v>
      </c>
      <c r="G1853" t="str">
        <f>IF(Table3[[#This Row],[Top Parent Account]]="",Table3[[#This Row],[Account Legal Name]],Table3[[#This Row],[Top Parent Account]])</f>
        <v>Grupo Felder Foods</v>
      </c>
      <c r="H1853" s="1"/>
    </row>
    <row r="1854" spans="1:8" x14ac:dyDescent="0.35">
      <c r="A1854" s="21"/>
      <c r="B1854" t="s">
        <v>26</v>
      </c>
      <c r="C1854" t="s">
        <v>6</v>
      </c>
      <c r="D1854" t="s">
        <v>331</v>
      </c>
      <c r="F1854" s="1">
        <v>45959</v>
      </c>
      <c r="G1854" t="str">
        <f>IF(Table3[[#This Row],[Top Parent Account]]="",Table3[[#This Row],[Account Legal Name]],Table3[[#This Row],[Top Parent Account]])</f>
        <v>Procesadora De Alimentos Cima</v>
      </c>
      <c r="H1854" s="1"/>
    </row>
    <row r="1855" spans="1:8" x14ac:dyDescent="0.35">
      <c r="A1855" s="21"/>
      <c r="B1855" t="s">
        <v>169</v>
      </c>
      <c r="C1855" t="s">
        <v>6</v>
      </c>
      <c r="D1855" t="s">
        <v>3997</v>
      </c>
      <c r="F1855" s="1">
        <v>45959</v>
      </c>
      <c r="G1855" t="str">
        <f>IF(Table3[[#This Row],[Top Parent Account]]="",Table3[[#This Row],[Account Legal Name]],Table3[[#This Row],[Top Parent Account]])</f>
        <v>Print Service</v>
      </c>
      <c r="H1855" s="1"/>
    </row>
    <row r="1856" spans="1:8" x14ac:dyDescent="0.35">
      <c r="A1856" s="21"/>
      <c r="B1856" t="s">
        <v>169</v>
      </c>
      <c r="C1856" t="s">
        <v>6</v>
      </c>
      <c r="D1856" t="s">
        <v>1153</v>
      </c>
      <c r="F1856" s="1">
        <v>45959</v>
      </c>
      <c r="G1856" t="str">
        <f>IF(Table3[[#This Row],[Top Parent Account]]="",Table3[[#This Row],[Account Legal Name]],Table3[[#This Row],[Top Parent Account]])</f>
        <v>Libra Logistica</v>
      </c>
      <c r="H1856" s="1"/>
    </row>
    <row r="1857" spans="1:8" x14ac:dyDescent="0.35">
      <c r="A1857" s="21"/>
      <c r="B1857" t="s">
        <v>3114</v>
      </c>
      <c r="C1857" t="s">
        <v>22</v>
      </c>
      <c r="D1857" t="s">
        <v>1413</v>
      </c>
      <c r="F1857" s="1">
        <v>45959</v>
      </c>
      <c r="G1857" t="str">
        <f>IF(Table3[[#This Row],[Top Parent Account]]="",Table3[[#This Row],[Account Legal Name]],Table3[[#This Row],[Top Parent Account]])</f>
        <v>Lacteos Menonitas de Chihuahua</v>
      </c>
      <c r="H1857" s="1"/>
    </row>
    <row r="1858" spans="1:8" x14ac:dyDescent="0.35">
      <c r="A1858" s="21"/>
      <c r="B1858" t="s">
        <v>28</v>
      </c>
      <c r="C1858" t="s">
        <v>6</v>
      </c>
      <c r="D1858" t="s">
        <v>3999</v>
      </c>
      <c r="F1858" s="1">
        <v>45959</v>
      </c>
      <c r="G1858" t="str">
        <f>IF(Table3[[#This Row],[Top Parent Account]]="",Table3[[#This Row],[Account Legal Name]],Table3[[#This Row],[Top Parent Account]])</f>
        <v>Atlas Instalador De Maquinaria Industrial</v>
      </c>
      <c r="H1858" s="1"/>
    </row>
    <row r="1859" spans="1:8" x14ac:dyDescent="0.35">
      <c r="A1859" s="21"/>
      <c r="B1859" t="s">
        <v>3182</v>
      </c>
      <c r="C1859" t="s">
        <v>22</v>
      </c>
      <c r="D1859" t="s">
        <v>397</v>
      </c>
      <c r="F1859" s="1">
        <v>45959</v>
      </c>
      <c r="G1859" t="str">
        <f>IF(Table3[[#This Row],[Top Parent Account]]="",Table3[[#This Row],[Account Legal Name]],Table3[[#This Row],[Top Parent Account]])</f>
        <v>Entex de Mexico</v>
      </c>
      <c r="H1859" s="1"/>
    </row>
    <row r="1860" spans="1:8" x14ac:dyDescent="0.35">
      <c r="A1860" s="21"/>
      <c r="B1860" t="s">
        <v>23</v>
      </c>
      <c r="C1860" t="s">
        <v>6</v>
      </c>
      <c r="D1860" t="s">
        <v>3998</v>
      </c>
      <c r="F1860" s="1">
        <v>45959</v>
      </c>
      <c r="G1860" t="str">
        <f>IF(Table3[[#This Row],[Top Parent Account]]="",Table3[[#This Row],[Account Legal Name]],Table3[[#This Row],[Top Parent Account]])</f>
        <v>TRANSPORMER</v>
      </c>
      <c r="H1860" s="1"/>
    </row>
    <row r="1861" spans="1:8" x14ac:dyDescent="0.35">
      <c r="A1861" s="21"/>
      <c r="B1861" t="s">
        <v>169</v>
      </c>
      <c r="C1861" t="s">
        <v>6</v>
      </c>
      <c r="D1861" t="s">
        <v>686</v>
      </c>
      <c r="F1861" s="1">
        <v>45959</v>
      </c>
      <c r="G1861" t="str">
        <f>IF(Table3[[#This Row],[Top Parent Account]]="",Table3[[#This Row],[Account Legal Name]],Table3[[#This Row],[Top Parent Account]])</f>
        <v>PRODUCTOS CARNICOS MI GRANJITA</v>
      </c>
      <c r="H1861" s="1"/>
    </row>
    <row r="1862" spans="1:8" x14ac:dyDescent="0.35">
      <c r="A1862" s="21"/>
      <c r="B1862" t="s">
        <v>969</v>
      </c>
      <c r="C1862" t="s">
        <v>6</v>
      </c>
      <c r="D1862" t="s">
        <v>1839</v>
      </c>
      <c r="F1862" s="1">
        <v>45959</v>
      </c>
      <c r="G1862" t="str">
        <f>IF(Table3[[#This Row],[Top Parent Account]]="",Table3[[#This Row],[Account Legal Name]],Table3[[#This Row],[Top Parent Account]])</f>
        <v>Empacadora Therbal</v>
      </c>
      <c r="H1862" s="1"/>
    </row>
    <row r="1863" spans="1:8" x14ac:dyDescent="0.35">
      <c r="A1863" s="21"/>
      <c r="B1863" t="s">
        <v>739</v>
      </c>
      <c r="C1863" t="s">
        <v>6</v>
      </c>
      <c r="D1863" t="s">
        <v>4059</v>
      </c>
      <c r="F1863" s="1">
        <v>45959</v>
      </c>
      <c r="G1863" t="str">
        <f>IF(Table3[[#This Row],[Top Parent Account]]="",Table3[[#This Row],[Account Legal Name]],Table3[[#This Row],[Top Parent Account]])</f>
        <v>Producciones Signaléticas Mexicanas</v>
      </c>
      <c r="H1863" s="1"/>
    </row>
    <row r="1864" spans="1:8" x14ac:dyDescent="0.35">
      <c r="A1864" s="21"/>
      <c r="B1864" t="s">
        <v>1899</v>
      </c>
      <c r="C1864" t="s">
        <v>6</v>
      </c>
      <c r="D1864" t="s">
        <v>4060</v>
      </c>
      <c r="F1864" s="1">
        <v>45959</v>
      </c>
      <c r="G1864" t="str">
        <f>IF(Table3[[#This Row],[Top Parent Account]]="",Table3[[#This Row],[Account Legal Name]],Table3[[#This Row],[Top Parent Account]])</f>
        <v>Umet Handel</v>
      </c>
      <c r="H1864" s="1"/>
    </row>
    <row r="1865" spans="1:8" x14ac:dyDescent="0.35">
      <c r="A1865" s="21"/>
      <c r="B1865" t="s">
        <v>77</v>
      </c>
      <c r="C1865" t="s">
        <v>6</v>
      </c>
      <c r="D1865" t="s">
        <v>4000</v>
      </c>
      <c r="F1865" s="1">
        <v>45959</v>
      </c>
      <c r="G1865" t="str">
        <f>IF(Table3[[#This Row],[Top Parent Account]]="",Table3[[#This Row],[Account Legal Name]],Table3[[#This Row],[Top Parent Account]])</f>
        <v>AB Pollo</v>
      </c>
      <c r="H1865" s="1"/>
    </row>
    <row r="1866" spans="1:8" x14ac:dyDescent="0.35">
      <c r="A1866" s="21"/>
      <c r="B1866" t="s">
        <v>172</v>
      </c>
      <c r="C1866" t="s">
        <v>6</v>
      </c>
      <c r="D1866" t="s">
        <v>4061</v>
      </c>
      <c r="F1866" s="1">
        <v>45959</v>
      </c>
      <c r="G1866" t="str">
        <f>IF(Table3[[#This Row],[Top Parent Account]]="",Table3[[#This Row],[Account Legal Name]],Table3[[#This Row],[Top Parent Account]])</f>
        <v>Prodensa Noroeste</v>
      </c>
      <c r="H1866" s="1"/>
    </row>
    <row r="1867" spans="1:8" x14ac:dyDescent="0.35">
      <c r="A1867" s="21"/>
      <c r="B1867" t="s">
        <v>26</v>
      </c>
      <c r="C1867" t="s">
        <v>6</v>
      </c>
      <c r="D1867" t="s">
        <v>4109</v>
      </c>
      <c r="F1867" s="1">
        <v>45959</v>
      </c>
      <c r="G1867" t="str">
        <f>IF(Table3[[#This Row],[Top Parent Account]]="",Table3[[#This Row],[Account Legal Name]],Table3[[#This Row],[Top Parent Account]])</f>
        <v>Salchichonería Fritz</v>
      </c>
      <c r="H1867" s="1"/>
    </row>
    <row r="1868" spans="1:8" x14ac:dyDescent="0.35">
      <c r="A1868" s="21"/>
      <c r="B1868" t="s">
        <v>26</v>
      </c>
      <c r="C1868" t="s">
        <v>6</v>
      </c>
      <c r="D1868" t="s">
        <v>3957</v>
      </c>
      <c r="F1868" s="1">
        <v>45959</v>
      </c>
      <c r="G1868" t="str">
        <f>IF(Table3[[#This Row],[Top Parent Account]]="",Table3[[#This Row],[Account Legal Name]],Table3[[#This Row],[Top Parent Account]])</f>
        <v>Huf México</v>
      </c>
      <c r="H1868" s="1"/>
    </row>
    <row r="1869" spans="1:8" x14ac:dyDescent="0.35">
      <c r="A1869" s="21"/>
      <c r="B1869" t="s">
        <v>25</v>
      </c>
      <c r="C1869" t="s">
        <v>6</v>
      </c>
      <c r="D1869" t="s">
        <v>1045</v>
      </c>
      <c r="F1869" s="1">
        <v>45959</v>
      </c>
      <c r="G1869" t="str">
        <f>IF(Table3[[#This Row],[Top Parent Account]]="",Table3[[#This Row],[Account Legal Name]],Table3[[#This Row],[Top Parent Account]])</f>
        <v>Transportes Bonampak</v>
      </c>
      <c r="H1869" s="1"/>
    </row>
    <row r="1870" spans="1:8" x14ac:dyDescent="0.35">
      <c r="A1870" s="21"/>
      <c r="B1870" t="s">
        <v>172</v>
      </c>
      <c r="C1870" t="s">
        <v>6</v>
      </c>
      <c r="D1870" t="s">
        <v>1803</v>
      </c>
      <c r="F1870" s="1">
        <v>45959</v>
      </c>
      <c r="G1870" t="str">
        <f>IF(Table3[[#This Row],[Top Parent Account]]="",Table3[[#This Row],[Account Legal Name]],Table3[[#This Row],[Top Parent Account]])</f>
        <v>Transmontes</v>
      </c>
      <c r="H1870" s="1"/>
    </row>
    <row r="1871" spans="1:8" x14ac:dyDescent="0.35">
      <c r="A1871" s="21"/>
      <c r="B1871" t="s">
        <v>2884</v>
      </c>
      <c r="C1871" t="s">
        <v>22</v>
      </c>
      <c r="D1871" t="s">
        <v>3558</v>
      </c>
      <c r="F1871" s="1">
        <v>45959</v>
      </c>
      <c r="G1871" t="str">
        <f>IF(Table3[[#This Row],[Top Parent Account]]="",Table3[[#This Row],[Account Legal Name]],Table3[[#This Row],[Top Parent Account]])</f>
        <v>Pandener</v>
      </c>
      <c r="H1871" s="1"/>
    </row>
    <row r="1872" spans="1:8" x14ac:dyDescent="0.35">
      <c r="A1872" s="21"/>
      <c r="B1872" t="s">
        <v>3129</v>
      </c>
      <c r="C1872" t="s">
        <v>6</v>
      </c>
      <c r="D1872" t="s">
        <v>469</v>
      </c>
      <c r="F1872" s="1">
        <v>45958</v>
      </c>
      <c r="G1872" t="str">
        <f>IF(Table3[[#This Row],[Top Parent Account]]="",Table3[[#This Row],[Account Legal Name]],Table3[[#This Row],[Top Parent Account]])</f>
        <v>Dicipa</v>
      </c>
      <c r="H1872" s="1"/>
    </row>
    <row r="1873" spans="1:8" x14ac:dyDescent="0.35">
      <c r="A1873" s="21"/>
      <c r="B1873" t="s">
        <v>29</v>
      </c>
      <c r="C1873" t="s">
        <v>6</v>
      </c>
      <c r="D1873" t="s">
        <v>4001</v>
      </c>
      <c r="F1873" s="1">
        <v>45958</v>
      </c>
      <c r="G1873" t="str">
        <f>IF(Table3[[#This Row],[Top Parent Account]]="",Table3[[#This Row],[Account Legal Name]],Table3[[#This Row],[Top Parent Account]])</f>
        <v>Especias Naturales de México</v>
      </c>
      <c r="H1873" s="1"/>
    </row>
    <row r="1874" spans="1:8" x14ac:dyDescent="0.35">
      <c r="A1874" s="21"/>
      <c r="B1874" t="s">
        <v>375</v>
      </c>
      <c r="C1874" t="s">
        <v>6</v>
      </c>
      <c r="D1874" t="s">
        <v>4002</v>
      </c>
      <c r="F1874" s="1">
        <v>45958</v>
      </c>
      <c r="G1874" t="str">
        <f>IF(Table3[[#This Row],[Top Parent Account]]="",Table3[[#This Row],[Account Legal Name]],Table3[[#This Row],[Top Parent Account]])</f>
        <v>Unifoods</v>
      </c>
      <c r="H1874" s="1"/>
    </row>
    <row r="1875" spans="1:8" x14ac:dyDescent="0.35">
      <c r="A1875" s="21"/>
      <c r="B1875" t="s">
        <v>2912</v>
      </c>
      <c r="C1875" t="s">
        <v>6</v>
      </c>
      <c r="D1875" t="s">
        <v>115</v>
      </c>
      <c r="F1875" s="1">
        <v>45958</v>
      </c>
      <c r="G1875" t="str">
        <f>IF(Table3[[#This Row],[Top Parent Account]]="",Table3[[#This Row],[Account Legal Name]],Table3[[#This Row],[Top Parent Account]])</f>
        <v>Gerdau Corsa</v>
      </c>
      <c r="H1875" s="1"/>
    </row>
    <row r="1876" spans="1:8" x14ac:dyDescent="0.35">
      <c r="A1876" s="21"/>
      <c r="B1876" t="s">
        <v>3182</v>
      </c>
      <c r="C1876" t="s">
        <v>22</v>
      </c>
      <c r="D1876" t="s">
        <v>829</v>
      </c>
      <c r="F1876" s="1">
        <v>45958</v>
      </c>
      <c r="G1876" t="str">
        <f>IF(Table3[[#This Row],[Top Parent Account]]="",Table3[[#This Row],[Account Legal Name]],Table3[[#This Row],[Top Parent Account]])</f>
        <v>Servicios Aéreos Across</v>
      </c>
      <c r="H1876" s="1"/>
    </row>
    <row r="1877" spans="1:8" x14ac:dyDescent="0.35">
      <c r="A1877" s="21"/>
      <c r="B1877" t="s">
        <v>3114</v>
      </c>
      <c r="C1877" t="s">
        <v>6</v>
      </c>
      <c r="D1877" t="s">
        <v>2834</v>
      </c>
      <c r="F1877" s="1">
        <v>45958</v>
      </c>
      <c r="G1877" t="str">
        <f>IF(Table3[[#This Row],[Top Parent Account]]="",Table3[[#This Row],[Account Legal Name]],Table3[[#This Row],[Top Parent Account]])</f>
        <v>Autofletes Chihuahua</v>
      </c>
      <c r="H1877" s="1"/>
    </row>
    <row r="1878" spans="1:8" x14ac:dyDescent="0.35">
      <c r="A1878" s="21"/>
      <c r="B1878" t="s">
        <v>1131</v>
      </c>
      <c r="C1878" t="s">
        <v>6</v>
      </c>
      <c r="D1878" t="s">
        <v>4004</v>
      </c>
      <c r="F1878" s="1">
        <v>45958</v>
      </c>
      <c r="G1878" t="str">
        <f>IF(Table3[[#This Row],[Top Parent Account]]="",Table3[[#This Row],[Account Legal Name]],Table3[[#This Row],[Top Parent Account]])</f>
        <v>Técnica Mineral Pecuaria</v>
      </c>
      <c r="H1878" s="1"/>
    </row>
    <row r="1879" spans="1:8" x14ac:dyDescent="0.35">
      <c r="A1879" s="21"/>
      <c r="B1879" t="s">
        <v>2693</v>
      </c>
      <c r="C1879" t="s">
        <v>6</v>
      </c>
      <c r="D1879" t="s">
        <v>847</v>
      </c>
      <c r="F1879" s="1">
        <v>45958</v>
      </c>
      <c r="G1879" t="str">
        <f>IF(Table3[[#This Row],[Top Parent Account]]="",Table3[[#This Row],[Account Legal Name]],Table3[[#This Row],[Top Parent Account]])</f>
        <v>Plexa Poliestirenos Expandidos Mexicanos</v>
      </c>
      <c r="H1879" s="1"/>
    </row>
    <row r="1880" spans="1:8" x14ac:dyDescent="0.35">
      <c r="A1880" s="21"/>
      <c r="B1880" t="s">
        <v>169</v>
      </c>
      <c r="C1880" t="s">
        <v>6</v>
      </c>
      <c r="D1880" t="s">
        <v>987</v>
      </c>
      <c r="F1880" s="1">
        <v>45958</v>
      </c>
      <c r="G1880" t="str">
        <f>IF(Table3[[#This Row],[Top Parent Account]]="",Table3[[#This Row],[Account Legal Name]],Table3[[#This Row],[Top Parent Account]])</f>
        <v>Elaboradora De Alimentos Pachuca</v>
      </c>
      <c r="H1880" s="1"/>
    </row>
    <row r="1881" spans="1:8" x14ac:dyDescent="0.35">
      <c r="A1881" s="21"/>
      <c r="B1881" t="s">
        <v>925</v>
      </c>
      <c r="C1881" t="s">
        <v>6</v>
      </c>
      <c r="D1881" t="s">
        <v>4005</v>
      </c>
      <c r="F1881" s="1">
        <v>45958</v>
      </c>
      <c r="G1881" t="str">
        <f>IF(Table3[[#This Row],[Top Parent Account]]="",Table3[[#This Row],[Account Legal Name]],Table3[[#This Row],[Top Parent Account]])</f>
        <v>ABASTECEDORA DE METALES Y ACEROS RIV</v>
      </c>
      <c r="H1881" s="1"/>
    </row>
    <row r="1882" spans="1:8" x14ac:dyDescent="0.35">
      <c r="A1882" s="21"/>
      <c r="B1882" t="s">
        <v>1511</v>
      </c>
      <c r="C1882" t="s">
        <v>22</v>
      </c>
      <c r="D1882" t="s">
        <v>2592</v>
      </c>
      <c r="F1882" s="1">
        <v>45958</v>
      </c>
      <c r="G1882" t="str">
        <f>IF(Table3[[#This Row],[Top Parent Account]]="",Table3[[#This Row],[Account Legal Name]],Table3[[#This Row],[Top Parent Account]])</f>
        <v>AMD PLASTICS DE MEXICO</v>
      </c>
      <c r="H1882" s="1"/>
    </row>
    <row r="1883" spans="1:8" x14ac:dyDescent="0.35">
      <c r="A1883" s="21"/>
      <c r="B1883" t="s">
        <v>1511</v>
      </c>
      <c r="C1883" t="s">
        <v>22</v>
      </c>
      <c r="D1883" t="s">
        <v>1681</v>
      </c>
      <c r="F1883" s="1">
        <v>45958</v>
      </c>
      <c r="G1883" t="str">
        <f>IF(Table3[[#This Row],[Top Parent Account]]="",Table3[[#This Row],[Account Legal Name]],Table3[[#This Row],[Top Parent Account]])</f>
        <v>K-FLEX DE MEXICO</v>
      </c>
      <c r="H1883" s="1"/>
    </row>
    <row r="1884" spans="1:8" x14ac:dyDescent="0.35">
      <c r="A1884" s="21"/>
      <c r="B1884" t="s">
        <v>32</v>
      </c>
      <c r="C1884" t="s">
        <v>6</v>
      </c>
      <c r="D1884" t="s">
        <v>4062</v>
      </c>
      <c r="F1884" s="1">
        <v>45958</v>
      </c>
      <c r="G1884" t="str">
        <f>IF(Table3[[#This Row],[Top Parent Account]]="",Table3[[#This Row],[Account Legal Name]],Table3[[#This Row],[Top Parent Account]])</f>
        <v>Soluciones Liv</v>
      </c>
      <c r="H1884" s="1"/>
    </row>
    <row r="1885" spans="1:8" x14ac:dyDescent="0.35">
      <c r="A1885" s="21"/>
      <c r="B1885" t="s">
        <v>3175</v>
      </c>
      <c r="C1885" t="s">
        <v>6</v>
      </c>
      <c r="D1885" t="s">
        <v>4006</v>
      </c>
      <c r="E1885" t="s">
        <v>1186</v>
      </c>
      <c r="F1885" s="1">
        <v>45958</v>
      </c>
      <c r="G1885" t="str">
        <f>IF(Table3[[#This Row],[Top Parent Account]]="",Table3[[#This Row],[Account Legal Name]],Table3[[#This Row],[Top Parent Account]])</f>
        <v>Grupo Amaya Astron</v>
      </c>
      <c r="H1885" s="1"/>
    </row>
    <row r="1886" spans="1:8" x14ac:dyDescent="0.35">
      <c r="A1886" s="21"/>
      <c r="B1886" t="s">
        <v>3114</v>
      </c>
      <c r="C1886" t="s">
        <v>52</v>
      </c>
      <c r="D1886" t="s">
        <v>3237</v>
      </c>
      <c r="F1886" s="1">
        <v>45958</v>
      </c>
      <c r="G1886" t="str">
        <f>IF(Table3[[#This Row],[Top Parent Account]]="",Table3[[#This Row],[Account Legal Name]],Table3[[#This Row],[Top Parent Account]])</f>
        <v>Ranchacero</v>
      </c>
      <c r="H1886" s="1"/>
    </row>
    <row r="1887" spans="1:8" x14ac:dyDescent="0.35">
      <c r="A1887" s="21"/>
      <c r="B1887" t="s">
        <v>375</v>
      </c>
      <c r="C1887" t="s">
        <v>6</v>
      </c>
      <c r="D1887" t="s">
        <v>1016</v>
      </c>
      <c r="F1887" s="1">
        <v>45958</v>
      </c>
      <c r="G1887" t="str">
        <f>IF(Table3[[#This Row],[Top Parent Account]]="",Table3[[#This Row],[Account Legal Name]],Table3[[#This Row],[Top Parent Account]])</f>
        <v>Celupal Internacional</v>
      </c>
      <c r="H1887" s="1"/>
    </row>
    <row r="1888" spans="1:8" x14ac:dyDescent="0.35">
      <c r="A1888" s="21"/>
      <c r="B1888" t="s">
        <v>208</v>
      </c>
      <c r="C1888" t="s">
        <v>6</v>
      </c>
      <c r="D1888" t="s">
        <v>4007</v>
      </c>
      <c r="F1888" s="1">
        <v>45958</v>
      </c>
      <c r="G1888" t="str">
        <f>IF(Table3[[#This Row],[Top Parent Account]]="",Table3[[#This Row],[Account Legal Name]],Table3[[#This Row],[Top Parent Account]])</f>
        <v>Polysnop</v>
      </c>
      <c r="H1888" s="1"/>
    </row>
    <row r="1889" spans="1:8" x14ac:dyDescent="0.35">
      <c r="A1889" s="21"/>
      <c r="B1889" t="s">
        <v>1131</v>
      </c>
      <c r="C1889" t="s">
        <v>6</v>
      </c>
      <c r="D1889" t="s">
        <v>4008</v>
      </c>
      <c r="F1889" s="1">
        <v>45958</v>
      </c>
      <c r="G1889" t="str">
        <f>IF(Table3[[#This Row],[Top Parent Account]]="",Table3[[#This Row],[Account Legal Name]],Table3[[#This Row],[Top Parent Account]])</f>
        <v>Tecmin Servicios</v>
      </c>
      <c r="H1889" s="1"/>
    </row>
    <row r="1890" spans="1:8" x14ac:dyDescent="0.35">
      <c r="A1890" s="21"/>
      <c r="B1890" t="s">
        <v>1511</v>
      </c>
      <c r="C1890" t="s">
        <v>22</v>
      </c>
      <c r="D1890" t="s">
        <v>1913</v>
      </c>
      <c r="F1890" s="1">
        <v>45958</v>
      </c>
      <c r="G1890" t="str">
        <f>IF(Table3[[#This Row],[Top Parent Account]]="",Table3[[#This Row],[Account Legal Name]],Table3[[#This Row],[Top Parent Account]])</f>
        <v>SALERI MEXICO</v>
      </c>
      <c r="H1890" s="1"/>
    </row>
    <row r="1891" spans="1:8" x14ac:dyDescent="0.35">
      <c r="A1891" s="21"/>
      <c r="B1891" t="s">
        <v>77</v>
      </c>
      <c r="C1891" t="s">
        <v>6</v>
      </c>
      <c r="D1891" t="s">
        <v>4009</v>
      </c>
      <c r="F1891" s="1">
        <v>45958</v>
      </c>
      <c r="G1891" t="str">
        <f>IF(Table3[[#This Row],[Top Parent Account]]="",Table3[[#This Row],[Account Legal Name]],Table3[[#This Row],[Top Parent Account]])</f>
        <v>Tejas Terracota Chihuahua</v>
      </c>
      <c r="H1891" s="1"/>
    </row>
    <row r="1892" spans="1:8" x14ac:dyDescent="0.35">
      <c r="A1892" s="21"/>
      <c r="B1892" t="s">
        <v>38</v>
      </c>
      <c r="C1892" t="s">
        <v>6</v>
      </c>
      <c r="D1892" t="s">
        <v>4010</v>
      </c>
      <c r="F1892" s="1">
        <v>45958</v>
      </c>
      <c r="G1892" t="str">
        <f>IF(Table3[[#This Row],[Top Parent Account]]="",Table3[[#This Row],[Account Legal Name]],Table3[[#This Row],[Top Parent Account]])</f>
        <v>Batz Mexicana</v>
      </c>
      <c r="H1892" s="1"/>
    </row>
    <row r="1893" spans="1:8" x14ac:dyDescent="0.35">
      <c r="A1893" s="21"/>
      <c r="B1893" t="s">
        <v>932</v>
      </c>
      <c r="C1893" t="s">
        <v>1693</v>
      </c>
      <c r="D1893" t="s">
        <v>4011</v>
      </c>
      <c r="F1893" s="1">
        <v>45958</v>
      </c>
      <c r="G1893" t="str">
        <f>IF(Table3[[#This Row],[Top Parent Account]]="",Table3[[#This Row],[Account Legal Name]],Table3[[#This Row],[Top Parent Account]])</f>
        <v>Bupa México Compañía De Seguros</v>
      </c>
      <c r="H1893" s="1"/>
    </row>
    <row r="1894" spans="1:8" x14ac:dyDescent="0.35">
      <c r="A1894" s="21"/>
      <c r="B1894" t="s">
        <v>3114</v>
      </c>
      <c r="C1894" t="s">
        <v>22</v>
      </c>
      <c r="D1894" t="s">
        <v>3445</v>
      </c>
      <c r="F1894" s="1">
        <v>45958</v>
      </c>
      <c r="G1894" t="str">
        <f>IF(Table3[[#This Row],[Top Parent Account]]="",Table3[[#This Row],[Account Legal Name]],Table3[[#This Row],[Top Parent Account]])</f>
        <v>Copachisa</v>
      </c>
      <c r="H1894" s="1"/>
    </row>
    <row r="1895" spans="1:8" x14ac:dyDescent="0.35">
      <c r="A1895" s="21"/>
      <c r="B1895" t="s">
        <v>23</v>
      </c>
      <c r="C1895" t="s">
        <v>6</v>
      </c>
      <c r="D1895" t="s">
        <v>4012</v>
      </c>
      <c r="F1895" s="1">
        <v>45958</v>
      </c>
      <c r="G1895" t="str">
        <f>IF(Table3[[#This Row],[Top Parent Account]]="",Table3[[#This Row],[Account Legal Name]],Table3[[#This Row],[Top Parent Account]])</f>
        <v>PREFABRICADOS DEL CENTRO</v>
      </c>
      <c r="H1895" s="1"/>
    </row>
    <row r="1896" spans="1:8" x14ac:dyDescent="0.35">
      <c r="A1896" s="21"/>
      <c r="B1896" t="s">
        <v>88</v>
      </c>
      <c r="C1896" t="s">
        <v>6</v>
      </c>
      <c r="D1896" t="s">
        <v>4014</v>
      </c>
      <c r="F1896" s="1">
        <v>45958</v>
      </c>
      <c r="G1896" t="str">
        <f>IF(Table3[[#This Row],[Top Parent Account]]="",Table3[[#This Row],[Account Legal Name]],Table3[[#This Row],[Top Parent Account]])</f>
        <v>Ramcs Corporativo</v>
      </c>
      <c r="H1896" s="1"/>
    </row>
    <row r="1897" spans="1:8" x14ac:dyDescent="0.35">
      <c r="A1897" s="21"/>
      <c r="B1897" t="s">
        <v>375</v>
      </c>
      <c r="C1897" t="s">
        <v>6</v>
      </c>
      <c r="D1897" t="s">
        <v>4013</v>
      </c>
      <c r="F1897" s="1">
        <v>45958</v>
      </c>
      <c r="G1897" t="str">
        <f>IF(Table3[[#This Row],[Top Parent Account]]="",Table3[[#This Row],[Account Legal Name]],Table3[[#This Row],[Top Parent Account]])</f>
        <v>Yakult</v>
      </c>
      <c r="H1897" s="1"/>
    </row>
    <row r="1898" spans="1:8" x14ac:dyDescent="0.35">
      <c r="A1898" s="21"/>
      <c r="B1898" t="s">
        <v>3628</v>
      </c>
      <c r="C1898" t="s">
        <v>6</v>
      </c>
      <c r="D1898" t="s">
        <v>3937</v>
      </c>
      <c r="F1898" s="1">
        <v>45958</v>
      </c>
      <c r="G1898" t="str">
        <f>IF(Table3[[#This Row],[Top Parent Account]]="",Table3[[#This Row],[Account Legal Name]],Table3[[#This Row],[Top Parent Account]])</f>
        <v>Industria Sigrama</v>
      </c>
      <c r="H1898" s="1"/>
    </row>
    <row r="1899" spans="1:8" x14ac:dyDescent="0.35">
      <c r="A1899" s="21"/>
      <c r="B1899" t="s">
        <v>39</v>
      </c>
      <c r="C1899" t="s">
        <v>4015</v>
      </c>
      <c r="D1899" t="s">
        <v>2003</v>
      </c>
      <c r="E1899" t="s">
        <v>2004</v>
      </c>
      <c r="F1899" s="1">
        <v>45958</v>
      </c>
      <c r="G1899" t="str">
        <f>IF(Table3[[#This Row],[Top Parent Account]]="",Table3[[#This Row],[Account Legal Name]],Table3[[#This Row],[Top Parent Account]])</f>
        <v>Mobinsa</v>
      </c>
      <c r="H1899" s="1"/>
    </row>
    <row r="1900" spans="1:8" x14ac:dyDescent="0.35">
      <c r="A1900" s="21"/>
      <c r="B1900" t="s">
        <v>39</v>
      </c>
      <c r="C1900" t="s">
        <v>4016</v>
      </c>
      <c r="D1900" t="s">
        <v>2537</v>
      </c>
      <c r="F1900" s="1">
        <v>45957</v>
      </c>
      <c r="G1900" t="str">
        <f>IF(Table3[[#This Row],[Top Parent Account]]="",Table3[[#This Row],[Account Legal Name]],Table3[[#This Row],[Top Parent Account]])</f>
        <v>Salsas Castillo</v>
      </c>
      <c r="H1900" s="1"/>
    </row>
    <row r="1901" spans="1:8" x14ac:dyDescent="0.35">
      <c r="A1901" s="21"/>
      <c r="B1901" t="s">
        <v>2693</v>
      </c>
      <c r="C1901" t="s">
        <v>6</v>
      </c>
      <c r="D1901" t="s">
        <v>3642</v>
      </c>
      <c r="F1901" s="1">
        <v>45957</v>
      </c>
      <c r="G1901" t="str">
        <f>IF(Table3[[#This Row],[Top Parent Account]]="",Table3[[#This Row],[Account Legal Name]],Table3[[#This Row],[Top Parent Account]])</f>
        <v>GRUPO DIECAST MEXICO</v>
      </c>
      <c r="H1901" s="1"/>
    </row>
    <row r="1902" spans="1:8" x14ac:dyDescent="0.35">
      <c r="A1902" s="21"/>
      <c r="B1902" t="s">
        <v>121</v>
      </c>
      <c r="C1902" t="s">
        <v>6</v>
      </c>
      <c r="D1902" t="s">
        <v>756</v>
      </c>
      <c r="F1902" s="1">
        <v>45957</v>
      </c>
      <c r="G1902" t="str">
        <f>IF(Table3[[#This Row],[Top Parent Account]]="",Table3[[#This Row],[Account Legal Name]],Table3[[#This Row],[Top Parent Account]])</f>
        <v>Harinera De Sinaloa</v>
      </c>
      <c r="H1902" s="1"/>
    </row>
    <row r="1903" spans="1:8" x14ac:dyDescent="0.35">
      <c r="A1903" s="21"/>
      <c r="B1903" t="s">
        <v>24</v>
      </c>
      <c r="C1903" t="s">
        <v>6</v>
      </c>
      <c r="D1903" t="s">
        <v>645</v>
      </c>
      <c r="E1903" t="s">
        <v>646</v>
      </c>
      <c r="F1903" s="1">
        <v>45957</v>
      </c>
      <c r="G1903" t="str">
        <f>IF(Table3[[#This Row],[Top Parent Account]]="",Table3[[#This Row],[Account Legal Name]],Table3[[#This Row],[Top Parent Account]])</f>
        <v>Grupo Pinsa</v>
      </c>
      <c r="H1903" s="1"/>
    </row>
    <row r="1904" spans="1:8" x14ac:dyDescent="0.35">
      <c r="A1904" s="21"/>
      <c r="B1904" t="s">
        <v>23</v>
      </c>
      <c r="C1904" t="s">
        <v>6</v>
      </c>
      <c r="D1904" t="s">
        <v>4017</v>
      </c>
      <c r="F1904" s="1">
        <v>45957</v>
      </c>
      <c r="G1904" t="str">
        <f>IF(Table3[[#This Row],[Top Parent Account]]="",Table3[[#This Row],[Account Legal Name]],Table3[[#This Row],[Top Parent Account]])</f>
        <v>DYA MANUFACTURAS</v>
      </c>
      <c r="H1904" s="1"/>
    </row>
    <row r="1905" spans="1:8" x14ac:dyDescent="0.35">
      <c r="A1905" s="21"/>
      <c r="B1905" t="s">
        <v>2693</v>
      </c>
      <c r="C1905" t="s">
        <v>6</v>
      </c>
      <c r="D1905" t="s">
        <v>1727</v>
      </c>
      <c r="E1905" t="s">
        <v>204</v>
      </c>
      <c r="F1905" s="1">
        <v>45957</v>
      </c>
      <c r="G1905" t="str">
        <f>IF(Table3[[#This Row],[Top Parent Account]]="",Table3[[#This Row],[Account Legal Name]],Table3[[#This Row],[Top Parent Account]])</f>
        <v>JC MOLDS</v>
      </c>
      <c r="H1905" s="1"/>
    </row>
    <row r="1906" spans="1:8" x14ac:dyDescent="0.35">
      <c r="A1906" s="21"/>
      <c r="B1906" t="s">
        <v>121</v>
      </c>
      <c r="C1906" t="s">
        <v>6</v>
      </c>
      <c r="D1906" t="s">
        <v>853</v>
      </c>
      <c r="F1906" s="1">
        <v>45957</v>
      </c>
      <c r="G1906" t="str">
        <f>IF(Table3[[#This Row],[Top Parent Account]]="",Table3[[#This Row],[Account Legal Name]],Table3[[#This Row],[Top Parent Account]])</f>
        <v>MATERIALES Y BLOCKERA ARAMBURO</v>
      </c>
      <c r="H1906" s="1"/>
    </row>
    <row r="1907" spans="1:8" x14ac:dyDescent="0.35">
      <c r="A1907" s="21"/>
      <c r="B1907" t="s">
        <v>28</v>
      </c>
      <c r="C1907" t="s">
        <v>6</v>
      </c>
      <c r="D1907" t="s">
        <v>4003</v>
      </c>
      <c r="F1907" s="1">
        <v>45957</v>
      </c>
      <c r="G1907" t="str">
        <f>IF(Table3[[#This Row],[Top Parent Account]]="",Table3[[#This Row],[Account Legal Name]],Table3[[#This Row],[Top Parent Account]])</f>
        <v>ABASTECEDORA Y COMERCIALIZADORA SUPER CHIQUIS</v>
      </c>
      <c r="H1907" s="1"/>
    </row>
    <row r="1908" spans="1:8" x14ac:dyDescent="0.35">
      <c r="A1908" s="21"/>
      <c r="B1908" t="s">
        <v>207</v>
      </c>
      <c r="C1908" t="s">
        <v>6</v>
      </c>
      <c r="D1908" t="s">
        <v>4018</v>
      </c>
      <c r="F1908" s="1">
        <v>45957</v>
      </c>
      <c r="G1908" t="str">
        <f>IF(Table3[[#This Row],[Top Parent Account]]="",Table3[[#This Row],[Account Legal Name]],Table3[[#This Row],[Top Parent Account]])</f>
        <v>SIE&amp;C</v>
      </c>
      <c r="H1908" s="1"/>
    </row>
    <row r="1909" spans="1:8" x14ac:dyDescent="0.35">
      <c r="A1909" s="21"/>
      <c r="B1909" t="s">
        <v>39</v>
      </c>
      <c r="C1909" t="s">
        <v>4019</v>
      </c>
      <c r="D1909" t="s">
        <v>2349</v>
      </c>
      <c r="F1909" s="1">
        <v>45957</v>
      </c>
      <c r="G1909" t="str">
        <f>IF(Table3[[#This Row],[Top Parent Account]]="",Table3[[#This Row],[Account Legal Name]],Table3[[#This Row],[Top Parent Account]])</f>
        <v>QM Comercializadora</v>
      </c>
      <c r="H1909" s="1"/>
    </row>
    <row r="1910" spans="1:8" x14ac:dyDescent="0.35">
      <c r="A1910" s="21"/>
      <c r="B1910" t="s">
        <v>3628</v>
      </c>
      <c r="C1910" t="s">
        <v>6</v>
      </c>
      <c r="D1910" t="s">
        <v>4063</v>
      </c>
      <c r="F1910" s="1">
        <v>45957</v>
      </c>
      <c r="G1910" t="str">
        <f>IF(Table3[[#This Row],[Top Parent Account]]="",Table3[[#This Row],[Account Legal Name]],Table3[[#This Row],[Top Parent Account]])</f>
        <v>Valkia Automotriz</v>
      </c>
      <c r="H1910" s="1"/>
    </row>
    <row r="1911" spans="1:8" x14ac:dyDescent="0.35">
      <c r="A1911" s="21"/>
      <c r="B1911" t="s">
        <v>37</v>
      </c>
      <c r="C1911" t="s">
        <v>6</v>
      </c>
      <c r="D1911" t="s">
        <v>4020</v>
      </c>
      <c r="F1911" s="1">
        <v>45957</v>
      </c>
      <c r="G1911" t="str">
        <f>IF(Table3[[#This Row],[Top Parent Account]]="",Table3[[#This Row],[Account Legal Name]],Table3[[#This Row],[Top Parent Account]])</f>
        <v>CAMPO PABLO BÓRQUEZ</v>
      </c>
      <c r="H1911" s="1"/>
    </row>
    <row r="1912" spans="1:8" x14ac:dyDescent="0.35">
      <c r="A1912" s="21"/>
      <c r="B1912" t="s">
        <v>88</v>
      </c>
      <c r="C1912" t="s">
        <v>22</v>
      </c>
      <c r="D1912" t="s">
        <v>4022</v>
      </c>
      <c r="F1912" s="1">
        <v>45957</v>
      </c>
      <c r="G1912" t="str">
        <f>IF(Table3[[#This Row],[Top Parent Account]]="",Table3[[#This Row],[Account Legal Name]],Table3[[#This Row],[Top Parent Account]])</f>
        <v>Mining Biotech</v>
      </c>
      <c r="H1912" s="1"/>
    </row>
    <row r="1913" spans="1:8" x14ac:dyDescent="0.35">
      <c r="A1913" s="21"/>
      <c r="B1913" t="s">
        <v>932</v>
      </c>
      <c r="C1913" t="s">
        <v>4021</v>
      </c>
      <c r="D1913" t="s">
        <v>3005</v>
      </c>
      <c r="F1913" s="1">
        <v>45957</v>
      </c>
      <c r="G1913" t="str">
        <f>IF(Table3[[#This Row],[Top Parent Account]]="",Table3[[#This Row],[Account Legal Name]],Table3[[#This Row],[Top Parent Account]])</f>
        <v>Sistemas Multidireccionales SM8 de Mexico</v>
      </c>
      <c r="H1913" s="1"/>
    </row>
    <row r="1914" spans="1:8" x14ac:dyDescent="0.35">
      <c r="A1914" s="21"/>
      <c r="B1914" t="s">
        <v>3114</v>
      </c>
      <c r="C1914" t="s">
        <v>22</v>
      </c>
      <c r="D1914" t="s">
        <v>3994</v>
      </c>
      <c r="F1914" s="1">
        <v>45957</v>
      </c>
      <c r="G1914" t="str">
        <f>IF(Table3[[#This Row],[Top Parent Account]]="",Table3[[#This Row],[Account Legal Name]],Table3[[#This Row],[Top Parent Account]])</f>
        <v>Grupo Remolques del Norte</v>
      </c>
      <c r="H1914" s="1"/>
    </row>
    <row r="1915" spans="1:8" x14ac:dyDescent="0.35">
      <c r="A1915" s="21"/>
      <c r="B1915" t="s">
        <v>2693</v>
      </c>
      <c r="C1915" t="s">
        <v>6</v>
      </c>
      <c r="D1915" t="s">
        <v>4023</v>
      </c>
      <c r="F1915" s="1">
        <v>45957</v>
      </c>
      <c r="G1915" t="str">
        <f>IF(Table3[[#This Row],[Top Parent Account]]="",Table3[[#This Row],[Account Legal Name]],Table3[[#This Row],[Top Parent Account]])</f>
        <v>ORGANIZACION DE PRODUCTORES PACIFICO-SUR</v>
      </c>
      <c r="H1915" s="1"/>
    </row>
    <row r="1916" spans="1:8" x14ac:dyDescent="0.35">
      <c r="A1916" s="21"/>
      <c r="B1916" t="s">
        <v>1131</v>
      </c>
      <c r="C1916" t="s">
        <v>6</v>
      </c>
      <c r="D1916" t="s">
        <v>4024</v>
      </c>
      <c r="E1916" t="s">
        <v>4025</v>
      </c>
      <c r="F1916" s="1">
        <v>45957</v>
      </c>
      <c r="G1916" t="str">
        <f>IF(Table3[[#This Row],[Top Parent Account]]="",Table3[[#This Row],[Account Legal Name]],Table3[[#This Row],[Top Parent Account]])</f>
        <v>Productos Rivial</v>
      </c>
      <c r="H1916" s="1"/>
    </row>
    <row r="1917" spans="1:8" x14ac:dyDescent="0.35">
      <c r="A1917" s="21"/>
      <c r="B1917" t="s">
        <v>3628</v>
      </c>
      <c r="C1917" t="s">
        <v>6</v>
      </c>
      <c r="D1917" t="s">
        <v>4026</v>
      </c>
      <c r="F1917" s="1">
        <v>45957</v>
      </c>
      <c r="G1917" t="str">
        <f>IF(Table3[[#This Row],[Top Parent Account]]="",Table3[[#This Row],[Account Legal Name]],Table3[[#This Row],[Top Parent Account]])</f>
        <v>Tecnologías Y Soluciones Tridimensionales</v>
      </c>
      <c r="H1917" s="1"/>
    </row>
    <row r="1918" spans="1:8" x14ac:dyDescent="0.35">
      <c r="A1918" s="21"/>
      <c r="B1918" t="s">
        <v>1511</v>
      </c>
      <c r="C1918" t="s">
        <v>22</v>
      </c>
      <c r="D1918" t="s">
        <v>1204</v>
      </c>
      <c r="F1918" s="1">
        <v>45957</v>
      </c>
      <c r="G1918" t="str">
        <f>IF(Table3[[#This Row],[Top Parent Account]]="",Table3[[#This Row],[Account Legal Name]],Table3[[#This Row],[Top Parent Account]])</f>
        <v>Grupo Gazpro</v>
      </c>
      <c r="H1918" s="1"/>
    </row>
    <row r="1919" spans="1:8" x14ac:dyDescent="0.35">
      <c r="A1919" s="21"/>
      <c r="B1919" t="s">
        <v>12</v>
      </c>
      <c r="C1919" t="s">
        <v>6</v>
      </c>
      <c r="D1919" t="s">
        <v>2188</v>
      </c>
      <c r="F1919" s="1">
        <v>45954</v>
      </c>
      <c r="G1919" t="str">
        <f>IF(Table3[[#This Row],[Top Parent Account]]="",Table3[[#This Row],[Account Legal Name]],Table3[[#This Row],[Top Parent Account]])</f>
        <v>Metal Tec Industrial</v>
      </c>
      <c r="H1919" s="1"/>
    </row>
    <row r="1920" spans="1:8" x14ac:dyDescent="0.35">
      <c r="A1920" s="21"/>
      <c r="B1920" t="s">
        <v>12</v>
      </c>
      <c r="C1920" t="s">
        <v>6</v>
      </c>
      <c r="D1920" t="s">
        <v>2542</v>
      </c>
      <c r="F1920" s="1">
        <v>45954</v>
      </c>
      <c r="G1920" t="str">
        <f>IF(Table3[[#This Row],[Top Parent Account]]="",Table3[[#This Row],[Account Legal Name]],Table3[[#This Row],[Top Parent Account]])</f>
        <v>Oswaldo Ancona Ricalde</v>
      </c>
      <c r="H1920" s="1"/>
    </row>
    <row r="1921" spans="1:8" x14ac:dyDescent="0.35">
      <c r="A1921" s="21"/>
      <c r="B1921" t="s">
        <v>88</v>
      </c>
      <c r="C1921" t="s">
        <v>6</v>
      </c>
      <c r="D1921" t="s">
        <v>4027</v>
      </c>
      <c r="E1921" t="s">
        <v>4028</v>
      </c>
      <c r="F1921" s="1">
        <v>45954</v>
      </c>
      <c r="G1921" t="str">
        <f>IF(Table3[[#This Row],[Top Parent Account]]="",Table3[[#This Row],[Account Legal Name]],Table3[[#This Row],[Top Parent Account]])</f>
        <v>Agrofertilizantes Del Sureste</v>
      </c>
      <c r="H1921" s="1"/>
    </row>
    <row r="1922" spans="1:8" x14ac:dyDescent="0.35">
      <c r="A1922" s="21"/>
      <c r="B1922" t="s">
        <v>2345</v>
      </c>
      <c r="C1922" t="s">
        <v>6</v>
      </c>
      <c r="D1922" t="s">
        <v>4029</v>
      </c>
      <c r="F1922" s="1">
        <v>45954</v>
      </c>
      <c r="G1922" t="str">
        <f>IF(Table3[[#This Row],[Top Parent Account]]="",Table3[[#This Row],[Account Legal Name]],Table3[[#This Row],[Top Parent Account]])</f>
        <v>Productos Curtientes</v>
      </c>
      <c r="H1922" s="1"/>
    </row>
    <row r="1923" spans="1:8" x14ac:dyDescent="0.35">
      <c r="A1923" s="21"/>
      <c r="B1923" t="s">
        <v>2693</v>
      </c>
      <c r="C1923" t="s">
        <v>6</v>
      </c>
      <c r="D1923" t="s">
        <v>3677</v>
      </c>
      <c r="F1923" s="1">
        <v>45954</v>
      </c>
      <c r="G1923" t="str">
        <f>IF(Table3[[#This Row],[Top Parent Account]]="",Table3[[#This Row],[Account Legal Name]],Table3[[#This Row],[Top Parent Account]])</f>
        <v>FULARTEX</v>
      </c>
      <c r="H1923" s="1"/>
    </row>
    <row r="1924" spans="1:8" x14ac:dyDescent="0.35">
      <c r="A1924" s="21"/>
      <c r="B1924" t="s">
        <v>26</v>
      </c>
      <c r="C1924" t="s">
        <v>6</v>
      </c>
      <c r="D1924" t="s">
        <v>3972</v>
      </c>
      <c r="F1924" s="1">
        <v>45954</v>
      </c>
      <c r="G1924" t="str">
        <f>IF(Table3[[#This Row],[Top Parent Account]]="",Table3[[#This Row],[Account Legal Name]],Table3[[#This Row],[Top Parent Account]])</f>
        <v>Villanueva Produce</v>
      </c>
      <c r="H1924" s="1"/>
    </row>
    <row r="1925" spans="1:8" x14ac:dyDescent="0.35">
      <c r="A1925" s="21"/>
      <c r="B1925" t="s">
        <v>121</v>
      </c>
      <c r="C1925" t="s">
        <v>6</v>
      </c>
      <c r="D1925" t="s">
        <v>3949</v>
      </c>
      <c r="F1925" s="1">
        <v>45954</v>
      </c>
      <c r="G1925" t="str">
        <f>IF(Table3[[#This Row],[Top Parent Account]]="",Table3[[#This Row],[Account Legal Name]],Table3[[#This Row],[Top Parent Account]])</f>
        <v>MEZCLAS Y DESARROLLO DE INGREDIENTES</v>
      </c>
      <c r="H1925" s="1"/>
    </row>
    <row r="1926" spans="1:8" x14ac:dyDescent="0.35">
      <c r="A1926" s="21"/>
      <c r="B1926" t="s">
        <v>28</v>
      </c>
      <c r="C1926" t="s">
        <v>6</v>
      </c>
      <c r="D1926" t="s">
        <v>3950</v>
      </c>
      <c r="F1926" s="1">
        <v>45954</v>
      </c>
      <c r="G1926" t="str">
        <f>IF(Table3[[#This Row],[Top Parent Account]]="",Table3[[#This Row],[Account Legal Name]],Table3[[#This Row],[Top Parent Account]])</f>
        <v>CONSTRUCCIONES VEGATI</v>
      </c>
      <c r="H1926" s="1"/>
    </row>
    <row r="1927" spans="1:8" x14ac:dyDescent="0.35">
      <c r="A1927" s="21"/>
      <c r="B1927" t="s">
        <v>32</v>
      </c>
      <c r="C1927" t="s">
        <v>6</v>
      </c>
      <c r="D1927" t="s">
        <v>4743</v>
      </c>
      <c r="F1927" s="1">
        <v>45954</v>
      </c>
      <c r="G1927" t="str">
        <f>IF(Table3[[#This Row],[Top Parent Account]]="",Table3[[#This Row],[Account Legal Name]],Table3[[#This Row],[Top Parent Account]])</f>
        <v>JCDecaux Out Of Home México</v>
      </c>
      <c r="H1927" s="1"/>
    </row>
    <row r="1928" spans="1:8" x14ac:dyDescent="0.35">
      <c r="A1928" s="21"/>
      <c r="B1928" t="s">
        <v>969</v>
      </c>
      <c r="C1928" t="s">
        <v>6</v>
      </c>
      <c r="D1928" t="s">
        <v>3951</v>
      </c>
      <c r="F1928" s="1">
        <v>45954</v>
      </c>
      <c r="G1928" t="str">
        <f>IF(Table3[[#This Row],[Top Parent Account]]="",Table3[[#This Row],[Account Legal Name]],Table3[[#This Row],[Top Parent Account]])</f>
        <v>Autokimia</v>
      </c>
      <c r="H1928" s="1"/>
    </row>
    <row r="1929" spans="1:8" x14ac:dyDescent="0.35">
      <c r="A1929" s="21"/>
      <c r="B1929" t="s">
        <v>2884</v>
      </c>
      <c r="C1929" t="s">
        <v>6</v>
      </c>
      <c r="D1929" t="s">
        <v>3952</v>
      </c>
      <c r="F1929" s="1">
        <v>45954</v>
      </c>
      <c r="G1929" t="str">
        <f>IF(Table3[[#This Row],[Top Parent Account]]="",Table3[[#This Row],[Account Legal Name]],Table3[[#This Row],[Top Parent Account]])</f>
        <v>TELECOMUNICACIONES Y TECNOLOGIAS DEL NOROESTE, S. de R.L. de C.V.</v>
      </c>
      <c r="H1929" s="1"/>
    </row>
    <row r="1930" spans="1:8" x14ac:dyDescent="0.35">
      <c r="A1930" s="21"/>
      <c r="B1930" t="s">
        <v>1006</v>
      </c>
      <c r="C1930" t="s">
        <v>6</v>
      </c>
      <c r="D1930" t="s">
        <v>3590</v>
      </c>
      <c r="F1930" s="1">
        <v>45954</v>
      </c>
      <c r="G1930" t="str">
        <f>IF(Table3[[#This Row],[Top Parent Account]]="",Table3[[#This Row],[Account Legal Name]],Table3[[#This Row],[Top Parent Account]])</f>
        <v>Frescar</v>
      </c>
      <c r="H1930" s="1"/>
    </row>
    <row r="1931" spans="1:8" x14ac:dyDescent="0.35">
      <c r="A1931" s="21"/>
      <c r="B1931" t="s">
        <v>3092</v>
      </c>
      <c r="C1931" t="s">
        <v>22</v>
      </c>
      <c r="D1931" t="s">
        <v>3902</v>
      </c>
      <c r="F1931" s="1">
        <v>45954</v>
      </c>
      <c r="G1931" t="str">
        <f>IF(Table3[[#This Row],[Top Parent Account]]="",Table3[[#This Row],[Account Legal Name]],Table3[[#This Row],[Top Parent Account]])</f>
        <v>Proteínas Especiales</v>
      </c>
      <c r="H1931" s="1"/>
    </row>
    <row r="1932" spans="1:8" x14ac:dyDescent="0.35">
      <c r="A1932" s="21"/>
      <c r="B1932" t="s">
        <v>3092</v>
      </c>
      <c r="C1932" t="s">
        <v>6</v>
      </c>
      <c r="D1932" t="s">
        <v>3902</v>
      </c>
      <c r="F1932" s="1">
        <v>45954</v>
      </c>
      <c r="G1932" t="str">
        <f>IF(Table3[[#This Row],[Top Parent Account]]="",Table3[[#This Row],[Account Legal Name]],Table3[[#This Row],[Top Parent Account]])</f>
        <v>Proteínas Especiales</v>
      </c>
      <c r="H1932" s="1"/>
    </row>
    <row r="1933" spans="1:8" x14ac:dyDescent="0.35">
      <c r="A1933" s="21"/>
      <c r="B1933" t="s">
        <v>3628</v>
      </c>
      <c r="C1933" t="s">
        <v>6</v>
      </c>
      <c r="D1933" t="s">
        <v>3842</v>
      </c>
      <c r="F1933" s="1">
        <v>45954</v>
      </c>
      <c r="G1933" t="str">
        <f>IF(Table3[[#This Row],[Top Parent Account]]="",Table3[[#This Row],[Account Legal Name]],Table3[[#This Row],[Top Parent Account]])</f>
        <v>Novalan Computadoras Y Redes</v>
      </c>
      <c r="H1933" s="1"/>
    </row>
    <row r="1934" spans="1:8" x14ac:dyDescent="0.35">
      <c r="A1934" s="21"/>
      <c r="B1934" t="s">
        <v>3092</v>
      </c>
      <c r="C1934" t="s">
        <v>22</v>
      </c>
      <c r="D1934" t="s">
        <v>3953</v>
      </c>
      <c r="F1934" s="1">
        <v>45954</v>
      </c>
      <c r="G1934" t="str">
        <f>IF(Table3[[#This Row],[Top Parent Account]]="",Table3[[#This Row],[Account Legal Name]],Table3[[#This Row],[Top Parent Account]])</f>
        <v>Extrupack</v>
      </c>
      <c r="H1934" s="1"/>
    </row>
    <row r="1935" spans="1:8" x14ac:dyDescent="0.35">
      <c r="A1935" s="21"/>
      <c r="B1935" t="s">
        <v>3092</v>
      </c>
      <c r="C1935" t="s">
        <v>22</v>
      </c>
      <c r="D1935" t="s">
        <v>1191</v>
      </c>
      <c r="F1935" s="1">
        <v>45954</v>
      </c>
      <c r="G1935" t="str">
        <f>IF(Table3[[#This Row],[Top Parent Account]]="",Table3[[#This Row],[Account Legal Name]],Table3[[#This Row],[Top Parent Account]])</f>
        <v>COMERCIALIZADORA CANO FRESH</v>
      </c>
      <c r="H1935" s="1"/>
    </row>
    <row r="1936" spans="1:8" x14ac:dyDescent="0.35">
      <c r="A1936" s="21"/>
      <c r="B1936" t="s">
        <v>28</v>
      </c>
      <c r="C1936" t="s">
        <v>6</v>
      </c>
      <c r="D1936" t="s">
        <v>705</v>
      </c>
      <c r="E1936" t="s">
        <v>1168</v>
      </c>
      <c r="F1936" s="1">
        <v>45954</v>
      </c>
      <c r="G1936" t="str">
        <f>IF(Table3[[#This Row],[Top Parent Account]]="",Table3[[#This Row],[Account Legal Name]],Table3[[#This Row],[Top Parent Account]])</f>
        <v>Transportes México Laguna</v>
      </c>
      <c r="H1936" s="1"/>
    </row>
    <row r="1937" spans="1:8" x14ac:dyDescent="0.35">
      <c r="A1937" s="21"/>
      <c r="B1937" t="s">
        <v>3092</v>
      </c>
      <c r="C1937" t="s">
        <v>22</v>
      </c>
      <c r="D1937" t="s">
        <v>3954</v>
      </c>
      <c r="E1937" t="s">
        <v>3955</v>
      </c>
      <c r="F1937" s="1">
        <v>45954</v>
      </c>
      <c r="G1937" t="str">
        <f>IF(Table3[[#This Row],[Top Parent Account]]="",Table3[[#This Row],[Account Legal Name]],Table3[[#This Row],[Top Parent Account]])</f>
        <v>Fletera De Liquidos Gaal</v>
      </c>
      <c r="H1937" s="1"/>
    </row>
    <row r="1938" spans="1:8" x14ac:dyDescent="0.35">
      <c r="A1938" s="21"/>
      <c r="B1938" t="s">
        <v>2912</v>
      </c>
      <c r="C1938" t="s">
        <v>6</v>
      </c>
      <c r="D1938" t="s">
        <v>407</v>
      </c>
      <c r="F1938" s="1">
        <v>45954</v>
      </c>
      <c r="G1938" t="str">
        <f>IF(Table3[[#This Row],[Top Parent Account]]="",Table3[[#This Row],[Account Legal Name]],Table3[[#This Row],[Top Parent Account]])</f>
        <v>Frialsa</v>
      </c>
      <c r="H1938" s="1"/>
    </row>
    <row r="1939" spans="1:8" x14ac:dyDescent="0.35">
      <c r="A1939" s="21"/>
      <c r="B1939" t="s">
        <v>23</v>
      </c>
      <c r="C1939" t="s">
        <v>6</v>
      </c>
      <c r="D1939" t="s">
        <v>3708</v>
      </c>
      <c r="F1939" s="1">
        <v>45954</v>
      </c>
      <c r="G1939" t="str">
        <f>IF(Table3[[#This Row],[Top Parent Account]]="",Table3[[#This Row],[Account Legal Name]],Table3[[#This Row],[Top Parent Account]])</f>
        <v>COMPAÑIA CERVECERA HERCULES</v>
      </c>
      <c r="H1939" s="1"/>
    </row>
    <row r="1940" spans="1:8" x14ac:dyDescent="0.35">
      <c r="A1940" s="21"/>
      <c r="B1940" t="s">
        <v>589</v>
      </c>
      <c r="C1940" t="s">
        <v>6</v>
      </c>
      <c r="D1940" t="s">
        <v>3956</v>
      </c>
      <c r="F1940" s="1">
        <v>45954</v>
      </c>
      <c r="G1940" t="str">
        <f>IF(Table3[[#This Row],[Top Parent Account]]="",Table3[[#This Row],[Account Legal Name]],Table3[[#This Row],[Top Parent Account]])</f>
        <v>Villarreal Division Equipos</v>
      </c>
      <c r="H1940" s="1"/>
    </row>
    <row r="1941" spans="1:8" x14ac:dyDescent="0.35">
      <c r="A1941" s="21"/>
      <c r="B1941" t="s">
        <v>169</v>
      </c>
      <c r="C1941" t="s">
        <v>6</v>
      </c>
      <c r="D1941" t="s">
        <v>733</v>
      </c>
      <c r="F1941" s="1">
        <v>45954</v>
      </c>
      <c r="G1941" t="str">
        <f>IF(Table3[[#This Row],[Top Parent Account]]="",Table3[[#This Row],[Account Legal Name]],Table3[[#This Row],[Top Parent Account]])</f>
        <v>Starplast México</v>
      </c>
      <c r="H1941" s="1"/>
    </row>
    <row r="1942" spans="1:8" x14ac:dyDescent="0.35">
      <c r="A1942" s="21"/>
      <c r="B1942" t="s">
        <v>26</v>
      </c>
      <c r="C1942" t="s">
        <v>6</v>
      </c>
      <c r="D1942" t="s">
        <v>3957</v>
      </c>
      <c r="F1942" s="1">
        <v>45954</v>
      </c>
      <c r="G1942" t="str">
        <f>IF(Table3[[#This Row],[Top Parent Account]]="",Table3[[#This Row],[Account Legal Name]],Table3[[#This Row],[Top Parent Account]])</f>
        <v>Huf México</v>
      </c>
      <c r="H1942" s="1"/>
    </row>
    <row r="1943" spans="1:8" x14ac:dyDescent="0.35">
      <c r="A1943" s="21"/>
      <c r="B1943" t="s">
        <v>2345</v>
      </c>
      <c r="C1943" t="s">
        <v>6</v>
      </c>
      <c r="D1943" t="s">
        <v>1093</v>
      </c>
      <c r="F1943" s="1">
        <v>45954</v>
      </c>
      <c r="G1943" t="str">
        <f>IF(Table3[[#This Row],[Top Parent Account]]="",Table3[[#This Row],[Account Legal Name]],Table3[[#This Row],[Top Parent Account]])</f>
        <v>Nb Foods</v>
      </c>
      <c r="H1943" s="1"/>
    </row>
    <row r="1944" spans="1:8" x14ac:dyDescent="0.35">
      <c r="A1944" s="21"/>
      <c r="B1944" t="s">
        <v>3628</v>
      </c>
      <c r="C1944" t="s">
        <v>6</v>
      </c>
      <c r="D1944" t="s">
        <v>3937</v>
      </c>
      <c r="F1944" s="1">
        <v>45954</v>
      </c>
      <c r="G1944" t="str">
        <f>IF(Table3[[#This Row],[Top Parent Account]]="",Table3[[#This Row],[Account Legal Name]],Table3[[#This Row],[Top Parent Account]])</f>
        <v>Industria Sigrama</v>
      </c>
      <c r="H1944" s="1"/>
    </row>
    <row r="1945" spans="1:8" x14ac:dyDescent="0.35">
      <c r="A1945" s="21"/>
      <c r="B1945" t="s">
        <v>3093</v>
      </c>
      <c r="C1945" t="s">
        <v>6</v>
      </c>
      <c r="D1945" t="s">
        <v>3958</v>
      </c>
      <c r="F1945" s="1">
        <v>45954</v>
      </c>
      <c r="G1945" t="str">
        <f>IF(Table3[[#This Row],[Top Parent Account]]="",Table3[[#This Row],[Account Legal Name]],Table3[[#This Row],[Top Parent Account]])</f>
        <v>Carvajal</v>
      </c>
      <c r="H1945" s="1"/>
    </row>
    <row r="1946" spans="1:8" x14ac:dyDescent="0.35">
      <c r="A1946" s="21"/>
      <c r="B1946" t="s">
        <v>12</v>
      </c>
      <c r="C1946" t="s">
        <v>6</v>
      </c>
      <c r="D1946" t="s">
        <v>1217</v>
      </c>
      <c r="F1946" s="1">
        <v>45954</v>
      </c>
      <c r="G1946" t="str">
        <f>IF(Table3[[#This Row],[Top Parent Account]]="",Table3[[#This Row],[Account Legal Name]],Table3[[#This Row],[Top Parent Account]])</f>
        <v>COMERCIALIZADORA EL SURCO</v>
      </c>
      <c r="H1946" s="1"/>
    </row>
    <row r="1947" spans="1:8" x14ac:dyDescent="0.35">
      <c r="A1947" s="21"/>
      <c r="B1947" t="s">
        <v>2693</v>
      </c>
      <c r="C1947" t="s">
        <v>6</v>
      </c>
      <c r="D1947" t="s">
        <v>3642</v>
      </c>
      <c r="F1947" s="1">
        <v>45954</v>
      </c>
      <c r="G1947" t="str">
        <f>IF(Table3[[#This Row],[Top Parent Account]]="",Table3[[#This Row],[Account Legal Name]],Table3[[#This Row],[Top Parent Account]])</f>
        <v>GRUPO DIECAST MEXICO</v>
      </c>
      <c r="H1947" s="1"/>
    </row>
    <row r="1948" spans="1:8" x14ac:dyDescent="0.35">
      <c r="A1948" s="21"/>
      <c r="B1948" t="s">
        <v>169</v>
      </c>
      <c r="C1948" t="s">
        <v>6</v>
      </c>
      <c r="D1948" t="s">
        <v>352</v>
      </c>
      <c r="F1948" s="1">
        <v>45954</v>
      </c>
      <c r="G1948" t="str">
        <f>IF(Table3[[#This Row],[Top Parent Account]]="",Table3[[#This Row],[Account Legal Name]],Table3[[#This Row],[Top Parent Account]])</f>
        <v>EDUARDO CORTES AYALA</v>
      </c>
      <c r="H1948" s="1"/>
    </row>
    <row r="1949" spans="1:8" x14ac:dyDescent="0.35">
      <c r="A1949" s="21"/>
      <c r="B1949" t="s">
        <v>1511</v>
      </c>
      <c r="C1949" t="s">
        <v>6</v>
      </c>
      <c r="D1949" t="s">
        <v>3444</v>
      </c>
      <c r="F1949" s="1">
        <v>45954</v>
      </c>
      <c r="G1949" t="str">
        <f>IF(Table3[[#This Row],[Top Parent Account]]="",Table3[[#This Row],[Account Legal Name]],Table3[[#This Row],[Top Parent Account]])</f>
        <v>Madero Equipos De Ordeño</v>
      </c>
      <c r="H1949" s="1"/>
    </row>
    <row r="1950" spans="1:8" x14ac:dyDescent="0.35">
      <c r="A1950" s="21"/>
      <c r="B1950" t="s">
        <v>26</v>
      </c>
      <c r="C1950" t="s">
        <v>6</v>
      </c>
      <c r="D1950" t="s">
        <v>3973</v>
      </c>
      <c r="F1950" s="1">
        <v>45954</v>
      </c>
      <c r="G1950" t="str">
        <f>IF(Table3[[#This Row],[Top Parent Account]]="",Table3[[#This Row],[Account Legal Name]],Table3[[#This Row],[Top Parent Account]])</f>
        <v>Grupo Agropecuario Avicola Johnny</v>
      </c>
      <c r="H1950" s="1"/>
    </row>
    <row r="1951" spans="1:8" x14ac:dyDescent="0.35">
      <c r="A1951" s="21"/>
      <c r="B1951" t="s">
        <v>2884</v>
      </c>
      <c r="C1951" t="s">
        <v>6</v>
      </c>
      <c r="D1951" t="s">
        <v>1044</v>
      </c>
      <c r="F1951" s="1">
        <v>45953</v>
      </c>
      <c r="G1951" t="str">
        <f>IF(Table3[[#This Row],[Top Parent Account]]="",Table3[[#This Row],[Account Legal Name]],Table3[[#This Row],[Top Parent Account]])</f>
        <v>MONTAJES INDUSTRIALES MYCA</v>
      </c>
      <c r="H1951" s="1"/>
    </row>
    <row r="1952" spans="1:8" x14ac:dyDescent="0.35">
      <c r="A1952" s="21"/>
      <c r="B1952" t="s">
        <v>25</v>
      </c>
      <c r="C1952" t="s">
        <v>6</v>
      </c>
      <c r="D1952" t="s">
        <v>3890</v>
      </c>
      <c r="F1952" s="1">
        <v>45953</v>
      </c>
      <c r="G1952" t="str">
        <f>IF(Table3[[#This Row],[Top Parent Account]]="",Table3[[#This Row],[Account Legal Name]],Table3[[#This Row],[Top Parent Account]])</f>
        <v>Gendifar</v>
      </c>
      <c r="H1952" s="1"/>
    </row>
    <row r="1953" spans="1:8" x14ac:dyDescent="0.35">
      <c r="A1953" s="21"/>
      <c r="B1953" t="s">
        <v>3182</v>
      </c>
      <c r="C1953" t="s">
        <v>22</v>
      </c>
      <c r="D1953" t="s">
        <v>480</v>
      </c>
      <c r="F1953" s="1">
        <v>45953</v>
      </c>
      <c r="G1953" t="str">
        <f>IF(Table3[[#This Row],[Top Parent Account]]="",Table3[[#This Row],[Account Legal Name]],Table3[[#This Row],[Top Parent Account]])</f>
        <v>Minera Media Luna</v>
      </c>
      <c r="H1953" s="1"/>
    </row>
    <row r="1954" spans="1:8" x14ac:dyDescent="0.35">
      <c r="A1954" s="21"/>
      <c r="B1954" t="s">
        <v>1006</v>
      </c>
      <c r="C1954" t="s">
        <v>6</v>
      </c>
      <c r="D1954" t="s">
        <v>3039</v>
      </c>
      <c r="F1954" s="1">
        <v>45953</v>
      </c>
      <c r="G1954" t="str">
        <f>IF(Table3[[#This Row],[Top Parent Account]]="",Table3[[#This Row],[Account Legal Name]],Table3[[#This Row],[Top Parent Account]])</f>
        <v>Hospital San José Zamora</v>
      </c>
      <c r="H1954" s="1"/>
    </row>
    <row r="1955" spans="1:8" x14ac:dyDescent="0.35">
      <c r="A1955" s="21"/>
      <c r="B1955" t="s">
        <v>38</v>
      </c>
      <c r="C1955" t="s">
        <v>6</v>
      </c>
      <c r="D1955" t="s">
        <v>1073</v>
      </c>
      <c r="F1955" s="1">
        <v>45953</v>
      </c>
      <c r="G1955" t="str">
        <f>IF(Table3[[#This Row],[Top Parent Account]]="",Table3[[#This Row],[Account Legal Name]],Table3[[#This Row],[Top Parent Account]])</f>
        <v>Ronal Mexicana</v>
      </c>
      <c r="H1955" s="1"/>
    </row>
    <row r="1956" spans="1:8" x14ac:dyDescent="0.35">
      <c r="A1956" s="21"/>
      <c r="B1956" t="s">
        <v>3553</v>
      </c>
      <c r="C1956" t="s">
        <v>6</v>
      </c>
      <c r="D1956" t="s">
        <v>3891</v>
      </c>
      <c r="F1956" s="1">
        <v>45953</v>
      </c>
      <c r="G1956" t="str">
        <f>IF(Table3[[#This Row],[Top Parent Account]]="",Table3[[#This Row],[Account Legal Name]],Table3[[#This Row],[Top Parent Account]])</f>
        <v>COFREMEX</v>
      </c>
      <c r="H1956" s="1"/>
    </row>
    <row r="1957" spans="1:8" x14ac:dyDescent="0.35">
      <c r="A1957" s="21"/>
      <c r="B1957" t="s">
        <v>37</v>
      </c>
      <c r="C1957" t="s">
        <v>6</v>
      </c>
      <c r="D1957" t="s">
        <v>3892</v>
      </c>
      <c r="F1957" s="1">
        <v>45953</v>
      </c>
      <c r="G1957" t="str">
        <f>IF(Table3[[#This Row],[Top Parent Account]]="",Table3[[#This Row],[Account Legal Name]],Table3[[#This Row],[Top Parent Account]])</f>
        <v>Sunworks</v>
      </c>
      <c r="H1957" s="1"/>
    </row>
    <row r="1958" spans="1:8" x14ac:dyDescent="0.35">
      <c r="A1958" s="21"/>
      <c r="B1958" t="s">
        <v>88</v>
      </c>
      <c r="C1958" t="s">
        <v>6</v>
      </c>
      <c r="D1958" t="s">
        <v>234</v>
      </c>
      <c r="F1958" s="1">
        <v>45953</v>
      </c>
      <c r="G1958" t="str">
        <f>IF(Table3[[#This Row],[Top Parent Account]]="",Table3[[#This Row],[Account Legal Name]],Table3[[#This Row],[Top Parent Account]])</f>
        <v>Miel Norteña</v>
      </c>
      <c r="H1958" s="1"/>
    </row>
    <row r="1959" spans="1:8" x14ac:dyDescent="0.35">
      <c r="A1959" s="21"/>
      <c r="B1959" t="s">
        <v>172</v>
      </c>
      <c r="C1959" t="s">
        <v>6</v>
      </c>
      <c r="D1959" t="s">
        <v>3959</v>
      </c>
      <c r="E1959" t="s">
        <v>3960</v>
      </c>
      <c r="F1959" s="1">
        <v>45953</v>
      </c>
      <c r="G1959" t="str">
        <f>IF(Table3[[#This Row],[Top Parent Account]]="",Table3[[#This Row],[Account Legal Name]],Table3[[#This Row],[Top Parent Account]])</f>
        <v>Transportes Loro</v>
      </c>
      <c r="H1959" s="1"/>
    </row>
    <row r="1960" spans="1:8" x14ac:dyDescent="0.35">
      <c r="A1960" s="21"/>
      <c r="B1960" t="s">
        <v>88</v>
      </c>
      <c r="C1960" t="s">
        <v>6</v>
      </c>
      <c r="D1960" t="s">
        <v>913</v>
      </c>
      <c r="F1960" s="1">
        <v>45953</v>
      </c>
      <c r="G1960" t="str">
        <f>IF(Table3[[#This Row],[Top Parent Account]]="",Table3[[#This Row],[Account Legal Name]],Table3[[#This Row],[Top Parent Account]])</f>
        <v>H&amp;G MORELS SERVICIOS Y SUMINISTROS INTEGRALES</v>
      </c>
      <c r="H1960" s="1"/>
    </row>
    <row r="1961" spans="1:8" x14ac:dyDescent="0.35">
      <c r="A1961" s="21"/>
      <c r="B1961" t="s">
        <v>1511</v>
      </c>
      <c r="C1961" t="s">
        <v>6</v>
      </c>
      <c r="D1961" t="s">
        <v>3173</v>
      </c>
      <c r="F1961" s="1">
        <v>45953</v>
      </c>
      <c r="G1961" t="str">
        <f>IF(Table3[[#This Row],[Top Parent Account]]="",Table3[[#This Row],[Account Legal Name]],Table3[[#This Row],[Top Parent Account]])</f>
        <v>Toreo Motors</v>
      </c>
      <c r="H1961" s="1"/>
    </row>
    <row r="1962" spans="1:8" x14ac:dyDescent="0.35">
      <c r="A1962" s="21"/>
      <c r="B1962" t="s">
        <v>28</v>
      </c>
      <c r="C1962" t="s">
        <v>6</v>
      </c>
      <c r="D1962" t="s">
        <v>1369</v>
      </c>
      <c r="F1962" s="1">
        <v>45953</v>
      </c>
      <c r="G1962" t="str">
        <f>IF(Table3[[#This Row],[Top Parent Account]]="",Table3[[#This Row],[Account Legal Name]],Table3[[#This Row],[Top Parent Account]])</f>
        <v>Compania Constructora</v>
      </c>
      <c r="H1962" s="1"/>
    </row>
    <row r="1963" spans="1:8" x14ac:dyDescent="0.35">
      <c r="A1963" s="21"/>
      <c r="B1963" t="s">
        <v>14</v>
      </c>
      <c r="C1963" t="s">
        <v>6</v>
      </c>
      <c r="D1963" t="s">
        <v>3893</v>
      </c>
      <c r="F1963" s="1">
        <v>45953</v>
      </c>
      <c r="G1963" t="str">
        <f>IF(Table3[[#This Row],[Top Parent Account]]="",Table3[[#This Row],[Account Legal Name]],Table3[[#This Row],[Top Parent Account]])</f>
        <v>SILBEC Technology Group</v>
      </c>
      <c r="H1963" s="1"/>
    </row>
    <row r="1964" spans="1:8" x14ac:dyDescent="0.35">
      <c r="A1964" s="21"/>
      <c r="B1964" t="s">
        <v>3114</v>
      </c>
      <c r="C1964" t="s">
        <v>52</v>
      </c>
      <c r="D1964" t="s">
        <v>3894</v>
      </c>
      <c r="E1964" t="s">
        <v>3895</v>
      </c>
      <c r="F1964" s="1">
        <v>45953</v>
      </c>
      <c r="G1964" t="str">
        <f>IF(Table3[[#This Row],[Top Parent Account]]="",Table3[[#This Row],[Account Legal Name]],Table3[[#This Row],[Top Parent Account]])</f>
        <v>Trans-Energeticos</v>
      </c>
      <c r="H1964" s="1"/>
    </row>
    <row r="1965" spans="1:8" x14ac:dyDescent="0.35">
      <c r="A1965" s="21"/>
      <c r="B1965" t="s">
        <v>925</v>
      </c>
      <c r="C1965" t="s">
        <v>6</v>
      </c>
      <c r="D1965" t="s">
        <v>2913</v>
      </c>
      <c r="F1965" s="1">
        <v>45953</v>
      </c>
      <c r="G1965" t="str">
        <f>IF(Table3[[#This Row],[Top Parent Account]]="",Table3[[#This Row],[Account Legal Name]],Table3[[#This Row],[Top Parent Account]])</f>
        <v>Organo Sintesis</v>
      </c>
      <c r="H1965" s="1"/>
    </row>
    <row r="1966" spans="1:8" x14ac:dyDescent="0.35">
      <c r="A1966" s="21"/>
      <c r="B1966" t="s">
        <v>3553</v>
      </c>
      <c r="C1966" t="s">
        <v>6</v>
      </c>
      <c r="D1966" t="s">
        <v>3640</v>
      </c>
      <c r="F1966" s="1">
        <v>45953</v>
      </c>
      <c r="G1966" t="str">
        <f>IF(Table3[[#This Row],[Top Parent Account]]="",Table3[[#This Row],[Account Legal Name]],Table3[[#This Row],[Top Parent Account]])</f>
        <v>FC FASHION</v>
      </c>
      <c r="H1966" s="1"/>
    </row>
    <row r="1967" spans="1:8" x14ac:dyDescent="0.35">
      <c r="A1967" s="21"/>
      <c r="B1967" t="s">
        <v>375</v>
      </c>
      <c r="C1967" t="s">
        <v>6</v>
      </c>
      <c r="D1967" t="s">
        <v>1279</v>
      </c>
      <c r="F1967" s="1">
        <v>45953</v>
      </c>
      <c r="G1967" t="str">
        <f>IF(Table3[[#This Row],[Top Parent Account]]="",Table3[[#This Row],[Account Legal Name]],Table3[[#This Row],[Top Parent Account]])</f>
        <v>Supervisión Técnica del Norte</v>
      </c>
      <c r="H1967" s="1"/>
    </row>
    <row r="1968" spans="1:8" x14ac:dyDescent="0.35">
      <c r="A1968" s="21"/>
      <c r="B1968" t="s">
        <v>26</v>
      </c>
      <c r="C1968" t="s">
        <v>33</v>
      </c>
      <c r="D1968" t="s">
        <v>3896</v>
      </c>
      <c r="F1968" s="1">
        <v>45953</v>
      </c>
      <c r="G1968" t="str">
        <f>IF(Table3[[#This Row],[Top Parent Account]]="",Table3[[#This Row],[Account Legal Name]],Table3[[#This Row],[Top Parent Account]])</f>
        <v>Cipsa Industrias</v>
      </c>
      <c r="H1968" s="1"/>
    </row>
    <row r="1969" spans="1:8" x14ac:dyDescent="0.35">
      <c r="A1969" s="21"/>
      <c r="B1969" t="s">
        <v>38</v>
      </c>
      <c r="C1969" t="s">
        <v>6</v>
      </c>
      <c r="D1969" t="s">
        <v>505</v>
      </c>
      <c r="F1969" s="1">
        <v>45953</v>
      </c>
      <c r="G1969" t="str">
        <f>IF(Table3[[#This Row],[Top Parent Account]]="",Table3[[#This Row],[Account Legal Name]],Table3[[#This Row],[Top Parent Account]])</f>
        <v>Grupo Solave (Antes Mieles Campos Azules)</v>
      </c>
      <c r="H1969" s="1"/>
    </row>
    <row r="1970" spans="1:8" x14ac:dyDescent="0.35">
      <c r="A1970" s="21"/>
      <c r="B1970" t="s">
        <v>14</v>
      </c>
      <c r="C1970" t="s">
        <v>6</v>
      </c>
      <c r="D1970" t="s">
        <v>3897</v>
      </c>
      <c r="F1970" s="1">
        <v>45953</v>
      </c>
      <c r="G1970" t="str">
        <f>IF(Table3[[#This Row],[Top Parent Account]]="",Table3[[#This Row],[Account Legal Name]],Table3[[#This Row],[Top Parent Account]])</f>
        <v>GRUPO FENEVI</v>
      </c>
      <c r="H1970" s="1"/>
    </row>
    <row r="1971" spans="1:8" x14ac:dyDescent="0.35">
      <c r="A1971" s="21"/>
      <c r="B1971" t="s">
        <v>3182</v>
      </c>
      <c r="C1971" t="s">
        <v>22</v>
      </c>
      <c r="D1971" t="s">
        <v>3396</v>
      </c>
      <c r="E1971" t="s">
        <v>3397</v>
      </c>
      <c r="F1971" s="1">
        <v>45953</v>
      </c>
      <c r="G1971" t="str">
        <f>IF(Table3[[#This Row],[Top Parent Account]]="",Table3[[#This Row],[Account Legal Name]],Table3[[#This Row],[Top Parent Account]])</f>
        <v>FarmAmigo</v>
      </c>
      <c r="H1971" s="1"/>
    </row>
    <row r="1972" spans="1:8" x14ac:dyDescent="0.35">
      <c r="A1972" s="21"/>
      <c r="B1972" t="s">
        <v>1511</v>
      </c>
      <c r="C1972" t="s">
        <v>6</v>
      </c>
      <c r="D1972" t="s">
        <v>436</v>
      </c>
      <c r="F1972" s="1">
        <v>45953</v>
      </c>
      <c r="G1972" t="str">
        <f>IF(Table3[[#This Row],[Top Parent Account]]="",Table3[[#This Row],[Account Legal Name]],Table3[[#This Row],[Top Parent Account]])</f>
        <v>Plastiexports</v>
      </c>
      <c r="H1972" s="1"/>
    </row>
    <row r="1973" spans="1:8" x14ac:dyDescent="0.35">
      <c r="A1973" s="21"/>
      <c r="B1973" t="s">
        <v>1511</v>
      </c>
      <c r="C1973" t="s">
        <v>6</v>
      </c>
      <c r="D1973" t="s">
        <v>1775</v>
      </c>
      <c r="F1973" s="1">
        <v>45953</v>
      </c>
      <c r="G1973" t="str">
        <f>IF(Table3[[#This Row],[Top Parent Account]]="",Table3[[#This Row],[Account Legal Name]],Table3[[#This Row],[Top Parent Account]])</f>
        <v>Transportes De Los Santos</v>
      </c>
      <c r="H1973" s="1"/>
    </row>
    <row r="1974" spans="1:8" x14ac:dyDescent="0.35">
      <c r="A1974" s="21"/>
      <c r="B1974" t="s">
        <v>3628</v>
      </c>
      <c r="C1974" t="s">
        <v>6</v>
      </c>
      <c r="D1974" t="s">
        <v>3961</v>
      </c>
      <c r="F1974" s="1">
        <v>45953</v>
      </c>
      <c r="G1974" t="str">
        <f>IF(Table3[[#This Row],[Top Parent Account]]="",Table3[[#This Row],[Account Legal Name]],Table3[[#This Row],[Top Parent Account]])</f>
        <v>Americas Mach Latam</v>
      </c>
      <c r="H1974" s="1"/>
    </row>
    <row r="1975" spans="1:8" x14ac:dyDescent="0.35">
      <c r="A1975" s="21"/>
      <c r="B1975" t="s">
        <v>207</v>
      </c>
      <c r="C1975" t="s">
        <v>6</v>
      </c>
      <c r="D1975" t="s">
        <v>3898</v>
      </c>
      <c r="F1975" s="1">
        <v>45953</v>
      </c>
      <c r="G1975" t="str">
        <f>IF(Table3[[#This Row],[Top Parent Account]]="",Table3[[#This Row],[Account Legal Name]],Table3[[#This Row],[Top Parent Account]])</f>
        <v>Jocar Products</v>
      </c>
      <c r="H1975" s="1"/>
    </row>
    <row r="1976" spans="1:8" x14ac:dyDescent="0.35">
      <c r="A1976" s="21"/>
      <c r="B1976" t="s">
        <v>3175</v>
      </c>
      <c r="C1976" t="s">
        <v>6</v>
      </c>
      <c r="D1976" t="s">
        <v>1186</v>
      </c>
      <c r="F1976" s="1">
        <v>45953</v>
      </c>
      <c r="G1976" t="str">
        <f>IF(Table3[[#This Row],[Top Parent Account]]="",Table3[[#This Row],[Account Legal Name]],Table3[[#This Row],[Top Parent Account]])</f>
        <v>Grupo Amaya Astron</v>
      </c>
      <c r="H1976" s="1"/>
    </row>
    <row r="1977" spans="1:8" x14ac:dyDescent="0.35">
      <c r="A1977" s="21"/>
      <c r="B1977" t="s">
        <v>116</v>
      </c>
      <c r="C1977" t="s">
        <v>6</v>
      </c>
      <c r="D1977" t="s">
        <v>3962</v>
      </c>
      <c r="F1977" s="1">
        <v>45953</v>
      </c>
      <c r="G1977" t="str">
        <f>IF(Table3[[#This Row],[Top Parent Account]]="",Table3[[#This Row],[Account Legal Name]],Table3[[#This Row],[Top Parent Account]])</f>
        <v>Surtidora Del Bajío</v>
      </c>
      <c r="H1977" s="1"/>
    </row>
    <row r="1978" spans="1:8" x14ac:dyDescent="0.35">
      <c r="A1978" s="21"/>
      <c r="B1978" t="s">
        <v>3182</v>
      </c>
      <c r="C1978" t="s">
        <v>6</v>
      </c>
      <c r="D1978" t="s">
        <v>408</v>
      </c>
      <c r="E1978" t="s">
        <v>31</v>
      </c>
      <c r="F1978" s="1">
        <v>45953</v>
      </c>
      <c r="G1978" t="str">
        <f>IF(Table3[[#This Row],[Top Parent Account]]="",Table3[[#This Row],[Account Legal Name]],Table3[[#This Row],[Top Parent Account]])</f>
        <v>Novatec Pagani</v>
      </c>
      <c r="H1978" s="1"/>
    </row>
    <row r="1979" spans="1:8" x14ac:dyDescent="0.35">
      <c r="A1979" s="21"/>
      <c r="B1979" t="s">
        <v>3114</v>
      </c>
      <c r="C1979" t="s">
        <v>52</v>
      </c>
      <c r="D1979" t="s">
        <v>1661</v>
      </c>
      <c r="F1979" s="1">
        <v>45953</v>
      </c>
      <c r="G1979" t="str">
        <f>IF(Table3[[#This Row],[Top Parent Account]]="",Table3[[#This Row],[Account Legal Name]],Table3[[#This Row],[Top Parent Account]])</f>
        <v>Procesadora La Nogalera</v>
      </c>
      <c r="H1979" s="1"/>
    </row>
    <row r="1980" spans="1:8" x14ac:dyDescent="0.35">
      <c r="A1980" s="21"/>
      <c r="B1980" t="s">
        <v>116</v>
      </c>
      <c r="C1980" t="s">
        <v>6</v>
      </c>
      <c r="D1980" t="s">
        <v>638</v>
      </c>
      <c r="F1980" s="1">
        <v>45953</v>
      </c>
      <c r="G1980" t="str">
        <f>IF(Table3[[#This Row],[Top Parent Account]]="",Table3[[#This Row],[Account Legal Name]],Table3[[#This Row],[Top Parent Account]])</f>
        <v>Natural de Alimentos</v>
      </c>
      <c r="H1980" s="1"/>
    </row>
    <row r="1981" spans="1:8" x14ac:dyDescent="0.35">
      <c r="A1981" s="21"/>
      <c r="B1981" t="s">
        <v>39</v>
      </c>
      <c r="C1981" t="s">
        <v>3899</v>
      </c>
      <c r="D1981" t="s">
        <v>3754</v>
      </c>
      <c r="F1981" s="1">
        <v>45953</v>
      </c>
      <c r="G1981" t="str">
        <f>IF(Table3[[#This Row],[Top Parent Account]]="",Table3[[#This Row],[Account Legal Name]],Table3[[#This Row],[Top Parent Account]])</f>
        <v>Minera Autlan</v>
      </c>
      <c r="H1981" s="1"/>
    </row>
    <row r="1982" spans="1:8" x14ac:dyDescent="0.35">
      <c r="A1982" s="21"/>
      <c r="B1982" t="s">
        <v>3114</v>
      </c>
      <c r="C1982" t="s">
        <v>6</v>
      </c>
      <c r="D1982" t="s">
        <v>3237</v>
      </c>
      <c r="F1982" s="1">
        <v>45953</v>
      </c>
      <c r="G1982" t="str">
        <f>IF(Table3[[#This Row],[Top Parent Account]]="",Table3[[#This Row],[Account Legal Name]],Table3[[#This Row],[Top Parent Account]])</f>
        <v>Ranchacero</v>
      </c>
      <c r="H1982" s="1"/>
    </row>
    <row r="1983" spans="1:8" x14ac:dyDescent="0.35">
      <c r="A1983" s="21"/>
      <c r="B1983" t="s">
        <v>3628</v>
      </c>
      <c r="C1983" t="s">
        <v>6</v>
      </c>
      <c r="D1983" t="s">
        <v>3871</v>
      </c>
      <c r="F1983" s="1">
        <v>45953</v>
      </c>
      <c r="G1983" t="str">
        <f>IF(Table3[[#This Row],[Top Parent Account]]="",Table3[[#This Row],[Account Legal Name]],Table3[[#This Row],[Top Parent Account]])</f>
        <v>Industrial &amp; Mining Solution</v>
      </c>
      <c r="H1983" s="1"/>
    </row>
    <row r="1984" spans="1:8" x14ac:dyDescent="0.35">
      <c r="A1984" s="21"/>
      <c r="B1984" t="s">
        <v>169</v>
      </c>
      <c r="C1984" t="s">
        <v>6</v>
      </c>
      <c r="D1984" t="s">
        <v>2234</v>
      </c>
      <c r="F1984" s="1">
        <v>45953</v>
      </c>
      <c r="G1984" t="str">
        <f>IF(Table3[[#This Row],[Top Parent Account]]="",Table3[[#This Row],[Account Legal Name]],Table3[[#This Row],[Top Parent Account]])</f>
        <v>Modelos yasiro</v>
      </c>
      <c r="H1984" s="1"/>
    </row>
    <row r="1985" spans="1:8" x14ac:dyDescent="0.35">
      <c r="A1985" s="21"/>
      <c r="B1985" t="s">
        <v>169</v>
      </c>
      <c r="C1985" t="s">
        <v>6</v>
      </c>
      <c r="D1985" t="s">
        <v>2474</v>
      </c>
      <c r="F1985" s="1">
        <v>45953</v>
      </c>
      <c r="G1985" t="str">
        <f>IF(Table3[[#This Row],[Top Parent Account]]="",Table3[[#This Row],[Account Legal Name]],Table3[[#This Row],[Top Parent Account]])</f>
        <v>Embotelladora Mayol</v>
      </c>
      <c r="H1985" s="1"/>
    </row>
    <row r="1986" spans="1:8" x14ac:dyDescent="0.35">
      <c r="A1986" s="21"/>
      <c r="B1986" t="s">
        <v>970</v>
      </c>
      <c r="C1986" t="s">
        <v>6</v>
      </c>
      <c r="D1986" t="s">
        <v>658</v>
      </c>
      <c r="F1986" s="1">
        <v>45953</v>
      </c>
      <c r="G1986" t="str">
        <f>IF(Table3[[#This Row],[Top Parent Account]]="",Table3[[#This Row],[Account Legal Name]],Table3[[#This Row],[Top Parent Account]])</f>
        <v>SUPER FLAMA</v>
      </c>
      <c r="H1986" s="1"/>
    </row>
    <row r="1987" spans="1:8" x14ac:dyDescent="0.35">
      <c r="A1987" s="21"/>
      <c r="B1987" t="s">
        <v>38</v>
      </c>
      <c r="C1987" t="s">
        <v>6</v>
      </c>
      <c r="D1987" t="s">
        <v>3462</v>
      </c>
      <c r="F1987" s="1">
        <v>45953</v>
      </c>
      <c r="G1987" t="str">
        <f>IF(Table3[[#This Row],[Top Parent Account]]="",Table3[[#This Row],[Account Legal Name]],Table3[[#This Row],[Top Parent Account]])</f>
        <v>Productos Alimenticios Dieteticos Relampago</v>
      </c>
      <c r="H1987" s="1"/>
    </row>
    <row r="1988" spans="1:8" x14ac:dyDescent="0.35">
      <c r="A1988" s="21"/>
      <c r="B1988" t="s">
        <v>116</v>
      </c>
      <c r="C1988" t="s">
        <v>6</v>
      </c>
      <c r="D1988" t="s">
        <v>1095</v>
      </c>
      <c r="F1988" s="1">
        <v>45953</v>
      </c>
      <c r="G1988" t="str">
        <f>IF(Table3[[#This Row],[Top Parent Account]]="",Table3[[#This Row],[Account Legal Name]],Table3[[#This Row],[Top Parent Account]])</f>
        <v>Pilgrims Pride</v>
      </c>
      <c r="H1988" s="1"/>
    </row>
    <row r="1989" spans="1:8" x14ac:dyDescent="0.35">
      <c r="A1989" s="21"/>
      <c r="B1989" t="s">
        <v>10</v>
      </c>
      <c r="C1989" t="s">
        <v>6</v>
      </c>
      <c r="D1989" t="s">
        <v>3900</v>
      </c>
      <c r="F1989" s="1">
        <v>45953</v>
      </c>
      <c r="G1989" t="str">
        <f>IF(Table3[[#This Row],[Top Parent Account]]="",Table3[[#This Row],[Account Legal Name]],Table3[[#This Row],[Top Parent Account]])</f>
        <v>Distribuidora de Equipo Médico e Industrial de México</v>
      </c>
      <c r="H1989" s="1"/>
    </row>
    <row r="1990" spans="1:8" x14ac:dyDescent="0.35">
      <c r="A1990" s="21"/>
      <c r="B1990" t="s">
        <v>23</v>
      </c>
      <c r="C1990" t="s">
        <v>6</v>
      </c>
      <c r="D1990" t="s">
        <v>3767</v>
      </c>
      <c r="F1990" s="1">
        <v>45952</v>
      </c>
      <c r="G1990" t="str">
        <f>IF(Table3[[#This Row],[Top Parent Account]]="",Table3[[#This Row],[Account Legal Name]],Table3[[#This Row],[Top Parent Account]])</f>
        <v>Comercializadora del Bajío Sitrak</v>
      </c>
      <c r="H1990" s="1"/>
    </row>
    <row r="1991" spans="1:8" x14ac:dyDescent="0.35">
      <c r="A1991" s="21"/>
      <c r="B1991" t="s">
        <v>70</v>
      </c>
      <c r="C1991" t="s">
        <v>6</v>
      </c>
      <c r="D1991" t="s">
        <v>3901</v>
      </c>
      <c r="F1991" s="1">
        <v>45952</v>
      </c>
      <c r="G1991" t="str">
        <f>IF(Table3[[#This Row],[Top Parent Account]]="",Table3[[#This Row],[Account Legal Name]],Table3[[#This Row],[Top Parent Account]])</f>
        <v>Sermedicar</v>
      </c>
      <c r="H1991" s="1"/>
    </row>
    <row r="1992" spans="1:8" x14ac:dyDescent="0.35">
      <c r="A1992" s="21"/>
      <c r="B1992" t="s">
        <v>989</v>
      </c>
      <c r="C1992" t="s">
        <v>6</v>
      </c>
      <c r="D1992" t="s">
        <v>3974</v>
      </c>
      <c r="F1992" s="1">
        <v>45952</v>
      </c>
      <c r="G1992" t="str">
        <f>IF(Table3[[#This Row],[Top Parent Account]]="",Table3[[#This Row],[Account Legal Name]],Table3[[#This Row],[Top Parent Account]])</f>
        <v>Industrias ARC</v>
      </c>
      <c r="H1992" s="1"/>
    </row>
    <row r="1993" spans="1:8" x14ac:dyDescent="0.35">
      <c r="A1993" s="21"/>
      <c r="B1993" t="s">
        <v>12</v>
      </c>
      <c r="C1993" t="s">
        <v>6</v>
      </c>
      <c r="D1993" t="s">
        <v>557</v>
      </c>
      <c r="F1993" s="1">
        <v>45952</v>
      </c>
      <c r="G1993" t="str">
        <f>IF(Table3[[#This Row],[Top Parent Account]]="",Table3[[#This Row],[Account Legal Name]],Table3[[#This Row],[Top Parent Account]])</f>
        <v>Celulares y Accesorios del Sureste S.A.</v>
      </c>
      <c r="H1993" s="1"/>
    </row>
    <row r="1994" spans="1:8" x14ac:dyDescent="0.35">
      <c r="A1994" s="21"/>
      <c r="B1994" t="s">
        <v>116</v>
      </c>
      <c r="C1994" t="s">
        <v>6</v>
      </c>
      <c r="D1994" t="s">
        <v>3903</v>
      </c>
      <c r="F1994" s="1">
        <v>45952</v>
      </c>
      <c r="G1994" t="str">
        <f>IF(Table3[[#This Row],[Top Parent Account]]="",Table3[[#This Row],[Account Legal Name]],Table3[[#This Row],[Top Parent Account]])</f>
        <v>Gerresheimer Queretaro</v>
      </c>
      <c r="H1994" s="1"/>
    </row>
    <row r="1995" spans="1:8" x14ac:dyDescent="0.35">
      <c r="A1995" s="21"/>
      <c r="B1995" t="s">
        <v>25</v>
      </c>
      <c r="C1995" t="s">
        <v>6</v>
      </c>
      <c r="D1995" t="s">
        <v>3904</v>
      </c>
      <c r="F1995" s="1">
        <v>45952</v>
      </c>
      <c r="G1995" t="str">
        <f>IF(Table3[[#This Row],[Top Parent Account]]="",Table3[[#This Row],[Account Legal Name]],Table3[[#This Row],[Top Parent Account]])</f>
        <v>Grupo Consulmed</v>
      </c>
      <c r="H1995" s="1"/>
    </row>
    <row r="1996" spans="1:8" x14ac:dyDescent="0.35">
      <c r="A1996" s="21"/>
      <c r="B1996" t="s">
        <v>2693</v>
      </c>
      <c r="C1996" t="s">
        <v>6</v>
      </c>
      <c r="D1996" t="s">
        <v>3468</v>
      </c>
      <c r="F1996" s="1">
        <v>45952</v>
      </c>
      <c r="G1996" t="str">
        <f>IF(Table3[[#This Row],[Top Parent Account]]="",Table3[[#This Row],[Account Legal Name]],Table3[[#This Row],[Top Parent Account]])</f>
        <v>Distribucion Organica Campo Vivo</v>
      </c>
      <c r="H1996" s="1"/>
    </row>
    <row r="1997" spans="1:8" x14ac:dyDescent="0.35">
      <c r="A1997" s="21"/>
      <c r="B1997" t="s">
        <v>3628</v>
      </c>
      <c r="C1997" t="s">
        <v>6</v>
      </c>
      <c r="D1997" t="s">
        <v>3837</v>
      </c>
      <c r="F1997" s="1">
        <v>45952</v>
      </c>
      <c r="G1997" t="str">
        <f>IF(Table3[[#This Row],[Top Parent Account]]="",Table3[[#This Row],[Account Legal Name]],Table3[[#This Row],[Top Parent Account]])</f>
        <v>Deacero</v>
      </c>
      <c r="H1997" s="1"/>
    </row>
    <row r="1998" spans="1:8" x14ac:dyDescent="0.35">
      <c r="A1998" s="21"/>
      <c r="B1998" t="s">
        <v>932</v>
      </c>
      <c r="C1998" t="s">
        <v>3905</v>
      </c>
      <c r="D1998" t="s">
        <v>944</v>
      </c>
      <c r="F1998" s="1">
        <v>45952</v>
      </c>
      <c r="G1998" t="str">
        <f>IF(Table3[[#This Row],[Top Parent Account]]="",Table3[[#This Row],[Account Legal Name]],Table3[[#This Row],[Top Parent Account]])</f>
        <v>Industrias Corrubox</v>
      </c>
      <c r="H1998" s="1"/>
    </row>
    <row r="1999" spans="1:8" x14ac:dyDescent="0.35">
      <c r="A1999" s="21"/>
      <c r="B1999" t="s">
        <v>2912</v>
      </c>
      <c r="C1999" t="s">
        <v>6</v>
      </c>
      <c r="D1999" t="s">
        <v>3505</v>
      </c>
      <c r="F1999" s="1">
        <v>45952</v>
      </c>
      <c r="G1999" t="str">
        <f>IF(Table3[[#This Row],[Top Parent Account]]="",Table3[[#This Row],[Account Legal Name]],Table3[[#This Row],[Top Parent Account]])</f>
        <v>Kua Mex Foods</v>
      </c>
      <c r="H1999" s="1"/>
    </row>
    <row r="2000" spans="1:8" x14ac:dyDescent="0.35">
      <c r="A2000" s="21"/>
      <c r="B2000" t="s">
        <v>375</v>
      </c>
      <c r="C2000" t="s">
        <v>6</v>
      </c>
      <c r="D2000" t="s">
        <v>2540</v>
      </c>
      <c r="E2000" t="s">
        <v>69</v>
      </c>
      <c r="F2000" s="1">
        <v>45952</v>
      </c>
      <c r="G2000" t="str">
        <f>IF(Table3[[#This Row],[Top Parent Account]]="",Table3[[#This Row],[Account Legal Name]],Table3[[#This Row],[Top Parent Account]])</f>
        <v>GLOBAL ARMOR</v>
      </c>
      <c r="H2000" s="1"/>
    </row>
    <row r="2001" spans="1:8" x14ac:dyDescent="0.35">
      <c r="A2001" s="21"/>
      <c r="B2001" t="s">
        <v>12</v>
      </c>
      <c r="C2001" t="s">
        <v>6</v>
      </c>
      <c r="D2001" t="s">
        <v>1134</v>
      </c>
      <c r="E2001" t="s">
        <v>1136</v>
      </c>
      <c r="F2001" s="1">
        <v>45952</v>
      </c>
      <c r="G2001" t="str">
        <f>IF(Table3[[#This Row],[Top Parent Account]]="",Table3[[#This Row],[Account Legal Name]],Table3[[#This Row],[Top Parent Account]])</f>
        <v>Grupo cardín</v>
      </c>
      <c r="H2001" s="1"/>
    </row>
    <row r="2002" spans="1:8" x14ac:dyDescent="0.35">
      <c r="A2002" s="21"/>
      <c r="B2002" t="s">
        <v>21</v>
      </c>
      <c r="C2002" t="s">
        <v>6</v>
      </c>
      <c r="D2002" t="s">
        <v>3906</v>
      </c>
      <c r="F2002" s="1">
        <v>45952</v>
      </c>
      <c r="G2002" t="str">
        <f>IF(Table3[[#This Row],[Top Parent Account]]="",Table3[[#This Row],[Account Legal Name]],Table3[[#This Row],[Top Parent Account]])</f>
        <v>ARTIC NATURE SOURCE IMPROVED PLANTS DE MÉXICO</v>
      </c>
      <c r="H2002" s="1"/>
    </row>
    <row r="2003" spans="1:8" x14ac:dyDescent="0.35">
      <c r="A2003" s="21"/>
      <c r="B2003" t="s">
        <v>121</v>
      </c>
      <c r="C2003" t="s">
        <v>6</v>
      </c>
      <c r="D2003" t="s">
        <v>3963</v>
      </c>
      <c r="F2003" s="1">
        <v>45952</v>
      </c>
      <c r="G2003" t="str">
        <f>IF(Table3[[#This Row],[Top Parent Account]]="",Table3[[#This Row],[Account Legal Name]],Table3[[#This Row],[Top Parent Account]])</f>
        <v>Grupo Marhel</v>
      </c>
      <c r="H2003" s="1"/>
    </row>
    <row r="2004" spans="1:8" x14ac:dyDescent="0.35">
      <c r="A2004" s="21"/>
      <c r="B2004" t="s">
        <v>116</v>
      </c>
      <c r="C2004" t="s">
        <v>6</v>
      </c>
      <c r="D2004" t="s">
        <v>1262</v>
      </c>
      <c r="F2004" s="1">
        <v>45952</v>
      </c>
      <c r="G2004" t="str">
        <f>IF(Table3[[#This Row],[Top Parent Account]]="",Table3[[#This Row],[Account Legal Name]],Table3[[#This Row],[Top Parent Account]])</f>
        <v>Tzinapu</v>
      </c>
      <c r="H2004" s="1"/>
    </row>
    <row r="2005" spans="1:8" x14ac:dyDescent="0.35">
      <c r="A2005" s="21"/>
      <c r="B2005" t="s">
        <v>12</v>
      </c>
      <c r="C2005" t="s">
        <v>6</v>
      </c>
      <c r="D2005" t="s">
        <v>3907</v>
      </c>
      <c r="F2005" s="1">
        <v>45952</v>
      </c>
      <c r="G2005" t="str">
        <f>IF(Table3[[#This Row],[Top Parent Account]]="",Table3[[#This Row],[Account Legal Name]],Table3[[#This Row],[Top Parent Account]])</f>
        <v>Ferromateriales Depro</v>
      </c>
      <c r="H2005" s="1"/>
    </row>
    <row r="2006" spans="1:8" x14ac:dyDescent="0.35">
      <c r="A2006" s="21"/>
      <c r="B2006" t="s">
        <v>24</v>
      </c>
      <c r="C2006" t="s">
        <v>6</v>
      </c>
      <c r="D2006" t="s">
        <v>3964</v>
      </c>
      <c r="F2006" s="1">
        <v>45952</v>
      </c>
      <c r="G2006" t="str">
        <f>IF(Table3[[#This Row],[Top Parent Account]]="",Table3[[#This Row],[Account Legal Name]],Table3[[#This Row],[Top Parent Account]])</f>
        <v>Agricola Cuchujaqui</v>
      </c>
      <c r="H2006" s="1"/>
    </row>
    <row r="2007" spans="1:8" x14ac:dyDescent="0.35">
      <c r="A2007" s="21"/>
      <c r="B2007" t="s">
        <v>28</v>
      </c>
      <c r="C2007" t="s">
        <v>6</v>
      </c>
      <c r="D2007" t="s">
        <v>3965</v>
      </c>
      <c r="F2007" s="1">
        <v>45952</v>
      </c>
      <c r="G2007" t="str">
        <f>IF(Table3[[#This Row],[Top Parent Account]]="",Table3[[#This Row],[Account Legal Name]],Table3[[#This Row],[Top Parent Account]])</f>
        <v>TRANSPORTE DE PERSONAL PEQUENA</v>
      </c>
      <c r="H2007" s="1"/>
    </row>
    <row r="2008" spans="1:8" x14ac:dyDescent="0.35">
      <c r="A2008" s="21"/>
      <c r="B2008" t="s">
        <v>14</v>
      </c>
      <c r="C2008" t="s">
        <v>6</v>
      </c>
      <c r="D2008" t="s">
        <v>3975</v>
      </c>
      <c r="F2008" s="1">
        <v>45952</v>
      </c>
      <c r="G2008" t="str">
        <f>IF(Table3[[#This Row],[Top Parent Account]]="",Table3[[#This Row],[Account Legal Name]],Table3[[#This Row],[Top Parent Account]])</f>
        <v>El Cincuenton</v>
      </c>
      <c r="H2008" s="1"/>
    </row>
    <row r="2009" spans="1:8" x14ac:dyDescent="0.35">
      <c r="A2009" s="21"/>
      <c r="B2009" t="s">
        <v>43</v>
      </c>
      <c r="C2009" t="s">
        <v>22</v>
      </c>
      <c r="D2009" t="s">
        <v>3908</v>
      </c>
      <c r="F2009" s="1">
        <v>45952</v>
      </c>
      <c r="G2009" t="str">
        <f>IF(Table3[[#This Row],[Top Parent Account]]="",Table3[[#This Row],[Account Legal Name]],Table3[[#This Row],[Top Parent Account]])</f>
        <v>Tecnologia Del Hule</v>
      </c>
      <c r="H2009" s="1"/>
    </row>
    <row r="2010" spans="1:8" x14ac:dyDescent="0.35">
      <c r="A2010" s="21"/>
      <c r="B2010" t="s">
        <v>27</v>
      </c>
      <c r="C2010" t="s">
        <v>6</v>
      </c>
      <c r="D2010" t="s">
        <v>3966</v>
      </c>
      <c r="F2010" s="1">
        <v>45952</v>
      </c>
      <c r="G2010" t="str">
        <f>IF(Table3[[#This Row],[Top Parent Account]]="",Table3[[#This Row],[Account Legal Name]],Table3[[#This Row],[Top Parent Account]])</f>
        <v>Universidad De Especialidades</v>
      </c>
      <c r="H2010" s="1"/>
    </row>
    <row r="2011" spans="1:8" x14ac:dyDescent="0.35">
      <c r="A2011" s="21"/>
      <c r="B2011" t="s">
        <v>23</v>
      </c>
      <c r="C2011" t="s">
        <v>6</v>
      </c>
      <c r="D2011" t="s">
        <v>199</v>
      </c>
      <c r="F2011" s="1">
        <v>45952</v>
      </c>
      <c r="G2011" t="str">
        <f>IF(Table3[[#This Row],[Top Parent Account]]="",Table3[[#This Row],[Account Legal Name]],Table3[[#This Row],[Top Parent Account]])</f>
        <v>United Barcode Systems</v>
      </c>
      <c r="H2011" s="1"/>
    </row>
    <row r="2012" spans="1:8" x14ac:dyDescent="0.35">
      <c r="A2012" s="21"/>
      <c r="B2012" t="s">
        <v>932</v>
      </c>
      <c r="C2012" t="s">
        <v>6</v>
      </c>
      <c r="D2012" t="s">
        <v>944</v>
      </c>
      <c r="F2012" s="1">
        <v>45952</v>
      </c>
      <c r="G2012" t="str">
        <f>IF(Table3[[#This Row],[Top Parent Account]]="",Table3[[#This Row],[Account Legal Name]],Table3[[#This Row],[Top Parent Account]])</f>
        <v>Industrias Corrubox</v>
      </c>
      <c r="H2012" s="1"/>
    </row>
    <row r="2013" spans="1:8" x14ac:dyDescent="0.35">
      <c r="A2013" s="21"/>
      <c r="B2013" t="s">
        <v>970</v>
      </c>
      <c r="C2013" t="s">
        <v>6</v>
      </c>
      <c r="D2013" t="s">
        <v>3978</v>
      </c>
      <c r="F2013" s="1">
        <v>45952</v>
      </c>
      <c r="G2013" t="str">
        <f>IF(Table3[[#This Row],[Top Parent Account]]="",Table3[[#This Row],[Account Legal Name]],Table3[[#This Row],[Top Parent Account]])</f>
        <v>Grupo Olsa</v>
      </c>
      <c r="H2013" s="1"/>
    </row>
    <row r="2014" spans="1:8" x14ac:dyDescent="0.35">
      <c r="A2014" s="21"/>
      <c r="B2014" t="s">
        <v>27</v>
      </c>
      <c r="C2014" t="s">
        <v>6</v>
      </c>
      <c r="D2014" t="s">
        <v>1298</v>
      </c>
      <c r="F2014" s="1">
        <v>45952</v>
      </c>
      <c r="G2014" t="str">
        <f>IF(Table3[[#This Row],[Top Parent Account]]="",Table3[[#This Row],[Account Legal Name]],Table3[[#This Row],[Top Parent Account]])</f>
        <v>Obras y Terracerías González</v>
      </c>
      <c r="H2014" s="1"/>
    </row>
    <row r="2015" spans="1:8" x14ac:dyDescent="0.35">
      <c r="A2015" s="21"/>
      <c r="B2015" t="s">
        <v>169</v>
      </c>
      <c r="C2015" t="s">
        <v>6</v>
      </c>
      <c r="D2015" t="s">
        <v>2474</v>
      </c>
      <c r="F2015" s="1">
        <v>45952</v>
      </c>
      <c r="G2015" t="str">
        <f>IF(Table3[[#This Row],[Top Parent Account]]="",Table3[[#This Row],[Account Legal Name]],Table3[[#This Row],[Top Parent Account]])</f>
        <v>Embotelladora Mayol</v>
      </c>
      <c r="H2015" s="1"/>
    </row>
    <row r="2016" spans="1:8" x14ac:dyDescent="0.35">
      <c r="A2016" s="21"/>
      <c r="B2016" t="s">
        <v>739</v>
      </c>
      <c r="C2016" t="s">
        <v>6</v>
      </c>
      <c r="D2016" t="s">
        <v>940</v>
      </c>
      <c r="F2016" s="1">
        <v>45952</v>
      </c>
      <c r="G2016" t="str">
        <f>IF(Table3[[#This Row],[Top Parent Account]]="",Table3[[#This Row],[Account Legal Name]],Table3[[#This Row],[Top Parent Account]])</f>
        <v>Industria de Alimentos Nutriwell</v>
      </c>
      <c r="H2016" s="1"/>
    </row>
    <row r="2017" spans="1:8" x14ac:dyDescent="0.35">
      <c r="A2017" s="21"/>
      <c r="B2017" t="s">
        <v>375</v>
      </c>
      <c r="C2017" t="s">
        <v>6</v>
      </c>
      <c r="D2017" t="s">
        <v>3909</v>
      </c>
      <c r="F2017" s="1">
        <v>45952</v>
      </c>
      <c r="G2017" t="str">
        <f>IF(Table3[[#This Row],[Top Parent Account]]="",Table3[[#This Row],[Account Legal Name]],Table3[[#This Row],[Top Parent Account]])</f>
        <v>Maiz Frito</v>
      </c>
      <c r="H2017" s="1"/>
    </row>
    <row r="2018" spans="1:8" x14ac:dyDescent="0.35">
      <c r="A2018" s="21"/>
      <c r="B2018" t="s">
        <v>39</v>
      </c>
      <c r="C2018" t="s">
        <v>57</v>
      </c>
      <c r="D2018" t="s">
        <v>3910</v>
      </c>
      <c r="F2018" s="1">
        <v>45952</v>
      </c>
      <c r="G2018" t="str">
        <f>IF(Table3[[#This Row],[Top Parent Account]]="",Table3[[#This Row],[Account Legal Name]],Table3[[#This Row],[Top Parent Account]])</f>
        <v>MLTI Logistics</v>
      </c>
      <c r="H2018" s="1"/>
    </row>
    <row r="2019" spans="1:8" x14ac:dyDescent="0.35">
      <c r="A2019" s="21"/>
      <c r="B2019" t="s">
        <v>2912</v>
      </c>
      <c r="C2019" t="s">
        <v>6</v>
      </c>
      <c r="D2019" t="s">
        <v>3487</v>
      </c>
      <c r="F2019" s="1">
        <v>45952</v>
      </c>
      <c r="G2019" t="str">
        <f>IF(Table3[[#This Row],[Top Parent Account]]="",Table3[[#This Row],[Account Legal Name]],Table3[[#This Row],[Top Parent Account]])</f>
        <v>Pintacomex</v>
      </c>
      <c r="H2019" s="1"/>
    </row>
    <row r="2020" spans="1:8" x14ac:dyDescent="0.35">
      <c r="A2020" s="21"/>
      <c r="B2020" t="s">
        <v>3175</v>
      </c>
      <c r="C2020" t="s">
        <v>6</v>
      </c>
      <c r="D2020" t="s">
        <v>3967</v>
      </c>
      <c r="F2020" s="1">
        <v>45952</v>
      </c>
      <c r="G2020" t="str">
        <f>IF(Table3[[#This Row],[Top Parent Account]]="",Table3[[#This Row],[Account Legal Name]],Table3[[#This Row],[Top Parent Account]])</f>
        <v>Colores Dglass</v>
      </c>
      <c r="H2020" s="1"/>
    </row>
    <row r="2021" spans="1:8" x14ac:dyDescent="0.35">
      <c r="A2021" s="21"/>
      <c r="B2021" t="s">
        <v>1511</v>
      </c>
      <c r="C2021" t="s">
        <v>6</v>
      </c>
      <c r="D2021" t="s">
        <v>2715</v>
      </c>
      <c r="F2021" s="1">
        <v>45952</v>
      </c>
      <c r="G2021" t="str">
        <f>IF(Table3[[#This Row],[Top Parent Account]]="",Table3[[#This Row],[Account Legal Name]],Table3[[#This Row],[Top Parent Account]])</f>
        <v>Salve Administracion</v>
      </c>
      <c r="H2021" s="1"/>
    </row>
    <row r="2022" spans="1:8" x14ac:dyDescent="0.35">
      <c r="A2022" s="21"/>
      <c r="B2022" t="s">
        <v>3129</v>
      </c>
      <c r="C2022" t="s">
        <v>6</v>
      </c>
      <c r="D2022" t="s">
        <v>501</v>
      </c>
      <c r="F2022" s="1">
        <v>45952</v>
      </c>
      <c r="G2022" t="str">
        <f>IF(Table3[[#This Row],[Top Parent Account]]="",Table3[[#This Row],[Account Legal Name]],Table3[[#This Row],[Top Parent Account]])</f>
        <v>Packsys México</v>
      </c>
      <c r="H2022" s="1"/>
    </row>
    <row r="2023" spans="1:8" x14ac:dyDescent="0.35">
      <c r="A2023" s="21"/>
      <c r="B2023" t="s">
        <v>37</v>
      </c>
      <c r="C2023" t="s">
        <v>6</v>
      </c>
      <c r="D2023" t="s">
        <v>3911</v>
      </c>
      <c r="F2023" s="1">
        <v>45952</v>
      </c>
      <c r="G2023" t="str">
        <f>IF(Table3[[#This Row],[Top Parent Account]]="",Table3[[#This Row],[Account Legal Name]],Table3[[#This Row],[Top Parent Account]])</f>
        <v>CENTRO DE ESTUDIOS SUPERIORES DEL NOROESTE</v>
      </c>
      <c r="H2023" s="1"/>
    </row>
    <row r="2024" spans="1:8" x14ac:dyDescent="0.35">
      <c r="A2024" s="21"/>
      <c r="B2024" t="s">
        <v>26</v>
      </c>
      <c r="C2024" t="s">
        <v>6</v>
      </c>
      <c r="D2024" t="s">
        <v>331</v>
      </c>
      <c r="F2024" s="1">
        <v>45952</v>
      </c>
      <c r="G2024" t="str">
        <f>IF(Table3[[#This Row],[Top Parent Account]]="",Table3[[#This Row],[Account Legal Name]],Table3[[#This Row],[Top Parent Account]])</f>
        <v>Procesadora De Alimentos Cima</v>
      </c>
      <c r="H2024" s="1"/>
    </row>
    <row r="2025" spans="1:8" x14ac:dyDescent="0.35">
      <c r="A2025" s="21"/>
      <c r="B2025" t="s">
        <v>925</v>
      </c>
      <c r="C2025" t="s">
        <v>6</v>
      </c>
      <c r="D2025" t="s">
        <v>3912</v>
      </c>
      <c r="F2025" s="1">
        <v>45952</v>
      </c>
      <c r="G2025" t="str">
        <f>IF(Table3[[#This Row],[Top Parent Account]]="",Table3[[#This Row],[Account Legal Name]],Table3[[#This Row],[Top Parent Account]])</f>
        <v>Central De Bandas Y Mangueras</v>
      </c>
      <c r="H2025" s="1"/>
    </row>
    <row r="2026" spans="1:8" x14ac:dyDescent="0.35">
      <c r="A2026" s="21"/>
      <c r="B2026" t="s">
        <v>70</v>
      </c>
      <c r="C2026" t="s">
        <v>6</v>
      </c>
      <c r="D2026" t="s">
        <v>3913</v>
      </c>
      <c r="F2026" s="1">
        <v>45952</v>
      </c>
      <c r="G2026" t="str">
        <f>IF(Table3[[#This Row],[Top Parent Account]]="",Table3[[#This Row],[Account Legal Name]],Table3[[#This Row],[Top Parent Account]])</f>
        <v>CONSTRUCTORA EL ULTIMO  MIRMIDON</v>
      </c>
      <c r="H2026" s="1"/>
    </row>
    <row r="2027" spans="1:8" x14ac:dyDescent="0.35">
      <c r="A2027" s="21"/>
      <c r="B2027" t="s">
        <v>2693</v>
      </c>
      <c r="C2027" t="s">
        <v>6</v>
      </c>
      <c r="D2027" t="s">
        <v>3914</v>
      </c>
      <c r="F2027" s="1">
        <v>45952</v>
      </c>
      <c r="G2027" t="str">
        <f>IF(Table3[[#This Row],[Top Parent Account]]="",Table3[[#This Row],[Account Legal Name]],Table3[[#This Row],[Top Parent Account]])</f>
        <v>RICHALUM</v>
      </c>
      <c r="H2027" s="1"/>
    </row>
    <row r="2028" spans="1:8" x14ac:dyDescent="0.35">
      <c r="A2028" s="21"/>
      <c r="B2028" t="s">
        <v>84</v>
      </c>
      <c r="C2028" t="s">
        <v>3915</v>
      </c>
      <c r="D2028" t="s">
        <v>750</v>
      </c>
      <c r="F2028" s="1">
        <v>45952</v>
      </c>
      <c r="G2028" t="str">
        <f>IF(Table3[[#This Row],[Top Parent Account]]="",Table3[[#This Row],[Account Legal Name]],Table3[[#This Row],[Top Parent Account]])</f>
        <v>Aleaciones y Metales Industriales de Saltillo</v>
      </c>
      <c r="H2028" s="1"/>
    </row>
    <row r="2029" spans="1:8" x14ac:dyDescent="0.35">
      <c r="A2029" s="21"/>
      <c r="B2029" t="s">
        <v>14</v>
      </c>
      <c r="C2029" t="s">
        <v>6</v>
      </c>
      <c r="D2029" t="s">
        <v>3976</v>
      </c>
      <c r="F2029" s="1">
        <v>45952</v>
      </c>
      <c r="G2029" t="str">
        <f>IF(Table3[[#This Row],[Top Parent Account]]="",Table3[[#This Row],[Account Legal Name]],Table3[[#This Row],[Top Parent Account]])</f>
        <v>PRODUCTOS DON TACHO</v>
      </c>
      <c r="H2029" s="1"/>
    </row>
    <row r="2030" spans="1:8" x14ac:dyDescent="0.35">
      <c r="A2030" s="21"/>
      <c r="B2030" t="s">
        <v>2884</v>
      </c>
      <c r="C2030" t="s">
        <v>6</v>
      </c>
      <c r="D2030" t="s">
        <v>3952</v>
      </c>
      <c r="F2030" s="1">
        <v>45952</v>
      </c>
      <c r="G2030" t="str">
        <f>IF(Table3[[#This Row],[Top Parent Account]]="",Table3[[#This Row],[Account Legal Name]],Table3[[#This Row],[Top Parent Account]])</f>
        <v>TELECOMUNICACIONES Y TECNOLOGIAS DEL NOROESTE, S. de R.L. de C.V.</v>
      </c>
      <c r="H2030" s="1"/>
    </row>
    <row r="2031" spans="1:8" x14ac:dyDescent="0.35">
      <c r="A2031" s="21"/>
      <c r="B2031" t="s">
        <v>3092</v>
      </c>
      <c r="C2031" t="s">
        <v>22</v>
      </c>
      <c r="D2031" t="s">
        <v>1155</v>
      </c>
      <c r="F2031" s="1">
        <v>45952</v>
      </c>
      <c r="G2031" t="str">
        <f>IF(Table3[[#This Row],[Top Parent Account]]="",Table3[[#This Row],[Account Legal Name]],Table3[[#This Row],[Top Parent Account]])</f>
        <v>Gurpa</v>
      </c>
      <c r="H2031" s="1"/>
    </row>
    <row r="2032" spans="1:8" x14ac:dyDescent="0.35">
      <c r="A2032" s="21"/>
      <c r="B2032" t="s">
        <v>23</v>
      </c>
      <c r="C2032" t="s">
        <v>6</v>
      </c>
      <c r="D2032" t="s">
        <v>3968</v>
      </c>
      <c r="F2032" s="1">
        <v>45952</v>
      </c>
      <c r="G2032" t="str">
        <f>IF(Table3[[#This Row],[Top Parent Account]]="",Table3[[#This Row],[Account Legal Name]],Table3[[#This Row],[Top Parent Account]])</f>
        <v>TRANSPORTES TREGUI</v>
      </c>
      <c r="H2032" s="1"/>
    </row>
    <row r="2033" spans="1:8" x14ac:dyDescent="0.35">
      <c r="A2033" s="21"/>
      <c r="B2033" t="s">
        <v>37</v>
      </c>
      <c r="C2033" t="s">
        <v>22</v>
      </c>
      <c r="D2033" t="s">
        <v>3916</v>
      </c>
      <c r="F2033" s="1">
        <v>45952</v>
      </c>
      <c r="G2033" t="str">
        <f>IF(Table3[[#This Row],[Top Parent Account]]="",Table3[[#This Row],[Account Legal Name]],Table3[[#This Row],[Top Parent Account]])</f>
        <v>UVAS DE ALTURA</v>
      </c>
      <c r="H2033" s="1"/>
    </row>
    <row r="2034" spans="1:8" x14ac:dyDescent="0.35">
      <c r="A2034" s="21"/>
      <c r="B2034" t="s">
        <v>32</v>
      </c>
      <c r="C2034" t="s">
        <v>6</v>
      </c>
      <c r="D2034" t="s">
        <v>511</v>
      </c>
      <c r="F2034" s="1">
        <v>45952</v>
      </c>
      <c r="G2034" t="str">
        <f>IF(Table3[[#This Row],[Top Parent Account]]="",Table3[[#This Row],[Account Legal Name]],Table3[[#This Row],[Top Parent Account]])</f>
        <v>Empacadora San Marcos</v>
      </c>
      <c r="H2034" s="1"/>
    </row>
    <row r="2035" spans="1:8" x14ac:dyDescent="0.35">
      <c r="A2035" s="21"/>
      <c r="B2035" t="s">
        <v>3553</v>
      </c>
      <c r="C2035" t="s">
        <v>6</v>
      </c>
      <c r="D2035" t="s">
        <v>3917</v>
      </c>
      <c r="F2035" s="1">
        <v>45952</v>
      </c>
      <c r="G2035" t="str">
        <f>IF(Table3[[#This Row],[Top Parent Account]]="",Table3[[#This Row],[Account Legal Name]],Table3[[#This Row],[Top Parent Account]])</f>
        <v>Grupo Empresarial La Pirámide</v>
      </c>
      <c r="H2035" s="1"/>
    </row>
    <row r="2036" spans="1:8" x14ac:dyDescent="0.35">
      <c r="A2036" s="21"/>
      <c r="B2036" t="s">
        <v>2912</v>
      </c>
      <c r="C2036" t="s">
        <v>6</v>
      </c>
      <c r="D2036" t="s">
        <v>3969</v>
      </c>
      <c r="F2036" s="1">
        <v>45952</v>
      </c>
      <c r="G2036" t="str">
        <f>IF(Table3[[#This Row],[Top Parent Account]]="",Table3[[#This Row],[Account Legal Name]],Table3[[#This Row],[Top Parent Account]])</f>
        <v>Sociedad Cooperativa De Trabajadores De Pascual</v>
      </c>
      <c r="H2036" s="1"/>
    </row>
    <row r="2037" spans="1:8" x14ac:dyDescent="0.35">
      <c r="A2037" s="21"/>
      <c r="B2037" t="s">
        <v>14</v>
      </c>
      <c r="C2037" t="s">
        <v>22</v>
      </c>
      <c r="D2037" t="s">
        <v>3918</v>
      </c>
      <c r="F2037" s="1">
        <v>45952</v>
      </c>
      <c r="G2037" t="str">
        <f>IF(Table3[[#This Row],[Top Parent Account]]="",Table3[[#This Row],[Account Legal Name]],Table3[[#This Row],[Top Parent Account]])</f>
        <v>Suministro y Soluciones en Metal</v>
      </c>
      <c r="H2037" s="1"/>
    </row>
    <row r="2038" spans="1:8" x14ac:dyDescent="0.35">
      <c r="A2038" s="21"/>
      <c r="B2038" t="s">
        <v>207</v>
      </c>
      <c r="C2038" t="s">
        <v>6</v>
      </c>
      <c r="D2038" t="s">
        <v>3919</v>
      </c>
      <c r="F2038" s="1">
        <v>45952</v>
      </c>
      <c r="G2038" t="str">
        <f>IF(Table3[[#This Row],[Top Parent Account]]="",Table3[[#This Row],[Account Legal Name]],Table3[[#This Row],[Top Parent Account]])</f>
        <v>Guesos</v>
      </c>
      <c r="H2038" s="1"/>
    </row>
    <row r="2039" spans="1:8" x14ac:dyDescent="0.35">
      <c r="A2039" s="21"/>
      <c r="B2039" t="s">
        <v>37</v>
      </c>
      <c r="C2039" t="s">
        <v>6</v>
      </c>
      <c r="D2039" t="s">
        <v>3920</v>
      </c>
      <c r="F2039" s="1">
        <v>45952</v>
      </c>
      <c r="G2039" t="str">
        <f>IF(Table3[[#This Row],[Top Parent Account]]="",Table3[[#This Row],[Account Legal Name]],Table3[[#This Row],[Top Parent Account]])</f>
        <v>Colorado Industrial Supply</v>
      </c>
      <c r="H2039" s="1"/>
    </row>
    <row r="2040" spans="1:8" x14ac:dyDescent="0.35">
      <c r="A2040" s="21"/>
      <c r="B2040" t="s">
        <v>14</v>
      </c>
      <c r="C2040" t="s">
        <v>6</v>
      </c>
      <c r="D2040" t="s">
        <v>2945</v>
      </c>
      <c r="F2040" s="1">
        <v>45951</v>
      </c>
      <c r="G2040" t="str">
        <f>IF(Table3[[#This Row],[Top Parent Account]]="",Table3[[#This Row],[Account Legal Name]],Table3[[#This Row],[Top Parent Account]])</f>
        <v>Corporativo Sanduze</v>
      </c>
      <c r="H2040" s="1"/>
    </row>
    <row r="2041" spans="1:8" x14ac:dyDescent="0.35">
      <c r="A2041" s="21"/>
      <c r="B2041" t="s">
        <v>39</v>
      </c>
      <c r="C2041" t="s">
        <v>3921</v>
      </c>
      <c r="D2041" t="s">
        <v>2537</v>
      </c>
      <c r="F2041" s="1">
        <v>45951</v>
      </c>
      <c r="G2041" t="str">
        <f>IF(Table3[[#This Row],[Top Parent Account]]="",Table3[[#This Row],[Account Legal Name]],Table3[[#This Row],[Top Parent Account]])</f>
        <v>Salsas Castillo</v>
      </c>
      <c r="H2041" s="1"/>
    </row>
    <row r="2042" spans="1:8" x14ac:dyDescent="0.35">
      <c r="A2042" s="21"/>
      <c r="B2042" t="s">
        <v>172</v>
      </c>
      <c r="C2042" t="s">
        <v>4030</v>
      </c>
      <c r="D2042" t="s">
        <v>3922</v>
      </c>
      <c r="F2042" s="1">
        <v>45951</v>
      </c>
      <c r="G2042" t="str">
        <f>IF(Table3[[#This Row],[Top Parent Account]]="",Table3[[#This Row],[Account Legal Name]],Table3[[#This Row],[Top Parent Account]])</f>
        <v>Pinturas Berel</v>
      </c>
      <c r="H2042" s="1"/>
    </row>
    <row r="2043" spans="1:8" x14ac:dyDescent="0.35">
      <c r="A2043" s="21"/>
      <c r="B2043" t="s">
        <v>12</v>
      </c>
      <c r="C2043" t="s">
        <v>6</v>
      </c>
      <c r="D2043" t="s">
        <v>1099</v>
      </c>
      <c r="F2043" s="1">
        <v>45951</v>
      </c>
      <c r="G2043" t="str">
        <f>IF(Table3[[#This Row],[Top Parent Account]]="",Table3[[#This Row],[Account Legal Name]],Table3[[#This Row],[Top Parent Account]])</f>
        <v>EMPACADORA GRUMA DEL SURESTE</v>
      </c>
      <c r="H2043" s="1"/>
    </row>
    <row r="2044" spans="1:8" x14ac:dyDescent="0.35">
      <c r="A2044" s="21"/>
      <c r="B2044" t="s">
        <v>3182</v>
      </c>
      <c r="C2044" t="s">
        <v>22</v>
      </c>
      <c r="D2044" t="s">
        <v>1233</v>
      </c>
      <c r="E2044" t="s">
        <v>741</v>
      </c>
      <c r="F2044" s="1">
        <v>45951</v>
      </c>
      <c r="G2044" t="str">
        <f>IF(Table3[[#This Row],[Top Parent Account]]="",Table3[[#This Row],[Account Legal Name]],Table3[[#This Row],[Top Parent Account]])</f>
        <v>Reto Industrial</v>
      </c>
      <c r="H2044" s="1"/>
    </row>
    <row r="2045" spans="1:8" x14ac:dyDescent="0.35">
      <c r="A2045" s="21"/>
      <c r="B2045" t="s">
        <v>1511</v>
      </c>
      <c r="C2045" t="s">
        <v>22</v>
      </c>
      <c r="D2045" t="s">
        <v>3444</v>
      </c>
      <c r="F2045" s="1">
        <v>45951</v>
      </c>
      <c r="G2045" t="str">
        <f>IF(Table3[[#This Row],[Top Parent Account]]="",Table3[[#This Row],[Account Legal Name]],Table3[[#This Row],[Top Parent Account]])</f>
        <v>Madero Equipos De Ordeño</v>
      </c>
      <c r="H2045" s="1"/>
    </row>
    <row r="2046" spans="1:8" x14ac:dyDescent="0.35">
      <c r="A2046" s="21"/>
      <c r="B2046" t="s">
        <v>932</v>
      </c>
      <c r="C2046" t="s">
        <v>3923</v>
      </c>
      <c r="D2046" t="s">
        <v>3889</v>
      </c>
      <c r="F2046" s="1">
        <v>45951</v>
      </c>
      <c r="G2046" t="str">
        <f>IF(Table3[[#This Row],[Top Parent Account]]="",Table3[[#This Row],[Account Legal Name]],Table3[[#This Row],[Top Parent Account]])</f>
        <v>Sennheiser México</v>
      </c>
      <c r="H2046" s="1"/>
    </row>
    <row r="2047" spans="1:8" x14ac:dyDescent="0.35">
      <c r="A2047" s="21"/>
      <c r="B2047" t="s">
        <v>3182</v>
      </c>
      <c r="C2047" t="s">
        <v>6</v>
      </c>
      <c r="D2047" t="s">
        <v>908</v>
      </c>
      <c r="F2047" s="1">
        <v>45951</v>
      </c>
      <c r="G2047" t="str">
        <f>IF(Table3[[#This Row],[Top Parent Account]]="",Table3[[#This Row],[Account Legal Name]],Table3[[#This Row],[Top Parent Account]])</f>
        <v>Fabrica De Harinas Elizondo</v>
      </c>
      <c r="H2047" s="1"/>
    </row>
    <row r="2048" spans="1:8" x14ac:dyDescent="0.35">
      <c r="A2048" s="21"/>
      <c r="B2048" t="s">
        <v>14</v>
      </c>
      <c r="C2048" t="s">
        <v>6</v>
      </c>
      <c r="D2048" t="s">
        <v>973</v>
      </c>
      <c r="F2048" s="1">
        <v>45951</v>
      </c>
      <c r="G2048" t="str">
        <f>IF(Table3[[#This Row],[Top Parent Account]]="",Table3[[#This Row],[Account Legal Name]],Table3[[#This Row],[Top Parent Account]])</f>
        <v>Fletes Industriales Mexicanos</v>
      </c>
      <c r="H2048" s="1"/>
    </row>
    <row r="2049" spans="1:8" x14ac:dyDescent="0.35">
      <c r="A2049" s="21"/>
      <c r="B2049" t="s">
        <v>1511</v>
      </c>
      <c r="C2049" t="s">
        <v>6</v>
      </c>
      <c r="D2049" t="s">
        <v>3970</v>
      </c>
      <c r="F2049" s="1">
        <v>45951</v>
      </c>
      <c r="G2049" t="str">
        <f>IF(Table3[[#This Row],[Top Parent Account]]="",Table3[[#This Row],[Account Legal Name]],Table3[[#This Row],[Top Parent Account]])</f>
        <v>Eurolls de Mexico</v>
      </c>
      <c r="H2049" s="1"/>
    </row>
    <row r="2050" spans="1:8" x14ac:dyDescent="0.35">
      <c r="A2050" s="21"/>
      <c r="B2050" t="s">
        <v>172</v>
      </c>
      <c r="C2050" t="s">
        <v>6</v>
      </c>
      <c r="D2050" t="s">
        <v>3922</v>
      </c>
      <c r="F2050" s="1">
        <v>45951</v>
      </c>
      <c r="G2050" t="str">
        <f>IF(Table3[[#This Row],[Top Parent Account]]="",Table3[[#This Row],[Account Legal Name]],Table3[[#This Row],[Top Parent Account]])</f>
        <v>Pinturas Berel</v>
      </c>
      <c r="H2050" s="1"/>
    </row>
    <row r="2051" spans="1:8" x14ac:dyDescent="0.35">
      <c r="A2051" s="21"/>
      <c r="B2051" t="s">
        <v>77</v>
      </c>
      <c r="C2051" t="s">
        <v>6</v>
      </c>
      <c r="D2051" t="s">
        <v>3924</v>
      </c>
      <c r="F2051" s="1">
        <v>45951</v>
      </c>
      <c r="G2051" t="str">
        <f>IF(Table3[[#This Row],[Top Parent Account]]="",Table3[[#This Row],[Account Legal Name]],Table3[[#This Row],[Top Parent Account]])</f>
        <v>Doble I Doble E</v>
      </c>
      <c r="H2051" s="1"/>
    </row>
    <row r="2052" spans="1:8" x14ac:dyDescent="0.35">
      <c r="A2052" s="21"/>
      <c r="B2052" t="s">
        <v>37</v>
      </c>
      <c r="C2052" t="s">
        <v>6</v>
      </c>
      <c r="D2052" t="s">
        <v>1151</v>
      </c>
      <c r="F2052" s="1">
        <v>45951</v>
      </c>
      <c r="G2052" t="str">
        <f>IF(Table3[[#This Row],[Top Parent Account]]="",Table3[[#This Row],[Account Legal Name]],Table3[[#This Row],[Top Parent Account]])</f>
        <v>H2e Mexico</v>
      </c>
      <c r="H2052" s="1"/>
    </row>
    <row r="2053" spans="1:8" x14ac:dyDescent="0.35">
      <c r="A2053" s="21"/>
      <c r="B2053" t="s">
        <v>14</v>
      </c>
      <c r="C2053" t="s">
        <v>6</v>
      </c>
      <c r="D2053" t="s">
        <v>1492</v>
      </c>
      <c r="F2053" s="1">
        <v>45951</v>
      </c>
      <c r="G2053" t="str">
        <f>IF(Table3[[#This Row],[Top Parent Account]]="",Table3[[#This Row],[Account Legal Name]],Table3[[#This Row],[Top Parent Account]])</f>
        <v>Omega Aleaciones</v>
      </c>
      <c r="H2053" s="1"/>
    </row>
    <row r="2054" spans="1:8" x14ac:dyDescent="0.35">
      <c r="A2054" s="21"/>
      <c r="B2054" t="s">
        <v>51</v>
      </c>
      <c r="C2054" t="s">
        <v>6</v>
      </c>
      <c r="D2054" t="s">
        <v>3925</v>
      </c>
      <c r="F2054" s="1">
        <v>45951</v>
      </c>
      <c r="G2054" t="str">
        <f>IF(Table3[[#This Row],[Top Parent Account]]="",Table3[[#This Row],[Account Legal Name]],Table3[[#This Row],[Top Parent Account]])</f>
        <v>teknocuero</v>
      </c>
      <c r="H2054" s="1"/>
    </row>
    <row r="2055" spans="1:8" x14ac:dyDescent="0.35">
      <c r="A2055" s="21"/>
      <c r="B2055" t="s">
        <v>925</v>
      </c>
      <c r="C2055" t="s">
        <v>6</v>
      </c>
      <c r="D2055" t="s">
        <v>3926</v>
      </c>
      <c r="F2055" s="1">
        <v>45951</v>
      </c>
      <c r="G2055" t="str">
        <f>IF(Table3[[#This Row],[Top Parent Account]]="",Table3[[#This Row],[Account Legal Name]],Table3[[#This Row],[Top Parent Account]])</f>
        <v>HERGOM MEDICAL</v>
      </c>
      <c r="H2055" s="1"/>
    </row>
    <row r="2056" spans="1:8" x14ac:dyDescent="0.35">
      <c r="A2056" s="21"/>
      <c r="B2056" t="s">
        <v>18</v>
      </c>
      <c r="C2056" t="s">
        <v>6</v>
      </c>
      <c r="D2056" t="s">
        <v>3927</v>
      </c>
      <c r="F2056" s="1">
        <v>45951</v>
      </c>
      <c r="G2056" t="str">
        <f>IF(Table3[[#This Row],[Top Parent Account]]="",Table3[[#This Row],[Account Legal Name]],Table3[[#This Row],[Top Parent Account]])</f>
        <v>Minerales y Arcillas</v>
      </c>
      <c r="H2056" s="1"/>
    </row>
    <row r="2057" spans="1:8" x14ac:dyDescent="0.35">
      <c r="A2057" s="21"/>
      <c r="B2057" t="s">
        <v>3129</v>
      </c>
      <c r="C2057" t="s">
        <v>6</v>
      </c>
      <c r="D2057" t="s">
        <v>3928</v>
      </c>
      <c r="F2057" s="1">
        <v>45951</v>
      </c>
      <c r="G2057" t="str">
        <f>IF(Table3[[#This Row],[Top Parent Account]]="",Table3[[#This Row],[Account Legal Name]],Table3[[#This Row],[Top Parent Account]])</f>
        <v>Aerovias de México</v>
      </c>
      <c r="H2057" s="1"/>
    </row>
    <row r="2058" spans="1:8" x14ac:dyDescent="0.35">
      <c r="A2058" s="21"/>
      <c r="B2058" t="s">
        <v>10</v>
      </c>
      <c r="C2058" t="s">
        <v>6</v>
      </c>
      <c r="D2058" t="s">
        <v>410</v>
      </c>
      <c r="F2058" s="1">
        <v>45951</v>
      </c>
      <c r="G2058" t="str">
        <f>IF(Table3[[#This Row],[Top Parent Account]]="",Table3[[#This Row],[Account Legal Name]],Table3[[#This Row],[Top Parent Account]])</f>
        <v>CORPORATIVO SERYSI</v>
      </c>
      <c r="H2058" s="1"/>
    </row>
    <row r="2059" spans="1:8" x14ac:dyDescent="0.35">
      <c r="A2059" s="21"/>
      <c r="B2059" t="s">
        <v>932</v>
      </c>
      <c r="C2059" t="s">
        <v>3929</v>
      </c>
      <c r="D2059" t="s">
        <v>65</v>
      </c>
      <c r="F2059" s="1">
        <v>45951</v>
      </c>
      <c r="G2059" t="str">
        <f>IF(Table3[[#This Row],[Top Parent Account]]="",Table3[[#This Row],[Account Legal Name]],Table3[[#This Row],[Top Parent Account]])</f>
        <v>Smart Center</v>
      </c>
      <c r="H2059" s="1"/>
    </row>
    <row r="2060" spans="1:8" x14ac:dyDescent="0.35">
      <c r="A2060" s="21"/>
      <c r="B2060" t="s">
        <v>14</v>
      </c>
      <c r="C2060" t="s">
        <v>6</v>
      </c>
      <c r="D2060" t="s">
        <v>3789</v>
      </c>
      <c r="F2060" s="1">
        <v>45951</v>
      </c>
      <c r="G2060" t="str">
        <f>IF(Table3[[#This Row],[Top Parent Account]]="",Table3[[#This Row],[Account Legal Name]],Table3[[#This Row],[Top Parent Account]])</f>
        <v>Logistica en Reciclaje SLP</v>
      </c>
      <c r="H2060" s="1"/>
    </row>
    <row r="2061" spans="1:8" x14ac:dyDescent="0.35">
      <c r="A2061" s="21"/>
      <c r="B2061" t="s">
        <v>1511</v>
      </c>
      <c r="C2061" t="s">
        <v>6</v>
      </c>
      <c r="D2061" t="s">
        <v>439</v>
      </c>
      <c r="F2061" s="1">
        <v>45951</v>
      </c>
      <c r="G2061" t="str">
        <f>IF(Table3[[#This Row],[Top Parent Account]]="",Table3[[#This Row],[Account Legal Name]],Table3[[#This Row],[Top Parent Account]])</f>
        <v>Copamex</v>
      </c>
      <c r="H2061" s="1"/>
    </row>
    <row r="2062" spans="1:8" x14ac:dyDescent="0.35">
      <c r="A2062" s="21"/>
      <c r="B2062" t="s">
        <v>1511</v>
      </c>
      <c r="C2062" t="s">
        <v>22</v>
      </c>
      <c r="D2062" t="s">
        <v>2592</v>
      </c>
      <c r="F2062" s="1">
        <v>45951</v>
      </c>
      <c r="G2062" t="str">
        <f>IF(Table3[[#This Row],[Top Parent Account]]="",Table3[[#This Row],[Account Legal Name]],Table3[[#This Row],[Top Parent Account]])</f>
        <v>AMD PLASTICS DE MEXICO</v>
      </c>
      <c r="H2062" s="1"/>
    </row>
    <row r="2063" spans="1:8" x14ac:dyDescent="0.35">
      <c r="A2063" s="21"/>
      <c r="B2063" t="s">
        <v>26</v>
      </c>
      <c r="C2063" t="s">
        <v>6</v>
      </c>
      <c r="D2063" t="s">
        <v>225</v>
      </c>
      <c r="E2063" t="s">
        <v>321</v>
      </c>
      <c r="F2063" s="1">
        <v>45951</v>
      </c>
      <c r="G2063" t="str">
        <f>IF(Table3[[#This Row],[Top Parent Account]]="",Table3[[#This Row],[Account Legal Name]],Table3[[#This Row],[Top Parent Account]])</f>
        <v>Conservas La Costena</v>
      </c>
      <c r="H2063" s="1"/>
    </row>
    <row r="2064" spans="1:8" x14ac:dyDescent="0.35">
      <c r="A2064" s="21"/>
      <c r="B2064" t="s">
        <v>10</v>
      </c>
      <c r="C2064" t="s">
        <v>6</v>
      </c>
      <c r="D2064" t="s">
        <v>3758</v>
      </c>
      <c r="F2064" s="1">
        <v>45951</v>
      </c>
      <c r="G2064" t="str">
        <f>IF(Table3[[#This Row],[Top Parent Account]]="",Table3[[#This Row],[Account Legal Name]],Table3[[#This Row],[Top Parent Account]])</f>
        <v>Polimeros y Derivados</v>
      </c>
      <c r="H2064" s="1"/>
    </row>
    <row r="2065" spans="1:8" x14ac:dyDescent="0.35">
      <c r="A2065" s="21"/>
      <c r="B2065" t="s">
        <v>925</v>
      </c>
      <c r="C2065" t="s">
        <v>6</v>
      </c>
      <c r="D2065" t="s">
        <v>3931</v>
      </c>
      <c r="F2065" s="1">
        <v>45951</v>
      </c>
      <c r="G2065" t="str">
        <f>IF(Table3[[#This Row],[Top Parent Account]]="",Table3[[#This Row],[Account Legal Name]],Table3[[#This Row],[Top Parent Account]])</f>
        <v>BOLCO</v>
      </c>
      <c r="H2065" s="1"/>
    </row>
    <row r="2066" spans="1:8" x14ac:dyDescent="0.35">
      <c r="A2066" s="21"/>
      <c r="B2066" t="s">
        <v>1131</v>
      </c>
      <c r="C2066" t="s">
        <v>6</v>
      </c>
      <c r="D2066" t="s">
        <v>3932</v>
      </c>
      <c r="F2066" s="1">
        <v>45951</v>
      </c>
      <c r="G2066" t="str">
        <f>IF(Table3[[#This Row],[Top Parent Account]]="",Table3[[#This Row],[Account Legal Name]],Table3[[#This Row],[Top Parent Account]])</f>
        <v>PRODUCTOS FRESCOS LA HUERTA</v>
      </c>
      <c r="H2066" s="1"/>
    </row>
    <row r="2067" spans="1:8" x14ac:dyDescent="0.35">
      <c r="A2067" s="21"/>
      <c r="B2067" t="s">
        <v>29</v>
      </c>
      <c r="C2067" t="s">
        <v>6</v>
      </c>
      <c r="D2067" t="s">
        <v>3933</v>
      </c>
      <c r="F2067" s="1">
        <v>45951</v>
      </c>
      <c r="G2067" t="str">
        <f>IF(Table3[[#This Row],[Top Parent Account]]="",Table3[[#This Row],[Account Legal Name]],Table3[[#This Row],[Top Parent Account]])</f>
        <v>Global Plastic</v>
      </c>
      <c r="H2067" s="1"/>
    </row>
    <row r="2068" spans="1:8" x14ac:dyDescent="0.35">
      <c r="A2068" s="21"/>
      <c r="B2068" t="s">
        <v>208</v>
      </c>
      <c r="C2068" t="s">
        <v>6</v>
      </c>
      <c r="D2068" t="s">
        <v>3930</v>
      </c>
      <c r="F2068" s="1">
        <v>45951</v>
      </c>
      <c r="G2068" t="str">
        <f>IF(Table3[[#This Row],[Top Parent Account]]="",Table3[[#This Row],[Account Legal Name]],Table3[[#This Row],[Top Parent Account]])</f>
        <v>Distribuidora de carnes grabic</v>
      </c>
      <c r="H2068" s="1"/>
    </row>
    <row r="2069" spans="1:8" x14ac:dyDescent="0.35">
      <c r="A2069" s="21"/>
      <c r="B2069" t="s">
        <v>88</v>
      </c>
      <c r="C2069" t="s">
        <v>6</v>
      </c>
      <c r="D2069" t="s">
        <v>3934</v>
      </c>
      <c r="E2069" t="s">
        <v>3935</v>
      </c>
      <c r="F2069" s="1">
        <v>45951</v>
      </c>
      <c r="G2069" t="str">
        <f>IF(Table3[[#This Row],[Top Parent Account]]="",Table3[[#This Row],[Account Legal Name]],Table3[[#This Row],[Top Parent Account]])</f>
        <v>Ingeniería Soluciones y Respaldo Profesional</v>
      </c>
      <c r="H2069" s="1"/>
    </row>
    <row r="2070" spans="1:8" x14ac:dyDescent="0.35">
      <c r="A2070" s="21"/>
      <c r="B2070" t="s">
        <v>39</v>
      </c>
      <c r="C2070" t="s">
        <v>3936</v>
      </c>
      <c r="D2070" t="s">
        <v>794</v>
      </c>
      <c r="F2070" s="1">
        <v>45951</v>
      </c>
      <c r="G2070" t="str">
        <f>IF(Table3[[#This Row],[Top Parent Account]]="",Table3[[#This Row],[Account Legal Name]],Table3[[#This Row],[Top Parent Account]])</f>
        <v>Granjas Avicolas Rancho Grande</v>
      </c>
      <c r="H2070" s="1"/>
    </row>
    <row r="2071" spans="1:8" x14ac:dyDescent="0.35">
      <c r="A2071" s="21"/>
      <c r="B2071" t="s">
        <v>2693</v>
      </c>
      <c r="C2071" t="s">
        <v>6</v>
      </c>
      <c r="D2071" t="s">
        <v>3642</v>
      </c>
      <c r="F2071" s="1">
        <v>45951</v>
      </c>
      <c r="G2071" t="str">
        <f>IF(Table3[[#This Row],[Top Parent Account]]="",Table3[[#This Row],[Account Legal Name]],Table3[[#This Row],[Top Parent Account]])</f>
        <v>GRUPO DIECAST MEXICO</v>
      </c>
      <c r="H2071" s="1"/>
    </row>
    <row r="2072" spans="1:8" x14ac:dyDescent="0.35">
      <c r="A2072" s="21"/>
      <c r="B2072" t="s">
        <v>3628</v>
      </c>
      <c r="C2072" t="s">
        <v>6</v>
      </c>
      <c r="D2072" t="s">
        <v>3937</v>
      </c>
      <c r="F2072" s="1">
        <v>45951</v>
      </c>
      <c r="G2072" t="str">
        <f>IF(Table3[[#This Row],[Top Parent Account]]="",Table3[[#This Row],[Account Legal Name]],Table3[[#This Row],[Top Parent Account]])</f>
        <v>Industria Sigrama</v>
      </c>
      <c r="H2072" s="1"/>
    </row>
    <row r="2073" spans="1:8" x14ac:dyDescent="0.35">
      <c r="A2073" s="21"/>
      <c r="B2073" t="s">
        <v>77</v>
      </c>
      <c r="C2073" t="s">
        <v>6</v>
      </c>
      <c r="D2073" t="s">
        <v>3938</v>
      </c>
      <c r="F2073" s="1">
        <v>45951</v>
      </c>
      <c r="G2073" t="str">
        <f>IF(Table3[[#This Row],[Top Parent Account]]="",Table3[[#This Row],[Account Legal Name]],Table3[[#This Row],[Top Parent Account]])</f>
        <v>Papas Santa Fe</v>
      </c>
      <c r="H2073" s="1"/>
    </row>
    <row r="2074" spans="1:8" x14ac:dyDescent="0.35">
      <c r="A2074" s="21"/>
      <c r="B2074" t="s">
        <v>70</v>
      </c>
      <c r="C2074" t="s">
        <v>22</v>
      </c>
      <c r="D2074" t="s">
        <v>531</v>
      </c>
      <c r="F2074" s="1">
        <v>45951</v>
      </c>
      <c r="G2074" t="str">
        <f>IF(Table3[[#This Row],[Top Parent Account]]="",Table3[[#This Row],[Account Legal Name]],Table3[[#This Row],[Top Parent Account]])</f>
        <v>Laboratorio de Patología Quirúrgica y Citología de Puebla</v>
      </c>
      <c r="H2074" s="1"/>
    </row>
    <row r="2075" spans="1:8" x14ac:dyDescent="0.35">
      <c r="A2075" s="21"/>
      <c r="B2075" t="s">
        <v>37</v>
      </c>
      <c r="C2075" t="s">
        <v>33</v>
      </c>
      <c r="D2075" t="s">
        <v>3977</v>
      </c>
      <c r="F2075" s="1">
        <v>45951</v>
      </c>
      <c r="G2075" t="str">
        <f>IF(Table3[[#This Row],[Top Parent Account]]="",Table3[[#This Row],[Account Legal Name]],Table3[[#This Row],[Top Parent Account]])</f>
        <v>Construcciones Lizarraga</v>
      </c>
      <c r="H2075" s="1"/>
    </row>
    <row r="2076" spans="1:8" x14ac:dyDescent="0.35">
      <c r="A2076" s="21"/>
      <c r="B2076" t="s">
        <v>37</v>
      </c>
      <c r="C2076" t="s">
        <v>6</v>
      </c>
      <c r="D2076" t="s">
        <v>3971</v>
      </c>
      <c r="F2076" s="1">
        <v>45950</v>
      </c>
      <c r="G2076" t="str">
        <f>IF(Table3[[#This Row],[Top Parent Account]]="",Table3[[#This Row],[Account Legal Name]],Table3[[#This Row],[Top Parent Account]])</f>
        <v>Construccion y Urbanizacion Prizma</v>
      </c>
      <c r="H2076" s="1"/>
    </row>
    <row r="2077" spans="1:8" x14ac:dyDescent="0.35">
      <c r="A2077" s="21"/>
      <c r="B2077" t="s">
        <v>925</v>
      </c>
      <c r="C2077" t="s">
        <v>6</v>
      </c>
      <c r="D2077" t="s">
        <v>1483</v>
      </c>
      <c r="F2077" s="1">
        <v>45950</v>
      </c>
      <c r="G2077" t="str">
        <f>IF(Table3[[#This Row],[Top Parent Account]]="",Table3[[#This Row],[Account Legal Name]],Table3[[#This Row],[Top Parent Account]])</f>
        <v>Ingeniería y Productos de Acero</v>
      </c>
      <c r="H2077" s="1"/>
    </row>
    <row r="2078" spans="1:8" x14ac:dyDescent="0.35">
      <c r="A2078" s="21"/>
      <c r="B2078" t="s">
        <v>925</v>
      </c>
      <c r="C2078" t="s">
        <v>6</v>
      </c>
      <c r="D2078" t="s">
        <v>826</v>
      </c>
      <c r="F2078" s="1">
        <v>45950</v>
      </c>
      <c r="G2078" t="str">
        <f>IF(Table3[[#This Row],[Top Parent Account]]="",Table3[[#This Row],[Account Legal Name]],Table3[[#This Row],[Top Parent Account]])</f>
        <v>ELASTOMEROS TAZA</v>
      </c>
      <c r="H2078" s="1"/>
    </row>
    <row r="2079" spans="1:8" x14ac:dyDescent="0.35">
      <c r="A2079" s="21"/>
      <c r="B2079" t="s">
        <v>37</v>
      </c>
      <c r="C2079" t="s">
        <v>6</v>
      </c>
      <c r="D2079" t="s">
        <v>692</v>
      </c>
      <c r="F2079" s="1">
        <v>45950</v>
      </c>
      <c r="G2079" t="str">
        <f>IF(Table3[[#This Row],[Top Parent Account]]="",Table3[[#This Row],[Account Legal Name]],Table3[[#This Row],[Top Parent Account]])</f>
        <v>LUXIDA GROUP</v>
      </c>
      <c r="H2079" s="1"/>
    </row>
    <row r="2080" spans="1:8" x14ac:dyDescent="0.35">
      <c r="A2080" s="21"/>
      <c r="B2080" t="s">
        <v>925</v>
      </c>
      <c r="C2080" t="s">
        <v>6</v>
      </c>
      <c r="D2080" t="s">
        <v>3939</v>
      </c>
      <c r="F2080" s="1">
        <v>45950</v>
      </c>
      <c r="G2080" t="str">
        <f>IF(Table3[[#This Row],[Top Parent Account]]="",Table3[[#This Row],[Account Legal Name]],Table3[[#This Row],[Top Parent Account]])</f>
        <v>Mccain México</v>
      </c>
      <c r="H2080" s="1"/>
    </row>
    <row r="2081" spans="1:8" x14ac:dyDescent="0.35">
      <c r="A2081" s="21"/>
      <c r="B2081" t="s">
        <v>18</v>
      </c>
      <c r="C2081" t="s">
        <v>6</v>
      </c>
      <c r="D2081" t="s">
        <v>1648</v>
      </c>
      <c r="F2081" s="1">
        <v>45950</v>
      </c>
      <c r="G2081" t="str">
        <f>IF(Table3[[#This Row],[Top Parent Account]]="",Table3[[#This Row],[Account Legal Name]],Table3[[#This Row],[Top Parent Account]])</f>
        <v>Promotora de Maderas Monterrey</v>
      </c>
      <c r="H2081" s="1"/>
    </row>
    <row r="2082" spans="1:8" x14ac:dyDescent="0.35">
      <c r="A2082" s="21"/>
      <c r="B2082" t="s">
        <v>169</v>
      </c>
      <c r="C2082" t="s">
        <v>6</v>
      </c>
      <c r="D2082" t="s">
        <v>616</v>
      </c>
      <c r="F2082" s="1">
        <v>45950</v>
      </c>
      <c r="G2082" t="str">
        <f>IF(Table3[[#This Row],[Top Parent Account]]="",Table3[[#This Row],[Account Legal Name]],Table3[[#This Row],[Top Parent Account]])</f>
        <v>Absara Cosmetics</v>
      </c>
      <c r="H2082" s="1"/>
    </row>
    <row r="2083" spans="1:8" x14ac:dyDescent="0.35">
      <c r="A2083" s="21"/>
      <c r="B2083" t="s">
        <v>1511</v>
      </c>
      <c r="C2083" t="s">
        <v>22</v>
      </c>
      <c r="D2083" t="s">
        <v>3123</v>
      </c>
      <c r="F2083" s="1">
        <v>45950</v>
      </c>
      <c r="G2083" t="str">
        <f>IF(Table3[[#This Row],[Top Parent Account]]="",Table3[[#This Row],[Account Legal Name]],Table3[[#This Row],[Top Parent Account]])</f>
        <v>Ladrillera Mecanizada</v>
      </c>
      <c r="H2083" s="1"/>
    </row>
    <row r="2084" spans="1:8" x14ac:dyDescent="0.35">
      <c r="A2084" s="21"/>
      <c r="B2084" t="s">
        <v>121</v>
      </c>
      <c r="C2084" t="s">
        <v>6</v>
      </c>
      <c r="D2084" t="s">
        <v>3940</v>
      </c>
      <c r="F2084" s="1">
        <v>45950</v>
      </c>
      <c r="G2084" t="str">
        <f>IF(Table3[[#This Row],[Top Parent Account]]="",Table3[[#This Row],[Account Legal Name]],Table3[[#This Row],[Top Parent Account]])</f>
        <v>Gabino Jonathan Adriano Ceballos</v>
      </c>
      <c r="H2084" s="1"/>
    </row>
    <row r="2085" spans="1:8" x14ac:dyDescent="0.35">
      <c r="A2085" s="21"/>
      <c r="B2085" t="s">
        <v>208</v>
      </c>
      <c r="C2085" t="s">
        <v>6</v>
      </c>
      <c r="D2085" t="s">
        <v>3941</v>
      </c>
      <c r="F2085" s="1">
        <v>45950</v>
      </c>
      <c r="G2085" t="str">
        <f>IF(Table3[[#This Row],[Top Parent Account]]="",Table3[[#This Row],[Account Legal Name]],Table3[[#This Row],[Top Parent Account]])</f>
        <v>Comercializadora de aceros y suministros y colocacipon de señalamientos Carreteros</v>
      </c>
      <c r="H2085" s="1"/>
    </row>
    <row r="2086" spans="1:8" x14ac:dyDescent="0.35">
      <c r="A2086" s="21"/>
      <c r="B2086" t="s">
        <v>21</v>
      </c>
      <c r="C2086" t="s">
        <v>6</v>
      </c>
      <c r="D2086" t="s">
        <v>3942</v>
      </c>
      <c r="F2086" s="1">
        <v>45950</v>
      </c>
      <c r="G2086" t="str">
        <f>IF(Table3[[#This Row],[Top Parent Account]]="",Table3[[#This Row],[Account Legal Name]],Table3[[#This Row],[Top Parent Account]])</f>
        <v>BYB Transportes de Carga en General</v>
      </c>
      <c r="H2086" s="1"/>
    </row>
    <row r="2087" spans="1:8" x14ac:dyDescent="0.35">
      <c r="A2087" s="21"/>
      <c r="B2087" t="s">
        <v>932</v>
      </c>
      <c r="C2087" t="s">
        <v>3943</v>
      </c>
      <c r="D2087" t="s">
        <v>3685</v>
      </c>
      <c r="E2087" t="s">
        <v>3686</v>
      </c>
      <c r="F2087" s="1">
        <v>45950</v>
      </c>
      <c r="G2087" t="str">
        <f>IF(Table3[[#This Row],[Top Parent Account]]="",Table3[[#This Row],[Account Legal Name]],Table3[[#This Row],[Top Parent Account]])</f>
        <v>Union Quimica</v>
      </c>
      <c r="H2087" s="1"/>
    </row>
    <row r="2088" spans="1:8" x14ac:dyDescent="0.35">
      <c r="A2088" s="21"/>
      <c r="B2088" t="s">
        <v>88</v>
      </c>
      <c r="C2088" t="s">
        <v>6</v>
      </c>
      <c r="D2088" t="s">
        <v>3944</v>
      </c>
      <c r="F2088" s="1">
        <v>45950</v>
      </c>
      <c r="G2088" t="str">
        <f>IF(Table3[[#This Row],[Top Parent Account]]="",Table3[[#This Row],[Account Legal Name]],Table3[[#This Row],[Top Parent Account]])</f>
        <v>Gala Pharma</v>
      </c>
      <c r="H2088" s="1"/>
    </row>
    <row r="2089" spans="1:8" x14ac:dyDescent="0.35">
      <c r="A2089" s="21"/>
      <c r="B2089" t="s">
        <v>3175</v>
      </c>
      <c r="C2089" t="s">
        <v>6</v>
      </c>
      <c r="D2089" t="s">
        <v>3864</v>
      </c>
      <c r="F2089" s="1">
        <v>45950</v>
      </c>
      <c r="G2089" t="str">
        <f>IF(Table3[[#This Row],[Top Parent Account]]="",Table3[[#This Row],[Account Legal Name]],Table3[[#This Row],[Top Parent Account]])</f>
        <v>Circus Confecciones</v>
      </c>
      <c r="H2089" s="1"/>
    </row>
    <row r="2090" spans="1:8" x14ac:dyDescent="0.35">
      <c r="A2090" s="21"/>
      <c r="B2090" t="s">
        <v>208</v>
      </c>
      <c r="C2090" t="s">
        <v>6</v>
      </c>
      <c r="D2090" t="s">
        <v>957</v>
      </c>
      <c r="F2090" s="1">
        <v>45950</v>
      </c>
      <c r="G2090" t="str">
        <f>IF(Table3[[#This Row],[Top Parent Account]]="",Table3[[#This Row],[Account Legal Name]],Table3[[#This Row],[Top Parent Account]])</f>
        <v>Simon Electrica</v>
      </c>
      <c r="H2090" s="1"/>
    </row>
    <row r="2091" spans="1:8" x14ac:dyDescent="0.35">
      <c r="A2091" s="21"/>
      <c r="B2091" t="s">
        <v>70</v>
      </c>
      <c r="C2091" t="s">
        <v>6</v>
      </c>
      <c r="D2091" t="s">
        <v>3693</v>
      </c>
      <c r="F2091" s="1">
        <v>45950</v>
      </c>
      <c r="G2091" t="str">
        <f>IF(Table3[[#This Row],[Top Parent Account]]="",Table3[[#This Row],[Account Legal Name]],Table3[[#This Row],[Top Parent Account]])</f>
        <v>Sofilab</v>
      </c>
      <c r="H2091" s="1"/>
    </row>
    <row r="2092" spans="1:8" x14ac:dyDescent="0.35">
      <c r="A2092" s="21"/>
      <c r="B2092" t="s">
        <v>280</v>
      </c>
      <c r="C2092" t="s">
        <v>6</v>
      </c>
      <c r="D2092" t="s">
        <v>3945</v>
      </c>
      <c r="F2092" s="1">
        <v>45947</v>
      </c>
      <c r="G2092" t="str">
        <f>IF(Table3[[#This Row],[Top Parent Account]]="",Table3[[#This Row],[Account Legal Name]],Table3[[#This Row],[Top Parent Account]])</f>
        <v>Industrias Agrícolas Mexicanas</v>
      </c>
      <c r="H2092" s="1"/>
    </row>
    <row r="2093" spans="1:8" x14ac:dyDescent="0.35">
      <c r="A2093" s="21"/>
      <c r="B2093" t="s">
        <v>10</v>
      </c>
      <c r="C2093" t="s">
        <v>6</v>
      </c>
      <c r="D2093" t="s">
        <v>3860</v>
      </c>
      <c r="F2093" s="1">
        <v>45947</v>
      </c>
      <c r="G2093" t="str">
        <f>IF(Table3[[#This Row],[Top Parent Account]]="",Table3[[#This Row],[Account Legal Name]],Table3[[#This Row],[Top Parent Account]])</f>
        <v>Amsu De Mexico</v>
      </c>
      <c r="H2093" s="1"/>
    </row>
    <row r="2094" spans="1:8" x14ac:dyDescent="0.35">
      <c r="A2094" s="21"/>
      <c r="B2094" t="s">
        <v>10</v>
      </c>
      <c r="C2094" t="s">
        <v>6</v>
      </c>
      <c r="D2094" t="s">
        <v>672</v>
      </c>
      <c r="F2094" s="1">
        <v>45947</v>
      </c>
      <c r="G2094" t="str">
        <f>IF(Table3[[#This Row],[Top Parent Account]]="",Table3[[#This Row],[Account Legal Name]],Table3[[#This Row],[Top Parent Account]])</f>
        <v>Universidad Del Valle De Atemajac</v>
      </c>
      <c r="H2094" s="1"/>
    </row>
    <row r="2095" spans="1:8" x14ac:dyDescent="0.35">
      <c r="A2095" s="21"/>
      <c r="B2095" t="s">
        <v>2884</v>
      </c>
      <c r="C2095" t="s">
        <v>6</v>
      </c>
      <c r="D2095" t="s">
        <v>3861</v>
      </c>
      <c r="F2095" s="1">
        <v>45947</v>
      </c>
      <c r="G2095" t="str">
        <f>IF(Table3[[#This Row],[Top Parent Account]]="",Table3[[#This Row],[Account Legal Name]],Table3[[#This Row],[Top Parent Account]])</f>
        <v>All4labels México</v>
      </c>
      <c r="H2095" s="1"/>
    </row>
    <row r="2096" spans="1:8" x14ac:dyDescent="0.35">
      <c r="A2096" s="21"/>
      <c r="B2096" t="s">
        <v>12</v>
      </c>
      <c r="C2096" t="s">
        <v>6</v>
      </c>
      <c r="D2096" t="s">
        <v>3862</v>
      </c>
      <c r="F2096" s="1">
        <v>45947</v>
      </c>
      <c r="G2096" t="str">
        <f>IF(Table3[[#This Row],[Top Parent Account]]="",Table3[[#This Row],[Account Legal Name]],Table3[[#This Row],[Top Parent Account]])</f>
        <v>ADMINISTRACIONES CORPORATIVAS GUTIERREZ</v>
      </c>
      <c r="H2096" s="1"/>
    </row>
    <row r="2097" spans="1:8" x14ac:dyDescent="0.35">
      <c r="A2097" s="21"/>
      <c r="B2097" t="s">
        <v>2912</v>
      </c>
      <c r="C2097" t="s">
        <v>6</v>
      </c>
      <c r="D2097" t="s">
        <v>3863</v>
      </c>
      <c r="F2097" s="1">
        <v>45947</v>
      </c>
      <c r="G2097" t="str">
        <f>IF(Table3[[#This Row],[Top Parent Account]]="",Table3[[#This Row],[Account Legal Name]],Table3[[#This Row],[Top Parent Account]])</f>
        <v>Grupo Adet</v>
      </c>
      <c r="H2097" s="1"/>
    </row>
    <row r="2098" spans="1:8" x14ac:dyDescent="0.35">
      <c r="A2098" s="21"/>
      <c r="B2098" t="s">
        <v>28</v>
      </c>
      <c r="C2098" t="s">
        <v>6</v>
      </c>
      <c r="D2098" t="s">
        <v>3886</v>
      </c>
      <c r="F2098" s="1">
        <v>45947</v>
      </c>
      <c r="G2098" t="str">
        <f>IF(Table3[[#This Row],[Top Parent Account]]="",Table3[[#This Row],[Account Legal Name]],Table3[[#This Row],[Top Parent Account]])</f>
        <v>ALFAJARIN</v>
      </c>
      <c r="H2098" s="1"/>
    </row>
    <row r="2099" spans="1:8" x14ac:dyDescent="0.35">
      <c r="A2099" s="21"/>
      <c r="B2099" t="s">
        <v>3175</v>
      </c>
      <c r="C2099" t="s">
        <v>6</v>
      </c>
      <c r="D2099" t="s">
        <v>3864</v>
      </c>
      <c r="F2099" s="1">
        <v>45947</v>
      </c>
      <c r="G2099" t="str">
        <f>IF(Table3[[#This Row],[Top Parent Account]]="",Table3[[#This Row],[Account Legal Name]],Table3[[#This Row],[Top Parent Account]])</f>
        <v>Circus Confecciones</v>
      </c>
      <c r="H2099" s="1"/>
    </row>
    <row r="2100" spans="1:8" x14ac:dyDescent="0.35">
      <c r="A2100" s="21"/>
      <c r="B2100" t="s">
        <v>3553</v>
      </c>
      <c r="C2100" t="s">
        <v>6</v>
      </c>
      <c r="D2100" t="s">
        <v>3770</v>
      </c>
      <c r="F2100" s="1">
        <v>45947</v>
      </c>
      <c r="G2100" t="str">
        <f>IF(Table3[[#This Row],[Top Parent Account]]="",Table3[[#This Row],[Account Legal Name]],Table3[[#This Row],[Top Parent Account]])</f>
        <v>Cosmeticos trujillo</v>
      </c>
      <c r="H2100" s="1"/>
    </row>
    <row r="2101" spans="1:8" x14ac:dyDescent="0.35">
      <c r="A2101" s="21"/>
      <c r="B2101" t="s">
        <v>2912</v>
      </c>
      <c r="C2101" t="s">
        <v>6</v>
      </c>
      <c r="D2101" t="s">
        <v>3134</v>
      </c>
      <c r="F2101" s="1">
        <v>45947</v>
      </c>
      <c r="G2101" t="str">
        <f>IF(Table3[[#This Row],[Top Parent Account]]="",Table3[[#This Row],[Account Legal Name]],Table3[[#This Row],[Top Parent Account]])</f>
        <v>Alianza Eléctrica</v>
      </c>
      <c r="H2101" s="1"/>
    </row>
    <row r="2102" spans="1:8" x14ac:dyDescent="0.35">
      <c r="A2102" s="21"/>
      <c r="B2102" t="s">
        <v>172</v>
      </c>
      <c r="C2102" t="s">
        <v>6</v>
      </c>
      <c r="D2102" t="s">
        <v>113</v>
      </c>
      <c r="F2102" s="1">
        <v>45947</v>
      </c>
      <c r="G2102" t="str">
        <f>IF(Table3[[#This Row],[Top Parent Account]]="",Table3[[#This Row],[Account Legal Name]],Table3[[#This Row],[Top Parent Account]])</f>
        <v>Setramex</v>
      </c>
      <c r="H2102" s="1"/>
    </row>
    <row r="2103" spans="1:8" x14ac:dyDescent="0.35">
      <c r="A2103" s="21"/>
      <c r="B2103" t="s">
        <v>38</v>
      </c>
      <c r="C2103" t="s">
        <v>6</v>
      </c>
      <c r="D2103" t="s">
        <v>504</v>
      </c>
      <c r="F2103" s="1">
        <v>45947</v>
      </c>
      <c r="G2103" t="str">
        <f>IF(Table3[[#This Row],[Top Parent Account]]="",Table3[[#This Row],[Account Legal Name]],Table3[[#This Row],[Top Parent Account]])</f>
        <v>Anguiplast</v>
      </c>
      <c r="H2103" s="1"/>
    </row>
    <row r="2104" spans="1:8" x14ac:dyDescent="0.35">
      <c r="A2104" s="21"/>
      <c r="B2104" t="s">
        <v>207</v>
      </c>
      <c r="C2104" t="s">
        <v>6</v>
      </c>
      <c r="D2104" t="s">
        <v>3105</v>
      </c>
      <c r="F2104" s="1">
        <v>45947</v>
      </c>
      <c r="G2104" t="str">
        <f>IF(Table3[[#This Row],[Top Parent Account]]="",Table3[[#This Row],[Account Legal Name]],Table3[[#This Row],[Top Parent Account]])</f>
        <v>Compañía Comercializadora Prodín Centro</v>
      </c>
      <c r="H2104" s="1"/>
    </row>
    <row r="2105" spans="1:8" x14ac:dyDescent="0.35">
      <c r="A2105" s="21"/>
      <c r="B2105" t="s">
        <v>37</v>
      </c>
      <c r="C2105" t="s">
        <v>6</v>
      </c>
      <c r="D2105" t="s">
        <v>3865</v>
      </c>
      <c r="F2105" s="1">
        <v>45947</v>
      </c>
      <c r="G2105" t="str">
        <f>IF(Table3[[#This Row],[Top Parent Account]]="",Table3[[#This Row],[Account Legal Name]],Table3[[#This Row],[Top Parent Account]])</f>
        <v>PIP PIP MOBILITY</v>
      </c>
      <c r="H2105" s="1"/>
    </row>
    <row r="2106" spans="1:8" x14ac:dyDescent="0.35">
      <c r="A2106" s="21"/>
      <c r="B2106" t="s">
        <v>172</v>
      </c>
      <c r="C2106" t="s">
        <v>6</v>
      </c>
      <c r="D2106" t="s">
        <v>113</v>
      </c>
      <c r="F2106" s="1">
        <v>45947</v>
      </c>
      <c r="G2106" t="str">
        <f>IF(Table3[[#This Row],[Top Parent Account]]="",Table3[[#This Row],[Account Legal Name]],Table3[[#This Row],[Top Parent Account]])</f>
        <v>Setramex</v>
      </c>
      <c r="H2106" s="1"/>
    </row>
    <row r="2107" spans="1:8" x14ac:dyDescent="0.35">
      <c r="A2107" s="21"/>
      <c r="B2107" t="s">
        <v>1131</v>
      </c>
      <c r="C2107" t="s">
        <v>22</v>
      </c>
      <c r="D2107" t="s">
        <v>3866</v>
      </c>
      <c r="F2107" s="1">
        <v>45947</v>
      </c>
      <c r="G2107" t="str">
        <f>IF(Table3[[#This Row],[Top Parent Account]]="",Table3[[#This Row],[Account Legal Name]],Table3[[#This Row],[Top Parent Account]])</f>
        <v>Trob Transportes</v>
      </c>
      <c r="H2107" s="1"/>
    </row>
    <row r="2108" spans="1:8" x14ac:dyDescent="0.35">
      <c r="A2108" s="21"/>
      <c r="B2108" t="s">
        <v>84</v>
      </c>
      <c r="C2108" t="s">
        <v>193</v>
      </c>
      <c r="D2108" t="s">
        <v>3800</v>
      </c>
      <c r="F2108" s="1">
        <v>45946</v>
      </c>
      <c r="G2108" t="str">
        <f>IF(Table3[[#This Row],[Top Parent Account]]="",Table3[[#This Row],[Account Legal Name]],Table3[[#This Row],[Top Parent Account]])</f>
        <v>NutriMex</v>
      </c>
      <c r="H2108" s="1"/>
    </row>
    <row r="2109" spans="1:8" x14ac:dyDescent="0.35">
      <c r="A2109" s="21"/>
      <c r="B2109" t="s">
        <v>84</v>
      </c>
      <c r="C2109" t="s">
        <v>3798</v>
      </c>
      <c r="D2109" t="s">
        <v>3574</v>
      </c>
      <c r="E2109" t="s">
        <v>1060</v>
      </c>
      <c r="F2109" s="1">
        <v>45946</v>
      </c>
      <c r="G2109" t="str">
        <f>IF(Table3[[#This Row],[Top Parent Account]]="",Table3[[#This Row],[Account Legal Name]],Table3[[#This Row],[Top Parent Account]])</f>
        <v>Cremería Del Yaqui</v>
      </c>
      <c r="H2109" s="1"/>
    </row>
    <row r="2110" spans="1:8" x14ac:dyDescent="0.35">
      <c r="A2110" s="21"/>
      <c r="B2110" t="s">
        <v>84</v>
      </c>
      <c r="C2110" t="s">
        <v>3799</v>
      </c>
      <c r="D2110" t="s">
        <v>1178</v>
      </c>
      <c r="E2110" t="s">
        <v>1196</v>
      </c>
      <c r="F2110" s="1">
        <v>45946</v>
      </c>
      <c r="G2110" t="str">
        <f>IF(Table3[[#This Row],[Top Parent Account]]="",Table3[[#This Row],[Account Legal Name]],Table3[[#This Row],[Top Parent Account]])</f>
        <v>TRANSPORTES LACTEOS DEL NORTE</v>
      </c>
      <c r="H2110" s="1"/>
    </row>
    <row r="2111" spans="1:8" x14ac:dyDescent="0.35">
      <c r="A2111" s="21"/>
      <c r="B2111" t="s">
        <v>3129</v>
      </c>
      <c r="C2111" t="s">
        <v>3867</v>
      </c>
      <c r="D2111" t="s">
        <v>3868</v>
      </c>
      <c r="F2111" s="1">
        <v>45946</v>
      </c>
      <c r="G2111" t="str">
        <f>IF(Table3[[#This Row],[Top Parent Account]]="",Table3[[#This Row],[Account Legal Name]],Table3[[#This Row],[Top Parent Account]])</f>
        <v>CASKA MEXICO</v>
      </c>
      <c r="H2111" s="1"/>
    </row>
    <row r="2112" spans="1:8" x14ac:dyDescent="0.35">
      <c r="A2112" s="21"/>
      <c r="B2112" t="s">
        <v>12</v>
      </c>
      <c r="C2112" t="s">
        <v>6</v>
      </c>
      <c r="D2112" t="s">
        <v>3801</v>
      </c>
      <c r="F2112" s="1">
        <v>45946</v>
      </c>
      <c r="G2112" t="str">
        <f>IF(Table3[[#This Row],[Top Parent Account]]="",Table3[[#This Row],[Account Legal Name]],Table3[[#This Row],[Top Parent Account]])</f>
        <v>Etiquetas y Etiquetadoras Del Sureste</v>
      </c>
      <c r="H2112" s="1"/>
    </row>
    <row r="2113" spans="1:8" x14ac:dyDescent="0.35">
      <c r="A2113" s="21"/>
      <c r="B2113" t="s">
        <v>207</v>
      </c>
      <c r="C2113" t="s">
        <v>6</v>
      </c>
      <c r="D2113" t="s">
        <v>3802</v>
      </c>
      <c r="F2113" s="1">
        <v>45946</v>
      </c>
      <c r="G2113" t="str">
        <f>IF(Table3[[#This Row],[Top Parent Account]]="",Table3[[#This Row],[Account Legal Name]],Table3[[#This Row],[Top Parent Account]])</f>
        <v>Grupo Dialse</v>
      </c>
      <c r="H2113" s="1"/>
    </row>
    <row r="2114" spans="1:8" x14ac:dyDescent="0.35">
      <c r="A2114" s="21"/>
      <c r="B2114" t="s">
        <v>32</v>
      </c>
      <c r="C2114" t="s">
        <v>6</v>
      </c>
      <c r="D2114" t="s">
        <v>4609</v>
      </c>
      <c r="F2114" s="1">
        <v>45946</v>
      </c>
      <c r="G2114" t="str">
        <f>IF(Table3[[#This Row],[Top Parent Account]]="",Table3[[#This Row],[Account Legal Name]],Table3[[#This Row],[Top Parent Account]])</f>
        <v>Gestamp Puebla</v>
      </c>
      <c r="H2114" s="1"/>
    </row>
    <row r="2115" spans="1:8" x14ac:dyDescent="0.35">
      <c r="A2115" s="21"/>
      <c r="B2115" t="s">
        <v>23</v>
      </c>
      <c r="C2115" t="s">
        <v>6</v>
      </c>
      <c r="D2115" t="s">
        <v>920</v>
      </c>
      <c r="F2115" s="1">
        <v>45946</v>
      </c>
      <c r="G2115" t="str">
        <f>IF(Table3[[#This Row],[Top Parent Account]]="",Table3[[#This Row],[Account Legal Name]],Table3[[#This Row],[Top Parent Account]])</f>
        <v>Transporte de Personal Tours Ejecutivos</v>
      </c>
      <c r="H2115" s="1"/>
    </row>
    <row r="2116" spans="1:8" x14ac:dyDescent="0.35">
      <c r="A2116" s="21"/>
      <c r="B2116" t="s">
        <v>2884</v>
      </c>
      <c r="C2116" t="s">
        <v>6</v>
      </c>
      <c r="D2116" t="s">
        <v>3869</v>
      </c>
      <c r="E2116" t="s">
        <v>313</v>
      </c>
      <c r="F2116" s="1">
        <v>45946</v>
      </c>
      <c r="G2116" t="str">
        <f>IF(Table3[[#This Row],[Top Parent Account]]="",Table3[[#This Row],[Account Legal Name]],Table3[[#This Row],[Top Parent Account]])</f>
        <v>Mitsui de México</v>
      </c>
      <c r="H2116" s="1"/>
    </row>
    <row r="2117" spans="1:8" x14ac:dyDescent="0.35">
      <c r="A2117" s="21"/>
      <c r="B2117" t="s">
        <v>26</v>
      </c>
      <c r="C2117" t="s">
        <v>6</v>
      </c>
      <c r="D2117" t="s">
        <v>2185</v>
      </c>
      <c r="E2117" t="s">
        <v>2186</v>
      </c>
      <c r="F2117" s="1">
        <v>45946</v>
      </c>
      <c r="G2117" t="str">
        <f>IF(Table3[[#This Row],[Top Parent Account]]="",Table3[[#This Row],[Account Legal Name]],Table3[[#This Row],[Top Parent Account]])</f>
        <v>Unicar Mexicana</v>
      </c>
      <c r="H2117" s="1"/>
    </row>
    <row r="2118" spans="1:8" x14ac:dyDescent="0.35">
      <c r="A2118" s="21"/>
      <c r="B2118" t="s">
        <v>39</v>
      </c>
      <c r="C2118" t="s">
        <v>3803</v>
      </c>
      <c r="D2118" t="s">
        <v>2228</v>
      </c>
      <c r="F2118" s="1">
        <v>45946</v>
      </c>
      <c r="G2118" t="str">
        <f>IF(Table3[[#This Row],[Top Parent Account]]="",Table3[[#This Row],[Account Legal Name]],Table3[[#This Row],[Top Parent Account]])</f>
        <v>G Y S Marketing</v>
      </c>
      <c r="H2118" s="1"/>
    </row>
    <row r="2119" spans="1:8" x14ac:dyDescent="0.35">
      <c r="A2119" s="21"/>
      <c r="B2119" t="s">
        <v>10</v>
      </c>
      <c r="C2119" t="s">
        <v>6</v>
      </c>
      <c r="D2119" t="s">
        <v>79</v>
      </c>
      <c r="F2119" s="1">
        <v>45946</v>
      </c>
      <c r="G2119" t="str">
        <f>IF(Table3[[#This Row],[Top Parent Account]]="",Table3[[#This Row],[Account Legal Name]],Table3[[#This Row],[Top Parent Account]])</f>
        <v>Cereales y Pastas</v>
      </c>
      <c r="H2119" s="1"/>
    </row>
    <row r="2120" spans="1:8" x14ac:dyDescent="0.35">
      <c r="A2120" s="21"/>
      <c r="B2120" t="s">
        <v>116</v>
      </c>
      <c r="C2120" t="s">
        <v>6</v>
      </c>
      <c r="D2120" t="s">
        <v>3870</v>
      </c>
      <c r="F2120" s="1">
        <v>45946</v>
      </c>
      <c r="G2120" t="str">
        <f>IF(Table3[[#This Row],[Top Parent Account]]="",Table3[[#This Row],[Account Legal Name]],Table3[[#This Row],[Top Parent Account]])</f>
        <v>Tyson México Trading Company</v>
      </c>
      <c r="H2120" s="1"/>
    </row>
    <row r="2121" spans="1:8" x14ac:dyDescent="0.35">
      <c r="A2121" s="21"/>
      <c r="B2121" t="s">
        <v>88</v>
      </c>
      <c r="C2121" t="s">
        <v>6</v>
      </c>
      <c r="D2121" t="s">
        <v>3804</v>
      </c>
      <c r="F2121" s="1">
        <v>45946</v>
      </c>
      <c r="G2121" t="str">
        <f>IF(Table3[[#This Row],[Top Parent Account]]="",Table3[[#This Row],[Account Legal Name]],Table3[[#This Row],[Top Parent Account]])</f>
        <v>Grupo Mundotel</v>
      </c>
      <c r="H2121" s="1"/>
    </row>
    <row r="2122" spans="1:8" x14ac:dyDescent="0.35">
      <c r="A2122" s="21"/>
      <c r="B2122" t="s">
        <v>3628</v>
      </c>
      <c r="C2122" t="s">
        <v>6</v>
      </c>
      <c r="D2122" t="s">
        <v>3871</v>
      </c>
      <c r="F2122" s="1">
        <v>45946</v>
      </c>
      <c r="G2122" t="str">
        <f>IF(Table3[[#This Row],[Top Parent Account]]="",Table3[[#This Row],[Account Legal Name]],Table3[[#This Row],[Top Parent Account]])</f>
        <v>Industrial &amp; Mining Solution</v>
      </c>
      <c r="H2122" s="1"/>
    </row>
    <row r="2123" spans="1:8" x14ac:dyDescent="0.35">
      <c r="A2123" s="21"/>
      <c r="B2123" t="s">
        <v>739</v>
      </c>
      <c r="C2123" t="s">
        <v>6</v>
      </c>
      <c r="D2123" t="s">
        <v>3872</v>
      </c>
      <c r="F2123" s="1">
        <v>45946</v>
      </c>
      <c r="G2123" t="str">
        <f>IF(Table3[[#This Row],[Top Parent Account]]="",Table3[[#This Row],[Account Legal Name]],Table3[[#This Row],[Top Parent Account]])</f>
        <v>Carl Zeiss de México</v>
      </c>
      <c r="H2123" s="1"/>
    </row>
    <row r="2124" spans="1:8" x14ac:dyDescent="0.35">
      <c r="A2124" s="21"/>
      <c r="B2124" t="s">
        <v>1131</v>
      </c>
      <c r="C2124" t="s">
        <v>6</v>
      </c>
      <c r="D2124" t="s">
        <v>2482</v>
      </c>
      <c r="F2124" s="1">
        <v>45946</v>
      </c>
      <c r="G2124" t="str">
        <f>IF(Table3[[#This Row],[Top Parent Account]]="",Table3[[#This Row],[Account Legal Name]],Table3[[#This Row],[Top Parent Account]])</f>
        <v>Eficiencia en Sistemas de Energía Renovable del Centro</v>
      </c>
      <c r="H2124" s="1"/>
    </row>
    <row r="2125" spans="1:8" x14ac:dyDescent="0.35">
      <c r="A2125" s="21"/>
      <c r="B2125" t="s">
        <v>1131</v>
      </c>
      <c r="C2125" t="s">
        <v>6</v>
      </c>
      <c r="D2125" t="s">
        <v>3133</v>
      </c>
      <c r="F2125" s="1">
        <v>45946</v>
      </c>
      <c r="G2125" t="str">
        <f>IF(Table3[[#This Row],[Top Parent Account]]="",Table3[[#This Row],[Account Legal Name]],Table3[[#This Row],[Top Parent Account]])</f>
        <v>Frigorizados La Huerta</v>
      </c>
      <c r="H2125" s="1"/>
    </row>
    <row r="2126" spans="1:8" x14ac:dyDescent="0.35">
      <c r="A2126" s="21"/>
      <c r="B2126" t="s">
        <v>12</v>
      </c>
      <c r="C2126" t="s">
        <v>6</v>
      </c>
      <c r="D2126" t="s">
        <v>3756</v>
      </c>
      <c r="F2126" s="1">
        <v>45946</v>
      </c>
      <c r="G2126" t="str">
        <f>IF(Table3[[#This Row],[Top Parent Account]]="",Table3[[#This Row],[Account Legal Name]],Table3[[#This Row],[Top Parent Account]])</f>
        <v>EGOMARKETING</v>
      </c>
      <c r="H2126" s="1"/>
    </row>
    <row r="2127" spans="1:8" x14ac:dyDescent="0.35">
      <c r="A2127" s="21"/>
      <c r="B2127" t="s">
        <v>70</v>
      </c>
      <c r="C2127" t="s">
        <v>6</v>
      </c>
      <c r="D2127" t="s">
        <v>3873</v>
      </c>
      <c r="F2127" s="1">
        <v>45946</v>
      </c>
      <c r="G2127" t="str">
        <f>IF(Table3[[#This Row],[Top Parent Account]]="",Table3[[#This Row],[Account Legal Name]],Table3[[#This Row],[Top Parent Account]])</f>
        <v>SUPRA LOGISTICS</v>
      </c>
      <c r="H2127" s="1"/>
    </row>
    <row r="2128" spans="1:8" x14ac:dyDescent="0.35">
      <c r="A2128" s="21"/>
      <c r="B2128" t="s">
        <v>3114</v>
      </c>
      <c r="C2128" t="s">
        <v>52</v>
      </c>
      <c r="D2128" t="s">
        <v>3805</v>
      </c>
      <c r="F2128" s="1">
        <v>45946</v>
      </c>
      <c r="G2128" t="str">
        <f>IF(Table3[[#This Row],[Top Parent Account]]="",Table3[[#This Row],[Account Legal Name]],Table3[[#This Row],[Top Parent Account]])</f>
        <v>EXEL DEL  NORTE</v>
      </c>
      <c r="H2128" s="1"/>
    </row>
    <row r="2129" spans="1:8" x14ac:dyDescent="0.35">
      <c r="A2129" s="21"/>
      <c r="B2129" t="s">
        <v>26</v>
      </c>
      <c r="C2129" t="s">
        <v>6</v>
      </c>
      <c r="D2129" t="s">
        <v>490</v>
      </c>
      <c r="F2129" s="1">
        <v>45946</v>
      </c>
      <c r="G2129" t="str">
        <f>IF(Table3[[#This Row],[Top Parent Account]]="",Table3[[#This Row],[Account Legal Name]],Table3[[#This Row],[Top Parent Account]])</f>
        <v>GLM Components México</v>
      </c>
      <c r="H2129" s="1"/>
    </row>
    <row r="2130" spans="1:8" x14ac:dyDescent="0.35">
      <c r="A2130" s="21"/>
      <c r="B2130" t="s">
        <v>589</v>
      </c>
      <c r="C2130" t="s">
        <v>6</v>
      </c>
      <c r="D2130" t="s">
        <v>3874</v>
      </c>
      <c r="F2130" s="1">
        <v>45946</v>
      </c>
      <c r="G2130" t="str">
        <f>IF(Table3[[#This Row],[Top Parent Account]]="",Table3[[#This Row],[Account Legal Name]],Table3[[#This Row],[Top Parent Account]])</f>
        <v>Viabus</v>
      </c>
      <c r="H2130" s="1"/>
    </row>
    <row r="2131" spans="1:8" x14ac:dyDescent="0.35">
      <c r="A2131" s="21"/>
      <c r="B2131" t="s">
        <v>3182</v>
      </c>
      <c r="C2131" t="s">
        <v>6</v>
      </c>
      <c r="D2131" t="s">
        <v>3183</v>
      </c>
      <c r="E2131" t="s">
        <v>919</v>
      </c>
      <c r="F2131" s="1">
        <v>45946</v>
      </c>
      <c r="G2131" t="str">
        <f>IF(Table3[[#This Row],[Top Parent Account]]="",Table3[[#This Row],[Account Legal Name]],Table3[[#This Row],[Top Parent Account]])</f>
        <v>Caabsa</v>
      </c>
      <c r="H2131" s="1"/>
    </row>
    <row r="2132" spans="1:8" x14ac:dyDescent="0.35">
      <c r="A2132" s="21"/>
      <c r="B2132" t="s">
        <v>2912</v>
      </c>
      <c r="C2132" t="s">
        <v>6</v>
      </c>
      <c r="D2132" t="s">
        <v>3887</v>
      </c>
      <c r="E2132" t="s">
        <v>3888</v>
      </c>
      <c r="F2132" s="1">
        <v>45946</v>
      </c>
      <c r="G2132" t="str">
        <f>IF(Table3[[#This Row],[Top Parent Account]]="",Table3[[#This Row],[Account Legal Name]],Table3[[#This Row],[Top Parent Account]])</f>
        <v>Grisi Hnos.</v>
      </c>
      <c r="H2132" s="1"/>
    </row>
    <row r="2133" spans="1:8" x14ac:dyDescent="0.35">
      <c r="A2133" s="21"/>
      <c r="B2133" t="s">
        <v>27</v>
      </c>
      <c r="C2133" t="s">
        <v>6</v>
      </c>
      <c r="D2133" t="s">
        <v>3946</v>
      </c>
      <c r="E2133" t="s">
        <v>1288</v>
      </c>
      <c r="F2133" s="1">
        <v>45946</v>
      </c>
      <c r="G2133" t="str">
        <f>IF(Table3[[#This Row],[Top Parent Account]]="",Table3[[#This Row],[Account Legal Name]],Table3[[#This Row],[Top Parent Account]])</f>
        <v>Bachoco</v>
      </c>
      <c r="H2133" s="1"/>
    </row>
    <row r="2134" spans="1:8" x14ac:dyDescent="0.35">
      <c r="A2134" s="21"/>
      <c r="B2134" t="s">
        <v>169</v>
      </c>
      <c r="C2134" t="s">
        <v>6</v>
      </c>
      <c r="D2134" t="s">
        <v>3806</v>
      </c>
      <c r="F2134" s="1">
        <v>45946</v>
      </c>
      <c r="G2134" t="str">
        <f>IF(Table3[[#This Row],[Top Parent Account]]="",Table3[[#This Row],[Account Legal Name]],Table3[[#This Row],[Top Parent Account]])</f>
        <v>MADRAX GREEN AUTOMATION</v>
      </c>
      <c r="H2134" s="1"/>
    </row>
    <row r="2135" spans="1:8" x14ac:dyDescent="0.35">
      <c r="A2135" s="21"/>
      <c r="B2135" t="s">
        <v>8</v>
      </c>
      <c r="C2135" t="s">
        <v>22</v>
      </c>
      <c r="D2135" t="s">
        <v>3859</v>
      </c>
      <c r="F2135" s="1">
        <v>45946</v>
      </c>
      <c r="G2135" t="str">
        <f>IF(Table3[[#This Row],[Top Parent Account]]="",Table3[[#This Row],[Account Legal Name]],Table3[[#This Row],[Top Parent Account]])</f>
        <v>LM Minería y Proyectos</v>
      </c>
      <c r="H2135" s="1"/>
    </row>
    <row r="2136" spans="1:8" x14ac:dyDescent="0.35">
      <c r="A2136" s="21"/>
      <c r="B2136" t="s">
        <v>32</v>
      </c>
      <c r="C2136" t="s">
        <v>6</v>
      </c>
      <c r="D2136" t="s">
        <v>3808</v>
      </c>
      <c r="F2136" s="1">
        <v>45946</v>
      </c>
      <c r="G2136" t="str">
        <f>IF(Table3[[#This Row],[Top Parent Account]]="",Table3[[#This Row],[Account Legal Name]],Table3[[#This Row],[Top Parent Account]])</f>
        <v>Automotriz R&amp;R</v>
      </c>
      <c r="H2136" s="1"/>
    </row>
    <row r="2137" spans="1:8" x14ac:dyDescent="0.35">
      <c r="A2137" s="21"/>
      <c r="B2137" t="s">
        <v>375</v>
      </c>
      <c r="C2137" t="s">
        <v>6</v>
      </c>
      <c r="D2137" t="s">
        <v>1084</v>
      </c>
      <c r="F2137" s="1">
        <v>45946</v>
      </c>
      <c r="G2137" t="str">
        <f>IF(Table3[[#This Row],[Top Parent Account]]="",Table3[[#This Row],[Account Legal Name]],Table3[[#This Row],[Top Parent Account]])</f>
        <v>Hi-Tec Medical</v>
      </c>
      <c r="H2137" s="1"/>
    </row>
    <row r="2138" spans="1:8" x14ac:dyDescent="0.35">
      <c r="A2138" s="21"/>
      <c r="B2138" t="s">
        <v>2345</v>
      </c>
      <c r="C2138" t="s">
        <v>6</v>
      </c>
      <c r="D2138" t="s">
        <v>3807</v>
      </c>
      <c r="F2138" s="1">
        <v>45946</v>
      </c>
      <c r="G2138" t="str">
        <f>IF(Table3[[#This Row],[Top Parent Account]]="",Table3[[#This Row],[Account Legal Name]],Table3[[#This Row],[Top Parent Account]])</f>
        <v>Noverek &amp; Associates</v>
      </c>
      <c r="H2138" s="1"/>
    </row>
    <row r="2139" spans="1:8" x14ac:dyDescent="0.35">
      <c r="A2139" s="21"/>
      <c r="B2139" t="s">
        <v>1899</v>
      </c>
      <c r="C2139" t="s">
        <v>6</v>
      </c>
      <c r="D2139" t="s">
        <v>3810</v>
      </c>
      <c r="F2139" s="1">
        <v>45946</v>
      </c>
      <c r="G2139" t="str">
        <f>IF(Table3[[#This Row],[Top Parent Account]]="",Table3[[#This Row],[Account Legal Name]],Table3[[#This Row],[Top Parent Account]])</f>
        <v>Transportación y Logística de la Cruz</v>
      </c>
      <c r="H2139" s="1"/>
    </row>
    <row r="2140" spans="1:8" x14ac:dyDescent="0.35">
      <c r="A2140" s="21"/>
      <c r="B2140" t="s">
        <v>3114</v>
      </c>
      <c r="C2140" t="s">
        <v>52</v>
      </c>
      <c r="D2140" t="s">
        <v>3809</v>
      </c>
      <c r="F2140" s="1">
        <v>45946</v>
      </c>
      <c r="G2140" t="str">
        <f>IF(Table3[[#This Row],[Top Parent Account]]="",Table3[[#This Row],[Account Legal Name]],Table3[[#This Row],[Top Parent Account]])</f>
        <v>Katcon</v>
      </c>
      <c r="H2140" s="1"/>
    </row>
    <row r="2141" spans="1:8" x14ac:dyDescent="0.35">
      <c r="A2141" s="21"/>
      <c r="B2141" t="s">
        <v>925</v>
      </c>
      <c r="C2141" t="s">
        <v>6</v>
      </c>
      <c r="D2141" t="s">
        <v>826</v>
      </c>
      <c r="F2141" s="1">
        <v>45946</v>
      </c>
      <c r="G2141" t="str">
        <f>IF(Table3[[#This Row],[Top Parent Account]]="",Table3[[#This Row],[Account Legal Name]],Table3[[#This Row],[Top Parent Account]])</f>
        <v>ELASTOMEROS TAZA</v>
      </c>
      <c r="H2141" s="1"/>
    </row>
    <row r="2142" spans="1:8" x14ac:dyDescent="0.35">
      <c r="A2142" s="21"/>
      <c r="B2142" t="s">
        <v>26</v>
      </c>
      <c r="C2142" t="s">
        <v>6</v>
      </c>
      <c r="D2142" t="s">
        <v>3811</v>
      </c>
      <c r="F2142" s="1">
        <v>45946</v>
      </c>
      <c r="G2142" t="str">
        <f>IF(Table3[[#This Row],[Top Parent Account]]="",Table3[[#This Row],[Account Legal Name]],Table3[[#This Row],[Top Parent Account]])</f>
        <v>Lester</v>
      </c>
      <c r="H2142" s="1"/>
    </row>
    <row r="2143" spans="1:8" x14ac:dyDescent="0.35">
      <c r="A2143" s="21"/>
      <c r="B2143" t="s">
        <v>989</v>
      </c>
      <c r="C2143" t="s">
        <v>6</v>
      </c>
      <c r="D2143" t="s">
        <v>3813</v>
      </c>
      <c r="F2143" s="1">
        <v>45946</v>
      </c>
      <c r="G2143" t="str">
        <f>IF(Table3[[#This Row],[Top Parent Account]]="",Table3[[#This Row],[Account Legal Name]],Table3[[#This Row],[Top Parent Account]])</f>
        <v>BOKOBA</v>
      </c>
      <c r="H2143" s="1"/>
    </row>
    <row r="2144" spans="1:8" x14ac:dyDescent="0.35">
      <c r="A2144" s="21"/>
      <c r="B2144" t="s">
        <v>589</v>
      </c>
      <c r="C2144" t="s">
        <v>6</v>
      </c>
      <c r="D2144" t="s">
        <v>3814</v>
      </c>
      <c r="F2144" s="1">
        <v>45946</v>
      </c>
      <c r="G2144" t="str">
        <f>IF(Table3[[#This Row],[Top Parent Account]]="",Table3[[#This Row],[Account Legal Name]],Table3[[#This Row],[Top Parent Account]])</f>
        <v>Regger</v>
      </c>
      <c r="H2144" s="1"/>
    </row>
    <row r="2145" spans="1:8" x14ac:dyDescent="0.35">
      <c r="A2145" s="21"/>
      <c r="B2145" t="s">
        <v>3553</v>
      </c>
      <c r="C2145" t="s">
        <v>6</v>
      </c>
      <c r="D2145" t="s">
        <v>3812</v>
      </c>
      <c r="F2145" s="1">
        <v>45946</v>
      </c>
      <c r="G2145" t="str">
        <f>IF(Table3[[#This Row],[Top Parent Account]]="",Table3[[#This Row],[Account Legal Name]],Table3[[#This Row],[Top Parent Account]])</f>
        <v>Ntd Ingredientes de México</v>
      </c>
      <c r="H2145" s="1"/>
    </row>
    <row r="2146" spans="1:8" x14ac:dyDescent="0.35">
      <c r="A2146" s="21"/>
      <c r="B2146" t="s">
        <v>39</v>
      </c>
      <c r="C2146" t="s">
        <v>57</v>
      </c>
      <c r="D2146" t="s">
        <v>3815</v>
      </c>
      <c r="F2146" s="1">
        <v>45946</v>
      </c>
      <c r="G2146" t="str">
        <f>IF(Table3[[#This Row],[Top Parent Account]]="",Table3[[#This Row],[Account Legal Name]],Table3[[#This Row],[Top Parent Account]])</f>
        <v>Gutierrez Diez Grupo</v>
      </c>
      <c r="H2146" s="1"/>
    </row>
    <row r="2147" spans="1:8" x14ac:dyDescent="0.35">
      <c r="A2147" s="21"/>
      <c r="B2147" t="s">
        <v>3553</v>
      </c>
      <c r="C2147" t="s">
        <v>22</v>
      </c>
      <c r="D2147" t="s">
        <v>3812</v>
      </c>
      <c r="F2147" s="1">
        <v>45946</v>
      </c>
      <c r="G2147" t="str">
        <f>IF(Table3[[#This Row],[Top Parent Account]]="",Table3[[#This Row],[Account Legal Name]],Table3[[#This Row],[Top Parent Account]])</f>
        <v>Ntd Ingredientes de México</v>
      </c>
      <c r="H2147" s="1"/>
    </row>
    <row r="2148" spans="1:8" x14ac:dyDescent="0.35">
      <c r="A2148" s="21"/>
      <c r="B2148" t="s">
        <v>21</v>
      </c>
      <c r="C2148" t="s">
        <v>6</v>
      </c>
      <c r="D2148" t="s">
        <v>3875</v>
      </c>
      <c r="E2148" t="s">
        <v>3876</v>
      </c>
      <c r="F2148" s="1">
        <v>45946</v>
      </c>
      <c r="G2148" t="str">
        <f>IF(Table3[[#This Row],[Top Parent Account]]="",Table3[[#This Row],[Account Legal Name]],Table3[[#This Row],[Top Parent Account]])</f>
        <v>Agricola Men</v>
      </c>
      <c r="H2148" s="1"/>
    </row>
    <row r="2149" spans="1:8" x14ac:dyDescent="0.35">
      <c r="A2149" s="21"/>
      <c r="B2149" t="s">
        <v>2345</v>
      </c>
      <c r="C2149" t="s">
        <v>6</v>
      </c>
      <c r="D2149" t="s">
        <v>3262</v>
      </c>
      <c r="F2149" s="1">
        <v>45946</v>
      </c>
      <c r="G2149" t="str">
        <f>IF(Table3[[#This Row],[Top Parent Account]]="",Table3[[#This Row],[Account Legal Name]],Table3[[#This Row],[Top Parent Account]])</f>
        <v>Idea Ingenieria</v>
      </c>
      <c r="H2149" s="1"/>
    </row>
    <row r="2150" spans="1:8" x14ac:dyDescent="0.35">
      <c r="A2150" s="21"/>
      <c r="B2150" t="s">
        <v>3182</v>
      </c>
      <c r="C2150" t="s">
        <v>6</v>
      </c>
      <c r="D2150" t="s">
        <v>3816</v>
      </c>
      <c r="F2150" s="1">
        <v>45946</v>
      </c>
      <c r="G2150" t="str">
        <f>IF(Table3[[#This Row],[Top Parent Account]]="",Table3[[#This Row],[Account Legal Name]],Table3[[#This Row],[Top Parent Account]])</f>
        <v>Junior de México</v>
      </c>
      <c r="H2150" s="1"/>
    </row>
    <row r="2151" spans="1:8" x14ac:dyDescent="0.35">
      <c r="A2151" s="21"/>
      <c r="B2151" t="s">
        <v>2693</v>
      </c>
      <c r="C2151" t="s">
        <v>6</v>
      </c>
      <c r="D2151" t="s">
        <v>3642</v>
      </c>
      <c r="F2151" s="1">
        <v>45946</v>
      </c>
      <c r="G2151" t="str">
        <f>IF(Table3[[#This Row],[Top Parent Account]]="",Table3[[#This Row],[Account Legal Name]],Table3[[#This Row],[Top Parent Account]])</f>
        <v>GRUPO DIECAST MEXICO</v>
      </c>
      <c r="H2151" s="1"/>
    </row>
    <row r="2152" spans="1:8" x14ac:dyDescent="0.35">
      <c r="A2152" s="21"/>
      <c r="B2152" t="s">
        <v>32</v>
      </c>
      <c r="C2152" t="s">
        <v>6</v>
      </c>
      <c r="D2152" t="s">
        <v>503</v>
      </c>
      <c r="F2152" s="1">
        <v>45945</v>
      </c>
      <c r="G2152" t="str">
        <f>IF(Table3[[#This Row],[Top Parent Account]]="",Table3[[#This Row],[Account Legal Name]],Table3[[#This Row],[Top Parent Account]])</f>
        <v>Galia Textil</v>
      </c>
      <c r="H2152" s="1"/>
    </row>
    <row r="2153" spans="1:8" x14ac:dyDescent="0.35">
      <c r="A2153" s="21"/>
      <c r="B2153" t="s">
        <v>39</v>
      </c>
      <c r="C2153" t="s">
        <v>3817</v>
      </c>
      <c r="D2153" t="s">
        <v>3645</v>
      </c>
      <c r="F2153" s="1">
        <v>45945</v>
      </c>
      <c r="G2153" t="str">
        <f>IF(Table3[[#This Row],[Top Parent Account]]="",Table3[[#This Row],[Account Legal Name]],Table3[[#This Row],[Top Parent Account]])</f>
        <v>CRISOSA</v>
      </c>
      <c r="H2153" s="1"/>
    </row>
    <row r="2154" spans="1:8" x14ac:dyDescent="0.35">
      <c r="A2154" s="21"/>
      <c r="B2154" t="s">
        <v>3628</v>
      </c>
      <c r="C2154" t="s">
        <v>6</v>
      </c>
      <c r="D2154" t="s">
        <v>3818</v>
      </c>
      <c r="F2154" s="1">
        <v>45945</v>
      </c>
      <c r="G2154" t="str">
        <f>IF(Table3[[#This Row],[Top Parent Account]]="",Table3[[#This Row],[Account Legal Name]],Table3[[#This Row],[Top Parent Account]])</f>
        <v>Win Alimentos</v>
      </c>
      <c r="H2154" s="1"/>
    </row>
    <row r="2155" spans="1:8" x14ac:dyDescent="0.35">
      <c r="A2155" s="21"/>
      <c r="B2155" t="s">
        <v>2693</v>
      </c>
      <c r="C2155" t="s">
        <v>6</v>
      </c>
      <c r="D2155" t="s">
        <v>3468</v>
      </c>
      <c r="F2155" s="1">
        <v>45945</v>
      </c>
      <c r="G2155" t="str">
        <f>IF(Table3[[#This Row],[Top Parent Account]]="",Table3[[#This Row],[Account Legal Name]],Table3[[#This Row],[Top Parent Account]])</f>
        <v>Distribucion Organica Campo Vivo</v>
      </c>
      <c r="H2155" s="1"/>
    </row>
    <row r="2156" spans="1:8" x14ac:dyDescent="0.35">
      <c r="A2156" s="21"/>
      <c r="B2156" t="s">
        <v>1511</v>
      </c>
      <c r="C2156" t="s">
        <v>6</v>
      </c>
      <c r="D2156" t="s">
        <v>3877</v>
      </c>
      <c r="F2156" s="1">
        <v>45945</v>
      </c>
      <c r="G2156" t="str">
        <f>IF(Table3[[#This Row],[Top Parent Account]]="",Table3[[#This Row],[Account Legal Name]],Table3[[#This Row],[Top Parent Account]])</f>
        <v>TEREX GENIE MEXICO</v>
      </c>
      <c r="H2156" s="1"/>
    </row>
    <row r="2157" spans="1:8" x14ac:dyDescent="0.35">
      <c r="A2157" s="21"/>
      <c r="B2157" t="s">
        <v>3093</v>
      </c>
      <c r="C2157" t="s">
        <v>6</v>
      </c>
      <c r="D2157" t="s">
        <v>4031</v>
      </c>
      <c r="F2157" s="1">
        <v>45945</v>
      </c>
      <c r="G2157" t="str">
        <f>IF(Table3[[#This Row],[Top Parent Account]]="",Table3[[#This Row],[Account Legal Name]],Table3[[#This Row],[Top Parent Account]])</f>
        <v>The American British Cowdray Medical Center</v>
      </c>
      <c r="H2157" s="1"/>
    </row>
    <row r="2158" spans="1:8" x14ac:dyDescent="0.35">
      <c r="A2158" s="21"/>
      <c r="B2158" t="s">
        <v>3175</v>
      </c>
      <c r="C2158" t="s">
        <v>6</v>
      </c>
      <c r="D2158" t="s">
        <v>3878</v>
      </c>
      <c r="F2158" s="1">
        <v>45945</v>
      </c>
      <c r="G2158" t="str">
        <f>IF(Table3[[#This Row],[Top Parent Account]]="",Table3[[#This Row],[Account Legal Name]],Table3[[#This Row],[Top Parent Account]])</f>
        <v>Fabrica Fralimbel Manufacturing</v>
      </c>
      <c r="H2158" s="1"/>
    </row>
    <row r="2159" spans="1:8" x14ac:dyDescent="0.35">
      <c r="A2159" s="21"/>
      <c r="B2159" t="s">
        <v>3628</v>
      </c>
      <c r="C2159" t="s">
        <v>6</v>
      </c>
      <c r="D2159" t="s">
        <v>3879</v>
      </c>
      <c r="F2159" s="1">
        <v>45945</v>
      </c>
      <c r="G2159" t="str">
        <f>IF(Table3[[#This Row],[Top Parent Account]]="",Table3[[#This Row],[Account Legal Name]],Table3[[#This Row],[Top Parent Account]])</f>
        <v>Tecnobrick</v>
      </c>
      <c r="H2159" s="1"/>
    </row>
    <row r="2160" spans="1:8" x14ac:dyDescent="0.35">
      <c r="A2160" s="21"/>
      <c r="B2160" t="s">
        <v>2912</v>
      </c>
      <c r="C2160" t="s">
        <v>6</v>
      </c>
      <c r="D2160" t="s">
        <v>3617</v>
      </c>
      <c r="F2160" s="1">
        <v>45945</v>
      </c>
      <c r="G2160" t="str">
        <f>IF(Table3[[#This Row],[Top Parent Account]]="",Table3[[#This Row],[Account Legal Name]],Table3[[#This Row],[Top Parent Account]])</f>
        <v>Mill Foods</v>
      </c>
      <c r="H2160" s="1"/>
    </row>
    <row r="2161" spans="1:8" x14ac:dyDescent="0.35">
      <c r="A2161" s="21"/>
      <c r="B2161" t="s">
        <v>14</v>
      </c>
      <c r="C2161" t="s">
        <v>6</v>
      </c>
      <c r="D2161" t="s">
        <v>3773</v>
      </c>
      <c r="F2161" s="1">
        <v>45945</v>
      </c>
      <c r="G2161" t="str">
        <f>IF(Table3[[#This Row],[Top Parent Account]]="",Table3[[#This Row],[Account Legal Name]],Table3[[#This Row],[Top Parent Account]])</f>
        <v>Rag Hermanos</v>
      </c>
      <c r="H2161" s="1"/>
    </row>
    <row r="2162" spans="1:8" x14ac:dyDescent="0.35">
      <c r="A2162" s="21"/>
      <c r="B2162" t="s">
        <v>3553</v>
      </c>
      <c r="C2162" t="s">
        <v>6</v>
      </c>
      <c r="D2162" t="s">
        <v>3596</v>
      </c>
      <c r="F2162" s="1">
        <v>45945</v>
      </c>
      <c r="G2162" t="str">
        <f>IF(Table3[[#This Row],[Top Parent Account]]="",Table3[[#This Row],[Account Legal Name]],Table3[[#This Row],[Top Parent Account]])</f>
        <v>KUYADI SUPPLY CHAIN</v>
      </c>
      <c r="H2162" s="1"/>
    </row>
    <row r="2163" spans="1:8" x14ac:dyDescent="0.35">
      <c r="A2163" s="21"/>
      <c r="B2163" t="s">
        <v>375</v>
      </c>
      <c r="C2163" t="s">
        <v>6</v>
      </c>
      <c r="D2163" t="s">
        <v>2752</v>
      </c>
      <c r="F2163" s="1">
        <v>45945</v>
      </c>
      <c r="G2163" t="str">
        <f>IF(Table3[[#This Row],[Top Parent Account]]="",Table3[[#This Row],[Account Legal Name]],Table3[[#This Row],[Top Parent Account]])</f>
        <v>Botanas Metropoli</v>
      </c>
      <c r="H2163" s="1"/>
    </row>
    <row r="2164" spans="1:8" x14ac:dyDescent="0.35">
      <c r="A2164" s="21"/>
      <c r="B2164" t="s">
        <v>207</v>
      </c>
      <c r="C2164" t="s">
        <v>6</v>
      </c>
      <c r="D2164" t="s">
        <v>3819</v>
      </c>
      <c r="F2164" s="1">
        <v>45945</v>
      </c>
      <c r="G2164" t="str">
        <f>IF(Table3[[#This Row],[Top Parent Account]]="",Table3[[#This Row],[Account Legal Name]],Table3[[#This Row],[Top Parent Account]])</f>
        <v>Comermares</v>
      </c>
      <c r="H2164" s="1"/>
    </row>
    <row r="2165" spans="1:8" x14ac:dyDescent="0.35">
      <c r="A2165" s="21"/>
      <c r="B2165" t="s">
        <v>925</v>
      </c>
      <c r="C2165" t="s">
        <v>6</v>
      </c>
      <c r="D2165" t="s">
        <v>1483</v>
      </c>
      <c r="F2165" s="1">
        <v>45945</v>
      </c>
      <c r="G2165" t="str">
        <f>IF(Table3[[#This Row],[Top Parent Account]]="",Table3[[#This Row],[Account Legal Name]],Table3[[#This Row],[Top Parent Account]])</f>
        <v>Ingeniería y Productos de Acero</v>
      </c>
      <c r="H2165" s="1"/>
    </row>
    <row r="2166" spans="1:8" x14ac:dyDescent="0.35">
      <c r="A2166" s="21"/>
      <c r="B2166" t="s">
        <v>24</v>
      </c>
      <c r="C2166" t="s">
        <v>6</v>
      </c>
      <c r="D2166" t="s">
        <v>3880</v>
      </c>
      <c r="F2166" s="1">
        <v>45945</v>
      </c>
      <c r="G2166" t="str">
        <f>IF(Table3[[#This Row],[Top Parent Account]]="",Table3[[#This Row],[Account Legal Name]],Table3[[#This Row],[Top Parent Account]])</f>
        <v>Higueral Produce</v>
      </c>
      <c r="H2166" s="1"/>
    </row>
    <row r="2167" spans="1:8" x14ac:dyDescent="0.35">
      <c r="A2167" s="21"/>
      <c r="B2167" t="s">
        <v>27</v>
      </c>
      <c r="C2167" t="s">
        <v>22</v>
      </c>
      <c r="D2167" t="s">
        <v>1289</v>
      </c>
      <c r="F2167" s="1">
        <v>45945</v>
      </c>
      <c r="G2167" t="str">
        <f>IF(Table3[[#This Row],[Top Parent Account]]="",Table3[[#This Row],[Account Legal Name]],Table3[[#This Row],[Top Parent Account]])</f>
        <v>Miraclon</v>
      </c>
      <c r="H2167" s="1"/>
    </row>
    <row r="2168" spans="1:8" x14ac:dyDescent="0.35">
      <c r="A2168" s="21"/>
      <c r="B2168" t="s">
        <v>27</v>
      </c>
      <c r="C2168" t="s">
        <v>22</v>
      </c>
      <c r="D2168" t="s">
        <v>1294</v>
      </c>
      <c r="F2168" s="1">
        <v>45945</v>
      </c>
      <c r="G2168" t="str">
        <f>IF(Table3[[#This Row],[Top Parent Account]]="",Table3[[#This Row],[Account Legal Name]],Table3[[#This Row],[Top Parent Account]])</f>
        <v>Mar Bran</v>
      </c>
      <c r="H2168" s="1"/>
    </row>
    <row r="2169" spans="1:8" x14ac:dyDescent="0.35">
      <c r="A2169" s="21"/>
      <c r="B2169" t="s">
        <v>88</v>
      </c>
      <c r="C2169" t="s">
        <v>6</v>
      </c>
      <c r="D2169" t="s">
        <v>3820</v>
      </c>
      <c r="F2169" s="1">
        <v>45945</v>
      </c>
      <c r="G2169" t="str">
        <f>IF(Table3[[#This Row],[Top Parent Account]]="",Table3[[#This Row],[Account Legal Name]],Table3[[#This Row],[Top Parent Account]])</f>
        <v>Universal Rental Cemam</v>
      </c>
      <c r="H2169" s="1"/>
    </row>
    <row r="2170" spans="1:8" x14ac:dyDescent="0.35">
      <c r="A2170" s="21"/>
      <c r="B2170" t="s">
        <v>14</v>
      </c>
      <c r="C2170" t="s">
        <v>6</v>
      </c>
      <c r="D2170" t="s">
        <v>2967</v>
      </c>
      <c r="F2170" s="1">
        <v>45945</v>
      </c>
      <c r="G2170" t="str">
        <f>IF(Table3[[#This Row],[Top Parent Account]]="",Table3[[#This Row],[Account Legal Name]],Table3[[#This Row],[Top Parent Account]])</f>
        <v>Transportes Especializados Coronado Romo</v>
      </c>
      <c r="H2170" s="1"/>
    </row>
    <row r="2171" spans="1:8" x14ac:dyDescent="0.35">
      <c r="A2171" s="21"/>
      <c r="B2171" t="s">
        <v>208</v>
      </c>
      <c r="C2171" t="s">
        <v>6</v>
      </c>
      <c r="D2171" t="s">
        <v>3821</v>
      </c>
      <c r="F2171" s="1">
        <v>45945</v>
      </c>
      <c r="G2171" t="str">
        <f>IF(Table3[[#This Row],[Top Parent Account]]="",Table3[[#This Row],[Account Legal Name]],Table3[[#This Row],[Top Parent Account]])</f>
        <v>Grupo Gysapol</v>
      </c>
      <c r="H2171" s="1"/>
    </row>
    <row r="2172" spans="1:8" x14ac:dyDescent="0.35">
      <c r="A2172" s="21"/>
      <c r="B2172" t="s">
        <v>28</v>
      </c>
      <c r="C2172" t="s">
        <v>6</v>
      </c>
      <c r="D2172" t="s">
        <v>1472</v>
      </c>
      <c r="F2172" s="1">
        <v>45945</v>
      </c>
      <c r="G2172" t="str">
        <f>IF(Table3[[#This Row],[Top Parent Account]]="",Table3[[#This Row],[Account Legal Name]],Table3[[#This Row],[Top Parent Account]])</f>
        <v>CIA YEPAL</v>
      </c>
      <c r="H2172" s="1"/>
    </row>
    <row r="2173" spans="1:8" x14ac:dyDescent="0.35">
      <c r="A2173" s="21"/>
      <c r="B2173" t="s">
        <v>26</v>
      </c>
      <c r="C2173" t="s">
        <v>6</v>
      </c>
      <c r="D2173" t="s">
        <v>74</v>
      </c>
      <c r="F2173" s="1">
        <v>45945</v>
      </c>
      <c r="G2173" t="str">
        <f>IF(Table3[[#This Row],[Top Parent Account]]="",Table3[[#This Row],[Account Legal Name]],Table3[[#This Row],[Top Parent Account]])</f>
        <v>Contecon Manzanillo</v>
      </c>
      <c r="H2173" s="1"/>
    </row>
    <row r="2174" spans="1:8" x14ac:dyDescent="0.35">
      <c r="A2174" s="21"/>
      <c r="B2174" t="s">
        <v>932</v>
      </c>
      <c r="C2174" t="s">
        <v>1150</v>
      </c>
      <c r="D2174" t="s">
        <v>3889</v>
      </c>
      <c r="F2174" s="1">
        <v>45945</v>
      </c>
      <c r="G2174" t="str">
        <f>IF(Table3[[#This Row],[Top Parent Account]]="",Table3[[#This Row],[Account Legal Name]],Table3[[#This Row],[Top Parent Account]])</f>
        <v>Sennheiser México</v>
      </c>
      <c r="H2174" s="1"/>
    </row>
    <row r="2175" spans="1:8" x14ac:dyDescent="0.35">
      <c r="A2175" s="21"/>
      <c r="B2175" t="s">
        <v>23</v>
      </c>
      <c r="C2175" t="s">
        <v>6</v>
      </c>
      <c r="D2175" t="s">
        <v>3822</v>
      </c>
      <c r="F2175" s="1">
        <v>45945</v>
      </c>
      <c r="G2175" t="str">
        <f>IF(Table3[[#This Row],[Top Parent Account]]="",Table3[[#This Row],[Account Legal Name]],Table3[[#This Row],[Top Parent Account]])</f>
        <v>MAYWEY</v>
      </c>
      <c r="H2175" s="1"/>
    </row>
    <row r="2176" spans="1:8" x14ac:dyDescent="0.35">
      <c r="A2176" s="21"/>
      <c r="B2176" t="s">
        <v>116</v>
      </c>
      <c r="C2176" t="s">
        <v>6</v>
      </c>
      <c r="D2176" t="s">
        <v>3297</v>
      </c>
      <c r="F2176" s="1">
        <v>45945</v>
      </c>
      <c r="G2176" t="str">
        <f>IF(Table3[[#This Row],[Top Parent Account]]="",Table3[[#This Row],[Account Legal Name]],Table3[[#This Row],[Top Parent Account]])</f>
        <v>Productos Sane Chapala</v>
      </c>
      <c r="H2176" s="1"/>
    </row>
    <row r="2177" spans="1:8" x14ac:dyDescent="0.35">
      <c r="A2177" s="21"/>
      <c r="B2177" t="s">
        <v>21</v>
      </c>
      <c r="C2177" t="s">
        <v>52</v>
      </c>
      <c r="D2177" t="s">
        <v>3823</v>
      </c>
      <c r="F2177" s="1">
        <v>45945</v>
      </c>
      <c r="G2177" t="str">
        <f>IF(Table3[[#This Row],[Top Parent Account]]="",Table3[[#This Row],[Account Legal Name]],Table3[[#This Row],[Top Parent Account]])</f>
        <v>Agencia Aduanal Sansores</v>
      </c>
      <c r="H2177" s="1"/>
    </row>
    <row r="2178" spans="1:8" x14ac:dyDescent="0.35">
      <c r="A2178" s="21"/>
      <c r="B2178" t="s">
        <v>27</v>
      </c>
      <c r="C2178" t="s">
        <v>6</v>
      </c>
      <c r="D2178" t="s">
        <v>3947</v>
      </c>
      <c r="F2178" s="1">
        <v>45945</v>
      </c>
      <c r="G2178" t="str">
        <f>IF(Table3[[#This Row],[Top Parent Account]]="",Table3[[#This Row],[Account Legal Name]],Table3[[#This Row],[Top Parent Account]])</f>
        <v>Sanmina-Sci Systems de México</v>
      </c>
      <c r="H2178" s="1"/>
    </row>
    <row r="2179" spans="1:8" x14ac:dyDescent="0.35">
      <c r="A2179" s="21"/>
      <c r="B2179" t="s">
        <v>172</v>
      </c>
      <c r="C2179" t="s">
        <v>6</v>
      </c>
      <c r="D2179" t="s">
        <v>3881</v>
      </c>
      <c r="F2179" s="1">
        <v>45945</v>
      </c>
      <c r="G2179" t="str">
        <f>IF(Table3[[#This Row],[Top Parent Account]]="",Table3[[#This Row],[Account Legal Name]],Table3[[#This Row],[Top Parent Account]])</f>
        <v>Bueno Alimentos</v>
      </c>
      <c r="H2179" s="1"/>
    </row>
    <row r="2180" spans="1:8" x14ac:dyDescent="0.35">
      <c r="A2180" s="21"/>
      <c r="B2180" t="s">
        <v>21</v>
      </c>
      <c r="C2180" t="s">
        <v>6</v>
      </c>
      <c r="D2180" t="s">
        <v>3824</v>
      </c>
      <c r="F2180" s="1">
        <v>45945</v>
      </c>
      <c r="G2180" t="str">
        <f>IF(Table3[[#This Row],[Top Parent Account]]="",Table3[[#This Row],[Account Legal Name]],Table3[[#This Row],[Top Parent Account]])</f>
        <v>Ingenieria Perico</v>
      </c>
      <c r="H2180" s="1"/>
    </row>
    <row r="2181" spans="1:8" x14ac:dyDescent="0.35">
      <c r="A2181" s="21"/>
      <c r="B2181" t="s">
        <v>375</v>
      </c>
      <c r="C2181" t="s">
        <v>6</v>
      </c>
      <c r="D2181" t="s">
        <v>3827</v>
      </c>
      <c r="F2181" s="1">
        <v>45945</v>
      </c>
      <c r="G2181" t="str">
        <f>IF(Table3[[#This Row],[Top Parent Account]]="",Table3[[#This Row],[Account Legal Name]],Table3[[#This Row],[Top Parent Account]])</f>
        <v>CASA CRAVIOTO</v>
      </c>
      <c r="H2181" s="1"/>
    </row>
    <row r="2182" spans="1:8" x14ac:dyDescent="0.35">
      <c r="A2182" s="21"/>
      <c r="B2182" t="s">
        <v>70</v>
      </c>
      <c r="C2182" t="s">
        <v>6</v>
      </c>
      <c r="D2182" t="s">
        <v>3825</v>
      </c>
      <c r="F2182" s="1">
        <v>45945</v>
      </c>
      <c r="G2182" t="str">
        <f>IF(Table3[[#This Row],[Top Parent Account]]="",Table3[[#This Row],[Account Legal Name]],Table3[[#This Row],[Top Parent Account]])</f>
        <v>BIOLOGICOS Y FARMACOS ASISTENCIALES</v>
      </c>
      <c r="H2182" s="1"/>
    </row>
    <row r="2183" spans="1:8" x14ac:dyDescent="0.35">
      <c r="A2183" s="21"/>
      <c r="B2183" t="s">
        <v>18</v>
      </c>
      <c r="C2183" t="s">
        <v>6</v>
      </c>
      <c r="D2183" t="s">
        <v>3826</v>
      </c>
      <c r="F2183" s="1">
        <v>45945</v>
      </c>
      <c r="G2183" t="str">
        <f>IF(Table3[[#This Row],[Top Parent Account]]="",Table3[[#This Row],[Account Legal Name]],Table3[[#This Row],[Top Parent Account]])</f>
        <v>Productos y Asfaltos Procesados</v>
      </c>
      <c r="H2183" s="1"/>
    </row>
    <row r="2184" spans="1:8" x14ac:dyDescent="0.35">
      <c r="A2184" s="21"/>
      <c r="B2184" t="s">
        <v>14</v>
      </c>
      <c r="C2184" t="s">
        <v>6</v>
      </c>
      <c r="D2184" t="s">
        <v>3788</v>
      </c>
      <c r="F2184" s="1">
        <v>45945</v>
      </c>
      <c r="G2184" t="str">
        <f>IF(Table3[[#This Row],[Top Parent Account]]="",Table3[[#This Row],[Account Legal Name]],Table3[[#This Row],[Top Parent Account]])</f>
        <v>CPK Printing</v>
      </c>
      <c r="H2184" s="1"/>
    </row>
    <row r="2185" spans="1:8" x14ac:dyDescent="0.35">
      <c r="A2185" s="21"/>
      <c r="B2185" t="s">
        <v>3093</v>
      </c>
      <c r="C2185" t="s">
        <v>6</v>
      </c>
      <c r="D2185" t="s">
        <v>4032</v>
      </c>
      <c r="F2185" s="1">
        <v>45945</v>
      </c>
      <c r="G2185" t="str">
        <f>IF(Table3[[#This Row],[Top Parent Account]]="",Table3[[#This Row],[Account Legal Name]],Table3[[#This Row],[Top Parent Account]])</f>
        <v>Concretos Sustentables Mexicanos</v>
      </c>
      <c r="H2185" s="1"/>
    </row>
    <row r="2186" spans="1:8" x14ac:dyDescent="0.35">
      <c r="A2186" s="21"/>
      <c r="B2186" t="s">
        <v>169</v>
      </c>
      <c r="C2186" t="s">
        <v>6</v>
      </c>
      <c r="D2186" t="s">
        <v>3828</v>
      </c>
      <c r="F2186" s="1">
        <v>45945</v>
      </c>
      <c r="G2186" t="str">
        <f>IF(Table3[[#This Row],[Top Parent Account]]="",Table3[[#This Row],[Account Legal Name]],Table3[[#This Row],[Top Parent Account]])</f>
        <v>SINERGECIA MEXICANA</v>
      </c>
      <c r="H2186" s="1"/>
    </row>
    <row r="2187" spans="1:8" x14ac:dyDescent="0.35">
      <c r="A2187" s="21"/>
      <c r="B2187" t="s">
        <v>2345</v>
      </c>
      <c r="C2187" t="s">
        <v>6</v>
      </c>
      <c r="D2187" t="s">
        <v>3830</v>
      </c>
      <c r="F2187" s="1">
        <v>45945</v>
      </c>
      <c r="G2187" t="str">
        <f>IF(Table3[[#This Row],[Top Parent Account]]="",Table3[[#This Row],[Account Legal Name]],Table3[[#This Row],[Top Parent Account]])</f>
        <v>Pitss Latinoamérica</v>
      </c>
      <c r="H2187" s="1"/>
    </row>
    <row r="2188" spans="1:8" x14ac:dyDescent="0.35">
      <c r="A2188" s="21"/>
      <c r="B2188" t="s">
        <v>989</v>
      </c>
      <c r="C2188" t="s">
        <v>6</v>
      </c>
      <c r="D2188" t="s">
        <v>3829</v>
      </c>
      <c r="F2188" s="1">
        <v>45945</v>
      </c>
      <c r="G2188" t="str">
        <f>IF(Table3[[#This Row],[Top Parent Account]]="",Table3[[#This Row],[Account Legal Name]],Table3[[#This Row],[Top Parent Account]])</f>
        <v>CONSTRUCCIONES, SUMINISTROS Y MONTAJES</v>
      </c>
      <c r="H2188" s="1"/>
    </row>
    <row r="2189" spans="1:8" x14ac:dyDescent="0.35">
      <c r="A2189" s="21"/>
      <c r="B2189" t="s">
        <v>1899</v>
      </c>
      <c r="C2189" t="s">
        <v>6</v>
      </c>
      <c r="D2189" t="s">
        <v>3831</v>
      </c>
      <c r="F2189" s="1">
        <v>45945</v>
      </c>
      <c r="G2189" t="str">
        <f>IF(Table3[[#This Row],[Top Parent Account]]="",Table3[[#This Row],[Account Legal Name]],Table3[[#This Row],[Top Parent Account]])</f>
        <v>Longoria, Company</v>
      </c>
      <c r="H2189" s="1"/>
    </row>
    <row r="2190" spans="1:8" x14ac:dyDescent="0.35">
      <c r="A2190" s="21"/>
      <c r="B2190" t="s">
        <v>121</v>
      </c>
      <c r="C2190" t="s">
        <v>6</v>
      </c>
      <c r="D2190" t="s">
        <v>3832</v>
      </c>
      <c r="F2190" s="1">
        <v>45944</v>
      </c>
      <c r="G2190" t="str">
        <f>IF(Table3[[#This Row],[Top Parent Account]]="",Table3[[#This Row],[Account Legal Name]],Table3[[#This Row],[Top Parent Account]])</f>
        <v>ACUACULTORES DE LOS POZOS</v>
      </c>
      <c r="H2190" s="1"/>
    </row>
    <row r="2191" spans="1:8" x14ac:dyDescent="0.35">
      <c r="A2191" s="21"/>
      <c r="B2191" t="s">
        <v>28</v>
      </c>
      <c r="C2191" t="s">
        <v>6</v>
      </c>
      <c r="D2191" t="s">
        <v>3833</v>
      </c>
      <c r="F2191" s="1">
        <v>45944</v>
      </c>
      <c r="G2191" t="str">
        <f>IF(Table3[[#This Row],[Top Parent Account]]="",Table3[[#This Row],[Account Legal Name]],Table3[[#This Row],[Top Parent Account]])</f>
        <v>CONSTRUCTORA MAYRAN DE SAN PEDRO</v>
      </c>
      <c r="H2191" s="1"/>
    </row>
    <row r="2192" spans="1:8" x14ac:dyDescent="0.35">
      <c r="A2192" s="21"/>
      <c r="B2192" t="s">
        <v>32</v>
      </c>
      <c r="C2192" t="s">
        <v>6</v>
      </c>
      <c r="D2192" t="s">
        <v>4610</v>
      </c>
      <c r="F2192" s="1">
        <v>45944</v>
      </c>
      <c r="G2192" t="str">
        <f>IF(Table3[[#This Row],[Top Parent Account]]="",Table3[[#This Row],[Account Legal Name]],Table3[[#This Row],[Top Parent Account]])</f>
        <v>Envases,Empaques y Embalajes Internacionales</v>
      </c>
      <c r="H2192" s="1"/>
    </row>
    <row r="2193" spans="1:8" x14ac:dyDescent="0.35">
      <c r="A2193" s="21"/>
      <c r="B2193" t="s">
        <v>51</v>
      </c>
      <c r="C2193" t="s">
        <v>6</v>
      </c>
      <c r="D2193" t="s">
        <v>1418</v>
      </c>
      <c r="F2193" s="1">
        <v>45944</v>
      </c>
      <c r="G2193" t="str">
        <f>IF(Table3[[#This Row],[Top Parent Account]]="",Table3[[#This Row],[Account Legal Name]],Table3[[#This Row],[Top Parent Account]])</f>
        <v>Proveedora De Materiales Peña</v>
      </c>
      <c r="H2193" s="1"/>
    </row>
    <row r="2194" spans="1:8" x14ac:dyDescent="0.35">
      <c r="A2194" s="21"/>
      <c r="B2194" t="s">
        <v>3175</v>
      </c>
      <c r="C2194" t="s">
        <v>6</v>
      </c>
      <c r="D2194" t="s">
        <v>3882</v>
      </c>
      <c r="F2194" s="1">
        <v>45944</v>
      </c>
      <c r="G2194" t="str">
        <f>IF(Table3[[#This Row],[Top Parent Account]]="",Table3[[#This Row],[Account Legal Name]],Table3[[#This Row],[Top Parent Account]])</f>
        <v>Rikar Comercializacion y Abastecimiento</v>
      </c>
      <c r="H2194" s="1"/>
    </row>
    <row r="2195" spans="1:8" x14ac:dyDescent="0.35">
      <c r="A2195" s="21"/>
      <c r="B2195" t="s">
        <v>208</v>
      </c>
      <c r="C2195" t="s">
        <v>6</v>
      </c>
      <c r="D2195" t="s">
        <v>1154</v>
      </c>
      <c r="F2195" s="1">
        <v>45944</v>
      </c>
      <c r="G2195" t="str">
        <f>IF(Table3[[#This Row],[Top Parent Account]]="",Table3[[#This Row],[Account Legal Name]],Table3[[#This Row],[Top Parent Account]])</f>
        <v>Opl Logística de Valle de México</v>
      </c>
      <c r="H2195" s="1"/>
    </row>
    <row r="2196" spans="1:8" x14ac:dyDescent="0.35">
      <c r="A2196" s="21"/>
      <c r="B2196" t="s">
        <v>2693</v>
      </c>
      <c r="C2196" t="s">
        <v>6</v>
      </c>
      <c r="D2196" t="s">
        <v>3858</v>
      </c>
      <c r="F2196" s="1">
        <v>45944</v>
      </c>
      <c r="G2196" t="str">
        <f>IF(Table3[[#This Row],[Top Parent Account]]="",Table3[[#This Row],[Account Legal Name]],Table3[[#This Row],[Top Parent Account]])</f>
        <v>ESTRUCTURAS SOLANA</v>
      </c>
      <c r="H2196" s="1"/>
    </row>
    <row r="2197" spans="1:8" x14ac:dyDescent="0.35">
      <c r="A2197" s="21"/>
      <c r="B2197" t="s">
        <v>3129</v>
      </c>
      <c r="C2197" t="s">
        <v>6</v>
      </c>
      <c r="D2197" t="s">
        <v>3834</v>
      </c>
      <c r="F2197" s="1">
        <v>45944</v>
      </c>
      <c r="G2197" t="str">
        <f>IF(Table3[[#This Row],[Top Parent Account]]="",Table3[[#This Row],[Account Legal Name]],Table3[[#This Row],[Top Parent Account]])</f>
        <v>Grupo Traxion</v>
      </c>
      <c r="H2197" s="1"/>
    </row>
    <row r="2198" spans="1:8" x14ac:dyDescent="0.35">
      <c r="A2198" s="21"/>
      <c r="B2198" t="s">
        <v>121</v>
      </c>
      <c r="C2198" t="s">
        <v>6</v>
      </c>
      <c r="D2198" t="s">
        <v>3836</v>
      </c>
      <c r="F2198" s="1">
        <v>45944</v>
      </c>
      <c r="G2198" t="str">
        <f>IF(Table3[[#This Row],[Top Parent Account]]="",Table3[[#This Row],[Account Legal Name]],Table3[[#This Row],[Top Parent Account]])</f>
        <v>Picex Chemicals</v>
      </c>
      <c r="H2198" s="1"/>
    </row>
    <row r="2199" spans="1:8" x14ac:dyDescent="0.35">
      <c r="A2199" s="21"/>
      <c r="B2199" t="s">
        <v>2693</v>
      </c>
      <c r="C2199" t="s">
        <v>6</v>
      </c>
      <c r="D2199" t="s">
        <v>3835</v>
      </c>
      <c r="F2199" s="1">
        <v>45944</v>
      </c>
      <c r="G2199" t="str">
        <f>IF(Table3[[#This Row],[Top Parent Account]]="",Table3[[#This Row],[Account Legal Name]],Table3[[#This Row],[Top Parent Account]])</f>
        <v>Pabisan</v>
      </c>
      <c r="H2199" s="1"/>
    </row>
    <row r="2200" spans="1:8" x14ac:dyDescent="0.35">
      <c r="A2200" s="21"/>
      <c r="B2200" t="s">
        <v>3628</v>
      </c>
      <c r="C2200" t="s">
        <v>6</v>
      </c>
      <c r="D2200" t="s">
        <v>3837</v>
      </c>
      <c r="F2200" s="1">
        <v>45944</v>
      </c>
      <c r="G2200" t="str">
        <f>IF(Table3[[#This Row],[Top Parent Account]]="",Table3[[#This Row],[Account Legal Name]],Table3[[#This Row],[Top Parent Account]])</f>
        <v>Deacero</v>
      </c>
      <c r="H2200" s="1"/>
    </row>
    <row r="2201" spans="1:8" x14ac:dyDescent="0.35">
      <c r="A2201" s="21"/>
      <c r="B2201" t="s">
        <v>3553</v>
      </c>
      <c r="C2201" t="s">
        <v>6</v>
      </c>
      <c r="D2201" t="s">
        <v>3568</v>
      </c>
      <c r="F2201" s="1">
        <v>45944</v>
      </c>
      <c r="G2201" t="str">
        <f>IF(Table3[[#This Row],[Top Parent Account]]="",Table3[[#This Row],[Account Legal Name]],Table3[[#This Row],[Top Parent Account]])</f>
        <v>Groke</v>
      </c>
      <c r="H2201" s="1"/>
    </row>
    <row r="2202" spans="1:8" x14ac:dyDescent="0.35">
      <c r="A2202" s="21"/>
      <c r="B2202" t="s">
        <v>970</v>
      </c>
      <c r="C2202" t="s">
        <v>6</v>
      </c>
      <c r="D2202" t="s">
        <v>3839</v>
      </c>
      <c r="F2202" s="1">
        <v>45944</v>
      </c>
      <c r="G2202" t="str">
        <f>IF(Table3[[#This Row],[Top Parent Account]]="",Table3[[#This Row],[Account Legal Name]],Table3[[#This Row],[Top Parent Account]])</f>
        <v>ASP Advanced Sterilization Products</v>
      </c>
      <c r="H2202" s="1"/>
    </row>
    <row r="2203" spans="1:8" x14ac:dyDescent="0.35">
      <c r="A2203" s="21"/>
      <c r="B2203" t="s">
        <v>88</v>
      </c>
      <c r="C2203" t="s">
        <v>6</v>
      </c>
      <c r="D2203" t="s">
        <v>3840</v>
      </c>
      <c r="F2203" s="1">
        <v>45944</v>
      </c>
      <c r="G2203" t="str">
        <f>IF(Table3[[#This Row],[Top Parent Account]]="",Table3[[#This Row],[Account Legal Name]],Table3[[#This Row],[Top Parent Account]])</f>
        <v>Portátil WC</v>
      </c>
      <c r="H2203" s="1"/>
    </row>
    <row r="2204" spans="1:8" x14ac:dyDescent="0.35">
      <c r="A2204" s="21"/>
      <c r="B2204" t="s">
        <v>2693</v>
      </c>
      <c r="C2204" t="s">
        <v>6</v>
      </c>
      <c r="D2204" t="s">
        <v>3841</v>
      </c>
      <c r="F2204" s="1">
        <v>45944</v>
      </c>
      <c r="G2204" t="str">
        <f>IF(Table3[[#This Row],[Top Parent Account]]="",Table3[[#This Row],[Account Legal Name]],Table3[[#This Row],[Top Parent Account]])</f>
        <v>E-TEK Proveedores en Informática y Servicios</v>
      </c>
      <c r="H2204" s="1"/>
    </row>
    <row r="2205" spans="1:8" x14ac:dyDescent="0.35">
      <c r="A2205" s="21"/>
      <c r="B2205" t="s">
        <v>3129</v>
      </c>
      <c r="C2205" t="s">
        <v>6</v>
      </c>
      <c r="D2205" t="s">
        <v>442</v>
      </c>
      <c r="F2205" s="1">
        <v>45944</v>
      </c>
      <c r="G2205" t="str">
        <f>IF(Table3[[#This Row],[Top Parent Account]]="",Table3[[#This Row],[Account Legal Name]],Table3[[#This Row],[Top Parent Account]])</f>
        <v>Grupo Radiodifusoras</v>
      </c>
      <c r="H2205" s="1"/>
    </row>
    <row r="2206" spans="1:8" x14ac:dyDescent="0.35">
      <c r="A2206" s="21"/>
      <c r="B2206" t="s">
        <v>969</v>
      </c>
      <c r="C2206" t="s">
        <v>6</v>
      </c>
      <c r="D2206" t="s">
        <v>3838</v>
      </c>
      <c r="F2206" s="1">
        <v>45944</v>
      </c>
      <c r="G2206" t="str">
        <f>IF(Table3[[#This Row],[Top Parent Account]]="",Table3[[#This Row],[Account Legal Name]],Table3[[#This Row],[Top Parent Account]])</f>
        <v>Sacos Nava Kraft</v>
      </c>
      <c r="H2206" s="1"/>
    </row>
    <row r="2207" spans="1:8" x14ac:dyDescent="0.35">
      <c r="A2207" s="21"/>
      <c r="B2207" t="s">
        <v>2884</v>
      </c>
      <c r="C2207" t="s">
        <v>6</v>
      </c>
      <c r="D2207" t="s">
        <v>3883</v>
      </c>
      <c r="F2207" s="1">
        <v>45944</v>
      </c>
      <c r="G2207" t="str">
        <f>IF(Table3[[#This Row],[Top Parent Account]]="",Table3[[#This Row],[Account Legal Name]],Table3[[#This Row],[Top Parent Account]])</f>
        <v>Tomsa Destil Mexico</v>
      </c>
      <c r="H2207" s="1"/>
    </row>
    <row r="2208" spans="1:8" x14ac:dyDescent="0.35">
      <c r="A2208" s="21"/>
      <c r="B2208" t="s">
        <v>3628</v>
      </c>
      <c r="C2208" t="s">
        <v>6</v>
      </c>
      <c r="D2208" t="s">
        <v>3842</v>
      </c>
      <c r="F2208" s="1">
        <v>45944</v>
      </c>
      <c r="G2208" t="str">
        <f>IF(Table3[[#This Row],[Top Parent Account]]="",Table3[[#This Row],[Account Legal Name]],Table3[[#This Row],[Top Parent Account]])</f>
        <v>Novalan Computadoras Y Redes</v>
      </c>
      <c r="H2208" s="1"/>
    </row>
    <row r="2209" spans="1:8" x14ac:dyDescent="0.35">
      <c r="A2209" s="21"/>
      <c r="B2209" t="s">
        <v>925</v>
      </c>
      <c r="C2209" t="s">
        <v>6</v>
      </c>
      <c r="D2209" t="s">
        <v>3843</v>
      </c>
      <c r="F2209" s="1">
        <v>45944</v>
      </c>
      <c r="G2209" t="str">
        <f>IF(Table3[[#This Row],[Top Parent Account]]="",Table3[[#This Row],[Account Legal Name]],Table3[[#This Row],[Top Parent Account]])</f>
        <v>Metalurgica De Xalostoc</v>
      </c>
      <c r="H2209" s="1"/>
    </row>
    <row r="2210" spans="1:8" x14ac:dyDescent="0.35">
      <c r="A2210" s="21"/>
      <c r="B2210" t="s">
        <v>208</v>
      </c>
      <c r="C2210" t="s">
        <v>6</v>
      </c>
      <c r="D2210" t="s">
        <v>852</v>
      </c>
      <c r="F2210" s="1">
        <v>45944</v>
      </c>
      <c r="G2210" t="str">
        <f>IF(Table3[[#This Row],[Top Parent Account]]="",Table3[[#This Row],[Account Legal Name]],Table3[[#This Row],[Top Parent Account]])</f>
        <v>Rodillos y Maquinados</v>
      </c>
      <c r="H2210" s="1"/>
    </row>
    <row r="2211" spans="1:8" x14ac:dyDescent="0.35">
      <c r="A2211" s="21"/>
      <c r="B2211" t="s">
        <v>88</v>
      </c>
      <c r="C2211" t="s">
        <v>6</v>
      </c>
      <c r="D2211" t="s">
        <v>2483</v>
      </c>
      <c r="F2211" s="1">
        <v>45944</v>
      </c>
      <c r="G2211" t="str">
        <f>IF(Table3[[#This Row],[Top Parent Account]]="",Table3[[#This Row],[Account Legal Name]],Table3[[#This Row],[Top Parent Account]])</f>
        <v>Fehr Bros. Industries</v>
      </c>
      <c r="H2211" s="1"/>
    </row>
    <row r="2212" spans="1:8" x14ac:dyDescent="0.35">
      <c r="A2212" s="21"/>
      <c r="B2212" t="s">
        <v>2693</v>
      </c>
      <c r="C2212" t="s">
        <v>6</v>
      </c>
      <c r="D2212" t="s">
        <v>3844</v>
      </c>
      <c r="F2212" s="1">
        <v>45944</v>
      </c>
      <c r="G2212" t="str">
        <f>IF(Table3[[#This Row],[Top Parent Account]]="",Table3[[#This Row],[Account Legal Name]],Table3[[#This Row],[Top Parent Account]])</f>
        <v>Grupo constructor geotécnico Animal Soil</v>
      </c>
      <c r="H2212" s="1"/>
    </row>
    <row r="2213" spans="1:8" x14ac:dyDescent="0.35">
      <c r="A2213" s="21"/>
      <c r="B2213" t="s">
        <v>3092</v>
      </c>
      <c r="C2213" t="s">
        <v>3884</v>
      </c>
      <c r="D2213" t="s">
        <v>891</v>
      </c>
      <c r="F2213" s="1">
        <v>45944</v>
      </c>
      <c r="G2213" t="str">
        <f>IF(Table3[[#This Row],[Top Parent Account]]="",Table3[[#This Row],[Account Legal Name]],Table3[[#This Row],[Top Parent Account]])</f>
        <v>Ricap</v>
      </c>
      <c r="H2213" s="1"/>
    </row>
    <row r="2214" spans="1:8" x14ac:dyDescent="0.35">
      <c r="A2214" s="21"/>
      <c r="B2214" t="s">
        <v>969</v>
      </c>
      <c r="C2214" t="s">
        <v>6</v>
      </c>
      <c r="D2214" t="s">
        <v>3845</v>
      </c>
      <c r="F2214" s="1">
        <v>45944</v>
      </c>
      <c r="G2214" t="str">
        <f>IF(Table3[[#This Row],[Top Parent Account]]="",Table3[[#This Row],[Account Legal Name]],Table3[[#This Row],[Top Parent Account]])</f>
        <v>COFFEE MATTERS</v>
      </c>
      <c r="H2214" s="1"/>
    </row>
    <row r="2215" spans="1:8" x14ac:dyDescent="0.35">
      <c r="A2215" s="21"/>
      <c r="B2215" t="s">
        <v>2345</v>
      </c>
      <c r="C2215" t="s">
        <v>6</v>
      </c>
      <c r="D2215" t="s">
        <v>878</v>
      </c>
      <c r="F2215" s="1">
        <v>45944</v>
      </c>
      <c r="G2215" t="str">
        <f>IF(Table3[[#This Row],[Top Parent Account]]="",Table3[[#This Row],[Account Legal Name]],Table3[[#This Row],[Top Parent Account]])</f>
        <v>Equipos de Biomedicina de México</v>
      </c>
      <c r="H2215" s="1"/>
    </row>
    <row r="2216" spans="1:8" x14ac:dyDescent="0.35">
      <c r="A2216" s="21"/>
      <c r="B2216" t="s">
        <v>27</v>
      </c>
      <c r="C2216" t="s">
        <v>3846</v>
      </c>
      <c r="D2216" t="s">
        <v>606</v>
      </c>
      <c r="F2216" s="1">
        <v>45943</v>
      </c>
      <c r="G2216" t="str">
        <f>IF(Table3[[#This Row],[Top Parent Account]]="",Table3[[#This Row],[Account Legal Name]],Table3[[#This Row],[Top Parent Account]])</f>
        <v>Comercializadora De Valor Agregado</v>
      </c>
      <c r="H2216" s="1"/>
    </row>
    <row r="2217" spans="1:8" x14ac:dyDescent="0.35">
      <c r="A2217" s="21"/>
      <c r="B2217" t="s">
        <v>88</v>
      </c>
      <c r="C2217" t="s">
        <v>6</v>
      </c>
      <c r="D2217" t="s">
        <v>3847</v>
      </c>
      <c r="F2217" s="1">
        <v>45943</v>
      </c>
      <c r="G2217" t="str">
        <f>IF(Table3[[#This Row],[Top Parent Account]]="",Table3[[#This Row],[Account Legal Name]],Table3[[#This Row],[Top Parent Account]])</f>
        <v>Roderick Technology</v>
      </c>
      <c r="H2217" s="1"/>
    </row>
    <row r="2218" spans="1:8" x14ac:dyDescent="0.35">
      <c r="A2218" s="21"/>
      <c r="B2218" t="s">
        <v>2912</v>
      </c>
      <c r="C2218" t="s">
        <v>6</v>
      </c>
      <c r="D2218" t="s">
        <v>3246</v>
      </c>
      <c r="F2218" s="1">
        <v>45943</v>
      </c>
      <c r="G2218" t="str">
        <f>IF(Table3[[#This Row],[Top Parent Account]]="",Table3[[#This Row],[Account Legal Name]],Table3[[#This Row],[Top Parent Account]])</f>
        <v>Grupo Rotoplas</v>
      </c>
      <c r="H2218" s="1"/>
    </row>
    <row r="2219" spans="1:8" x14ac:dyDescent="0.35">
      <c r="A2219" s="21"/>
      <c r="B2219" t="s">
        <v>2693</v>
      </c>
      <c r="C2219" t="s">
        <v>6</v>
      </c>
      <c r="D2219" t="s">
        <v>1727</v>
      </c>
      <c r="E2219" t="s">
        <v>204</v>
      </c>
      <c r="F2219" s="1">
        <v>45943</v>
      </c>
      <c r="G2219" t="str">
        <f>IF(Table3[[#This Row],[Top Parent Account]]="",Table3[[#This Row],[Account Legal Name]],Table3[[#This Row],[Top Parent Account]])</f>
        <v>JC MOLDS</v>
      </c>
      <c r="H2219" s="1"/>
    </row>
    <row r="2220" spans="1:8" x14ac:dyDescent="0.35">
      <c r="A2220" s="21"/>
      <c r="B2220" t="s">
        <v>29</v>
      </c>
      <c r="C2220" t="s">
        <v>6</v>
      </c>
      <c r="D2220" t="s">
        <v>3848</v>
      </c>
      <c r="F2220" s="1">
        <v>45943</v>
      </c>
      <c r="G2220" t="str">
        <f>IF(Table3[[#This Row],[Top Parent Account]]="",Table3[[#This Row],[Account Legal Name]],Table3[[#This Row],[Top Parent Account]])</f>
        <v>Diseko Soluciones</v>
      </c>
      <c r="H2220" s="1"/>
    </row>
    <row r="2221" spans="1:8" x14ac:dyDescent="0.35">
      <c r="A2221" s="21"/>
      <c r="B2221" t="s">
        <v>739</v>
      </c>
      <c r="C2221" t="s">
        <v>6</v>
      </c>
      <c r="D2221" t="s">
        <v>956</v>
      </c>
      <c r="F2221" s="1">
        <v>45943</v>
      </c>
      <c r="G2221" t="str">
        <f>IF(Table3[[#This Row],[Top Parent Account]]="",Table3[[#This Row],[Account Legal Name]],Table3[[#This Row],[Top Parent Account]])</f>
        <v>Ecoshell</v>
      </c>
      <c r="H2221" s="1"/>
    </row>
    <row r="2222" spans="1:8" x14ac:dyDescent="0.35">
      <c r="A2222" s="21"/>
      <c r="B2222" t="s">
        <v>21</v>
      </c>
      <c r="C2222" t="s">
        <v>6</v>
      </c>
      <c r="D2222" t="s">
        <v>3849</v>
      </c>
      <c r="F2222" s="1">
        <v>45943</v>
      </c>
      <c r="G2222" t="str">
        <f>IF(Table3[[#This Row],[Top Parent Account]]="",Table3[[#This Row],[Account Legal Name]],Table3[[#This Row],[Top Parent Account]])</f>
        <v>Atradium</v>
      </c>
      <c r="H2222" s="1"/>
    </row>
    <row r="2223" spans="1:8" x14ac:dyDescent="0.35">
      <c r="A2223" s="21"/>
      <c r="B2223" t="s">
        <v>2693</v>
      </c>
      <c r="C2223" t="s">
        <v>6</v>
      </c>
      <c r="D2223" t="s">
        <v>3677</v>
      </c>
      <c r="F2223" s="1">
        <v>45943</v>
      </c>
      <c r="G2223" t="str">
        <f>IF(Table3[[#This Row],[Top Parent Account]]="",Table3[[#This Row],[Account Legal Name]],Table3[[#This Row],[Top Parent Account]])</f>
        <v>FULARTEX</v>
      </c>
      <c r="H2223" s="1"/>
    </row>
    <row r="2224" spans="1:8" x14ac:dyDescent="0.35">
      <c r="A2224" s="21"/>
      <c r="B2224" t="s">
        <v>12</v>
      </c>
      <c r="C2224" t="s">
        <v>6</v>
      </c>
      <c r="D2224" t="s">
        <v>3885</v>
      </c>
      <c r="F2224" s="1">
        <v>45943</v>
      </c>
      <c r="G2224" t="str">
        <f>IF(Table3[[#This Row],[Top Parent Account]]="",Table3[[#This Row],[Account Legal Name]],Table3[[#This Row],[Top Parent Account]])</f>
        <v>Insumos Cerveceros Del Sureste</v>
      </c>
      <c r="H2224" s="1"/>
    </row>
    <row r="2225" spans="1:8" x14ac:dyDescent="0.35">
      <c r="A2225" s="21"/>
      <c r="B2225" t="s">
        <v>26</v>
      </c>
      <c r="C2225" t="s">
        <v>6</v>
      </c>
      <c r="D2225" t="s">
        <v>3850</v>
      </c>
      <c r="E2225" t="s">
        <v>3851</v>
      </c>
      <c r="F2225" s="1">
        <v>45943</v>
      </c>
      <c r="G2225" t="str">
        <f>IF(Table3[[#This Row],[Top Parent Account]]="",Table3[[#This Row],[Account Legal Name]],Table3[[#This Row],[Top Parent Account]])</f>
        <v>Grupo McGraw Hill</v>
      </c>
      <c r="H2225" s="1"/>
    </row>
    <row r="2226" spans="1:8" x14ac:dyDescent="0.35">
      <c r="A2226" s="21"/>
      <c r="B2226" t="s">
        <v>70</v>
      </c>
      <c r="C2226" t="s">
        <v>6</v>
      </c>
      <c r="D2226" t="s">
        <v>2212</v>
      </c>
      <c r="E2226" t="s">
        <v>1218</v>
      </c>
      <c r="F2226" s="1">
        <v>45943</v>
      </c>
      <c r="G2226" t="str">
        <f>IF(Table3[[#This Row],[Top Parent Account]]="",Table3[[#This Row],[Account Legal Name]],Table3[[#This Row],[Top Parent Account]])</f>
        <v>Grupo Vazol (Grupo Empresarial Angeles)</v>
      </c>
      <c r="H2226" s="1"/>
    </row>
    <row r="2227" spans="1:8" x14ac:dyDescent="0.35">
      <c r="A2227" s="21"/>
      <c r="B2227" t="s">
        <v>12</v>
      </c>
      <c r="C2227" t="s">
        <v>6</v>
      </c>
      <c r="D2227" t="s">
        <v>3853</v>
      </c>
      <c r="F2227" s="1">
        <v>45943</v>
      </c>
      <c r="G2227" t="str">
        <f>IF(Table3[[#This Row],[Top Parent Account]]="",Table3[[#This Row],[Account Legal Name]],Table3[[#This Row],[Top Parent Account]])</f>
        <v>DUTTON HERMANOS</v>
      </c>
      <c r="H2227" s="1"/>
    </row>
    <row r="2228" spans="1:8" x14ac:dyDescent="0.35">
      <c r="A2228" s="21"/>
      <c r="B2228" t="s">
        <v>37</v>
      </c>
      <c r="C2228" t="s">
        <v>6</v>
      </c>
      <c r="D2228" t="s">
        <v>3852</v>
      </c>
      <c r="F2228" s="1">
        <v>45943</v>
      </c>
      <c r="G2228" t="str">
        <f>IF(Table3[[#This Row],[Top Parent Account]]="",Table3[[#This Row],[Account Legal Name]],Table3[[#This Row],[Top Parent Account]])</f>
        <v>Carlos Terminel</v>
      </c>
      <c r="H2228" s="1"/>
    </row>
    <row r="2229" spans="1:8" x14ac:dyDescent="0.35">
      <c r="A2229" s="21"/>
      <c r="B2229" t="s">
        <v>27</v>
      </c>
      <c r="C2229" t="s">
        <v>6</v>
      </c>
      <c r="D2229" t="s">
        <v>3790</v>
      </c>
      <c r="F2229" s="1">
        <v>45940</v>
      </c>
      <c r="G2229" t="str">
        <f>IF(Table3[[#This Row],[Top Parent Account]]="",Table3[[#This Row],[Account Legal Name]],Table3[[#This Row],[Top Parent Account]])</f>
        <v>MADERAS POLANCO</v>
      </c>
      <c r="H2229" s="1"/>
    </row>
    <row r="2230" spans="1:8" x14ac:dyDescent="0.35">
      <c r="A2230" s="21"/>
      <c r="B2230" t="s">
        <v>18</v>
      </c>
      <c r="C2230" t="s">
        <v>6</v>
      </c>
      <c r="D2230" t="s">
        <v>3791</v>
      </c>
      <c r="F2230" s="1">
        <v>45940</v>
      </c>
      <c r="G2230" t="str">
        <f>IF(Table3[[#This Row],[Top Parent Account]]="",Table3[[#This Row],[Account Legal Name]],Table3[[#This Row],[Top Parent Account]])</f>
        <v>FERTILITA MEDICINA REPRODUCTIVA</v>
      </c>
      <c r="H2230" s="1"/>
    </row>
    <row r="2231" spans="1:8" x14ac:dyDescent="0.35">
      <c r="A2231" s="21"/>
      <c r="B2231" t="s">
        <v>2693</v>
      </c>
      <c r="C2231" t="s">
        <v>6</v>
      </c>
      <c r="D2231" t="s">
        <v>3325</v>
      </c>
      <c r="F2231" s="1">
        <v>45940</v>
      </c>
      <c r="G2231" t="str">
        <f>IF(Table3[[#This Row],[Top Parent Account]]="",Table3[[#This Row],[Account Legal Name]],Table3[[#This Row],[Top Parent Account]])</f>
        <v>Productos Mora</v>
      </c>
      <c r="H2231" s="1"/>
    </row>
    <row r="2232" spans="1:8" x14ac:dyDescent="0.35">
      <c r="A2232" s="21"/>
      <c r="B2232" t="s">
        <v>969</v>
      </c>
      <c r="C2232" t="s">
        <v>6</v>
      </c>
      <c r="D2232" t="s">
        <v>3792</v>
      </c>
      <c r="F2232" s="1">
        <v>45940</v>
      </c>
      <c r="G2232" t="str">
        <f>IF(Table3[[#This Row],[Top Parent Account]]="",Table3[[#This Row],[Account Legal Name]],Table3[[#This Row],[Top Parent Account]])</f>
        <v>Envialo Mexico</v>
      </c>
      <c r="H2232" s="1"/>
    </row>
    <row r="2233" spans="1:8" x14ac:dyDescent="0.35">
      <c r="A2233" s="21"/>
      <c r="B2233" t="s">
        <v>28</v>
      </c>
      <c r="C2233" t="s">
        <v>6</v>
      </c>
      <c r="D2233" t="s">
        <v>3762</v>
      </c>
      <c r="F2233" s="1">
        <v>45940</v>
      </c>
      <c r="G2233" t="str">
        <f>IF(Table3[[#This Row],[Top Parent Account]]="",Table3[[#This Row],[Account Legal Name]],Table3[[#This Row],[Top Parent Account]])</f>
        <v>Distribuidora Industrial Del Norte</v>
      </c>
      <c r="H2233" s="1"/>
    </row>
    <row r="2234" spans="1:8" x14ac:dyDescent="0.35">
      <c r="A2234" s="21"/>
      <c r="B2234" t="s">
        <v>589</v>
      </c>
      <c r="C2234" t="s">
        <v>6</v>
      </c>
      <c r="D2234" t="s">
        <v>3764</v>
      </c>
      <c r="F2234" s="1">
        <v>45940</v>
      </c>
      <c r="G2234" t="str">
        <f>IF(Table3[[#This Row],[Top Parent Account]]="",Table3[[#This Row],[Account Legal Name]],Table3[[#This Row],[Top Parent Account]])</f>
        <v>David Gonzalez</v>
      </c>
      <c r="H2234" s="1"/>
    </row>
    <row r="2235" spans="1:8" x14ac:dyDescent="0.35">
      <c r="A2235" s="21"/>
      <c r="B2235" t="s">
        <v>51</v>
      </c>
      <c r="C2235" t="s">
        <v>6</v>
      </c>
      <c r="D2235" t="s">
        <v>3763</v>
      </c>
      <c r="F2235" s="1">
        <v>45940</v>
      </c>
      <c r="G2235" t="str">
        <f>IF(Table3[[#This Row],[Top Parent Account]]="",Table3[[#This Row],[Account Legal Name]],Table3[[#This Row],[Top Parent Account]])</f>
        <v>Comercial Agrícola la Viña</v>
      </c>
      <c r="H2235" s="1"/>
    </row>
    <row r="2236" spans="1:8" x14ac:dyDescent="0.35">
      <c r="A2236" s="21"/>
      <c r="B2236" t="s">
        <v>207</v>
      </c>
      <c r="C2236" t="s">
        <v>6</v>
      </c>
      <c r="D2236" t="s">
        <v>2672</v>
      </c>
      <c r="F2236" s="1">
        <v>45940</v>
      </c>
      <c r="G2236" t="str">
        <f>IF(Table3[[#This Row],[Top Parent Account]]="",Table3[[#This Row],[Account Legal Name]],Table3[[#This Row],[Top Parent Account]])</f>
        <v>Entelequia Biodegradables</v>
      </c>
      <c r="H2236" s="1"/>
    </row>
    <row r="2237" spans="1:8" x14ac:dyDescent="0.35">
      <c r="A2237" s="21"/>
      <c r="B2237" t="s">
        <v>10</v>
      </c>
      <c r="C2237" t="s">
        <v>6</v>
      </c>
      <c r="D2237" t="s">
        <v>453</v>
      </c>
      <c r="F2237" s="1">
        <v>45940</v>
      </c>
      <c r="G2237" t="str">
        <f>IF(Table3[[#This Row],[Top Parent Account]]="",Table3[[#This Row],[Account Legal Name]],Table3[[#This Row],[Top Parent Account]])</f>
        <v>Anteus Constructora</v>
      </c>
      <c r="H2237" s="1"/>
    </row>
    <row r="2238" spans="1:8" x14ac:dyDescent="0.35">
      <c r="A2238" s="21"/>
      <c r="B2238" t="s">
        <v>12</v>
      </c>
      <c r="C2238" t="s">
        <v>6</v>
      </c>
      <c r="D2238" t="s">
        <v>416</v>
      </c>
      <c r="F2238" s="1">
        <v>45940</v>
      </c>
      <c r="G2238" t="str">
        <f>IF(Table3[[#This Row],[Top Parent Account]]="",Table3[[#This Row],[Account Legal Name]],Table3[[#This Row],[Top Parent Account]])</f>
        <v>Promotora Mexicana de Vehículos</v>
      </c>
      <c r="H2238" s="1"/>
    </row>
    <row r="2239" spans="1:8" x14ac:dyDescent="0.35">
      <c r="A2239" s="21"/>
      <c r="B2239" t="s">
        <v>12</v>
      </c>
      <c r="C2239" t="s">
        <v>6</v>
      </c>
      <c r="D2239" t="s">
        <v>3765</v>
      </c>
      <c r="F2239" s="1">
        <v>45940</v>
      </c>
      <c r="G2239" t="str">
        <f>IF(Table3[[#This Row],[Top Parent Account]]="",Table3[[#This Row],[Account Legal Name]],Table3[[#This Row],[Top Parent Account]])</f>
        <v>Agregados y Bloques de Chetumal</v>
      </c>
      <c r="H2239" s="1"/>
    </row>
    <row r="2240" spans="1:8" x14ac:dyDescent="0.35">
      <c r="A2240" s="21"/>
      <c r="B2240" t="s">
        <v>169</v>
      </c>
      <c r="C2240" t="s">
        <v>6</v>
      </c>
      <c r="D2240" t="s">
        <v>3766</v>
      </c>
      <c r="F2240" s="1">
        <v>45940</v>
      </c>
      <c r="G2240" t="str">
        <f>IF(Table3[[#This Row],[Top Parent Account]]="",Table3[[#This Row],[Account Legal Name]],Table3[[#This Row],[Top Parent Account]])</f>
        <v>Servicios y Soluciones Electromecanicos</v>
      </c>
      <c r="H2240" s="1"/>
    </row>
    <row r="2241" spans="1:8" x14ac:dyDescent="0.35">
      <c r="A2241" s="21"/>
      <c r="B2241" t="s">
        <v>38</v>
      </c>
      <c r="C2241" t="s">
        <v>6</v>
      </c>
      <c r="D2241" t="s">
        <v>3793</v>
      </c>
      <c r="F2241" s="1">
        <v>45940</v>
      </c>
      <c r="G2241" t="str">
        <f>IF(Table3[[#This Row],[Top Parent Account]]="",Table3[[#This Row],[Account Legal Name]],Table3[[#This Row],[Top Parent Account]])</f>
        <v>LOGISTIK GRUPO ALPEZ</v>
      </c>
      <c r="H2241" s="1"/>
    </row>
    <row r="2242" spans="1:8" x14ac:dyDescent="0.35">
      <c r="A2242" s="21"/>
      <c r="B2242" t="s">
        <v>37</v>
      </c>
      <c r="C2242" t="s">
        <v>33</v>
      </c>
      <c r="D2242" t="s">
        <v>3794</v>
      </c>
      <c r="F2242" s="1">
        <v>45940</v>
      </c>
      <c r="G2242" t="str">
        <f>IF(Table3[[#This Row],[Top Parent Account]]="",Table3[[#This Row],[Account Legal Name]],Table3[[#This Row],[Top Parent Account]])</f>
        <v>Farco Perforaciones Y Bombeo</v>
      </c>
      <c r="H2242" s="1"/>
    </row>
    <row r="2243" spans="1:8" x14ac:dyDescent="0.35">
      <c r="A2243" s="21"/>
      <c r="B2243" t="s">
        <v>14</v>
      </c>
      <c r="C2243" t="s">
        <v>6</v>
      </c>
      <c r="D2243" t="s">
        <v>551</v>
      </c>
      <c r="F2243" s="1">
        <v>45940</v>
      </c>
      <c r="G2243" t="str">
        <f>IF(Table3[[#This Row],[Top Parent Account]]="",Table3[[#This Row],[Account Legal Name]],Table3[[#This Row],[Top Parent Account]])</f>
        <v>Rota Impresos Nueva Galicia</v>
      </c>
      <c r="H2243" s="1"/>
    </row>
    <row r="2244" spans="1:8" x14ac:dyDescent="0.35">
      <c r="A2244" s="21"/>
      <c r="B2244" t="s">
        <v>23</v>
      </c>
      <c r="C2244" t="s">
        <v>6</v>
      </c>
      <c r="D2244" t="s">
        <v>3767</v>
      </c>
      <c r="F2244" s="1">
        <v>45940</v>
      </c>
      <c r="G2244" t="str">
        <f>IF(Table3[[#This Row],[Top Parent Account]]="",Table3[[#This Row],[Account Legal Name]],Table3[[#This Row],[Top Parent Account]])</f>
        <v>Comercializadora del Bajío Sitrak</v>
      </c>
      <c r="H2244" s="1"/>
    </row>
    <row r="2245" spans="1:8" x14ac:dyDescent="0.35">
      <c r="A2245" s="21"/>
      <c r="B2245" t="s">
        <v>12</v>
      </c>
      <c r="C2245" t="s">
        <v>6</v>
      </c>
      <c r="D2245" t="s">
        <v>3768</v>
      </c>
      <c r="F2245" s="1">
        <v>45940</v>
      </c>
      <c r="G2245" t="str">
        <f>IF(Table3[[#This Row],[Top Parent Account]]="",Table3[[#This Row],[Account Legal Name]],Table3[[#This Row],[Top Parent Account]])</f>
        <v>Cancumisa</v>
      </c>
      <c r="H2245" s="1"/>
    </row>
    <row r="2246" spans="1:8" x14ac:dyDescent="0.35">
      <c r="A2246" s="21"/>
      <c r="B2246" t="s">
        <v>21</v>
      </c>
      <c r="C2246" t="s">
        <v>6</v>
      </c>
      <c r="D2246" t="s">
        <v>3769</v>
      </c>
      <c r="F2246" s="1">
        <v>45940</v>
      </c>
      <c r="G2246" t="str">
        <f>IF(Table3[[#This Row],[Top Parent Account]]="",Table3[[#This Row],[Account Legal Name]],Table3[[#This Row],[Top Parent Account]])</f>
        <v>Agpro Inc. de México</v>
      </c>
      <c r="H2246" s="1"/>
    </row>
    <row r="2247" spans="1:8" x14ac:dyDescent="0.35">
      <c r="A2247" s="21"/>
      <c r="B2247" t="s">
        <v>932</v>
      </c>
      <c r="C2247" t="s">
        <v>6</v>
      </c>
      <c r="D2247" t="s">
        <v>3854</v>
      </c>
      <c r="F2247" s="1">
        <v>45940</v>
      </c>
      <c r="G2247" t="str">
        <f>IF(Table3[[#This Row],[Top Parent Account]]="",Table3[[#This Row],[Account Legal Name]],Table3[[#This Row],[Top Parent Account]])</f>
        <v>Hospitales H</v>
      </c>
      <c r="H2247" s="1"/>
    </row>
    <row r="2248" spans="1:8" x14ac:dyDescent="0.35">
      <c r="A2248" s="21"/>
      <c r="B2248" t="s">
        <v>3553</v>
      </c>
      <c r="C2248" t="s">
        <v>6</v>
      </c>
      <c r="D2248" t="s">
        <v>3770</v>
      </c>
      <c r="F2248" s="1">
        <v>45940</v>
      </c>
      <c r="G2248" t="str">
        <f>IF(Table3[[#This Row],[Top Parent Account]]="",Table3[[#This Row],[Account Legal Name]],Table3[[#This Row],[Top Parent Account]])</f>
        <v>Cosmeticos trujillo</v>
      </c>
      <c r="H2248" s="1"/>
    </row>
    <row r="2249" spans="1:8" x14ac:dyDescent="0.35">
      <c r="A2249" s="21"/>
      <c r="B2249" t="s">
        <v>207</v>
      </c>
      <c r="C2249" t="s">
        <v>6</v>
      </c>
      <c r="D2249" t="s">
        <v>707</v>
      </c>
      <c r="F2249" s="1">
        <v>45940</v>
      </c>
      <c r="G2249" t="str">
        <f>IF(Table3[[#This Row],[Top Parent Account]]="",Table3[[#This Row],[Account Legal Name]],Table3[[#This Row],[Top Parent Account]])</f>
        <v>Pasteleria Eliana</v>
      </c>
      <c r="H2249" s="1"/>
    </row>
    <row r="2250" spans="1:8" x14ac:dyDescent="0.35">
      <c r="A2250" s="21"/>
      <c r="B2250" t="s">
        <v>88</v>
      </c>
      <c r="C2250" t="s">
        <v>6</v>
      </c>
      <c r="D2250" t="s">
        <v>3771</v>
      </c>
      <c r="E2250" t="s">
        <v>3772</v>
      </c>
      <c r="F2250" s="1">
        <v>45940</v>
      </c>
      <c r="G2250" t="str">
        <f>IF(Table3[[#This Row],[Top Parent Account]]="",Table3[[#This Row],[Account Legal Name]],Table3[[#This Row],[Top Parent Account]])</f>
        <v>Maverick Importaciones</v>
      </c>
      <c r="H2250" s="1"/>
    </row>
    <row r="2251" spans="1:8" x14ac:dyDescent="0.35">
      <c r="A2251" s="21"/>
      <c r="B2251" t="s">
        <v>14</v>
      </c>
      <c r="C2251" t="s">
        <v>6</v>
      </c>
      <c r="D2251" t="s">
        <v>3773</v>
      </c>
      <c r="F2251" s="1">
        <v>45940</v>
      </c>
      <c r="G2251" t="str">
        <f>IF(Table3[[#This Row],[Top Parent Account]]="",Table3[[#This Row],[Account Legal Name]],Table3[[#This Row],[Top Parent Account]])</f>
        <v>Rag Hermanos</v>
      </c>
      <c r="H2251" s="1"/>
    </row>
    <row r="2252" spans="1:8" x14ac:dyDescent="0.35">
      <c r="A2252" s="21"/>
      <c r="B2252" t="s">
        <v>169</v>
      </c>
      <c r="C2252" t="s">
        <v>6</v>
      </c>
      <c r="D2252" t="s">
        <v>3774</v>
      </c>
      <c r="F2252" s="1">
        <v>45940</v>
      </c>
      <c r="G2252" t="str">
        <f>IF(Table3[[#This Row],[Top Parent Account]]="",Table3[[#This Row],[Account Legal Name]],Table3[[#This Row],[Top Parent Account]])</f>
        <v>AGMEN SEGURIDAD PRIVADA</v>
      </c>
      <c r="H2252" s="1"/>
    </row>
    <row r="2253" spans="1:8" x14ac:dyDescent="0.35">
      <c r="A2253" s="21"/>
      <c r="B2253" t="s">
        <v>38</v>
      </c>
      <c r="C2253" t="s">
        <v>6</v>
      </c>
      <c r="D2253" t="s">
        <v>512</v>
      </c>
      <c r="F2253" s="1">
        <v>45940</v>
      </c>
      <c r="G2253" t="str">
        <f>IF(Table3[[#This Row],[Top Parent Account]]="",Table3[[#This Row],[Account Legal Name]],Table3[[#This Row],[Top Parent Account]])</f>
        <v>Productos Pecuarios Especializados</v>
      </c>
      <c r="H2253" s="1"/>
    </row>
    <row r="2254" spans="1:8" x14ac:dyDescent="0.35">
      <c r="A2254" s="21"/>
      <c r="B2254" t="s">
        <v>3129</v>
      </c>
      <c r="C2254" t="s">
        <v>6</v>
      </c>
      <c r="D2254" t="s">
        <v>3775</v>
      </c>
      <c r="E2254" t="s">
        <v>330</v>
      </c>
      <c r="F2254" s="1">
        <v>45940</v>
      </c>
      <c r="G2254" t="str">
        <f>IF(Table3[[#This Row],[Top Parent Account]]="",Table3[[#This Row],[Account Legal Name]],Table3[[#This Row],[Top Parent Account]])</f>
        <v>Cometra Servicios Integrales</v>
      </c>
      <c r="H2254" s="1"/>
    </row>
    <row r="2255" spans="1:8" x14ac:dyDescent="0.35">
      <c r="A2255" s="21"/>
      <c r="B2255" t="s">
        <v>37</v>
      </c>
      <c r="C2255" t="s">
        <v>6</v>
      </c>
      <c r="D2255" t="s">
        <v>252</v>
      </c>
      <c r="F2255" s="1">
        <v>45940</v>
      </c>
      <c r="G2255" t="str">
        <f>IF(Table3[[#This Row],[Top Parent Account]]="",Table3[[#This Row],[Account Legal Name]],Table3[[#This Row],[Top Parent Account]])</f>
        <v>Especias Aries</v>
      </c>
      <c r="H2255" s="1"/>
    </row>
    <row r="2256" spans="1:8" x14ac:dyDescent="0.35">
      <c r="A2256" s="21"/>
      <c r="B2256" t="s">
        <v>1006</v>
      </c>
      <c r="C2256" t="s">
        <v>6</v>
      </c>
      <c r="D2256" t="s">
        <v>3590</v>
      </c>
      <c r="F2256" s="1">
        <v>45940</v>
      </c>
      <c r="G2256" t="str">
        <f>IF(Table3[[#This Row],[Top Parent Account]]="",Table3[[#This Row],[Account Legal Name]],Table3[[#This Row],[Top Parent Account]])</f>
        <v>Frescar</v>
      </c>
      <c r="H2256" s="1"/>
    </row>
    <row r="2257" spans="1:8" x14ac:dyDescent="0.35">
      <c r="A2257" s="21"/>
      <c r="B2257" t="s">
        <v>27</v>
      </c>
      <c r="C2257" t="s">
        <v>6</v>
      </c>
      <c r="D2257" t="s">
        <v>1297</v>
      </c>
      <c r="F2257" s="1">
        <v>45939</v>
      </c>
      <c r="G2257" t="str">
        <f>IF(Table3[[#This Row],[Top Parent Account]]="",Table3[[#This Row],[Account Legal Name]],Table3[[#This Row],[Top Parent Account]])</f>
        <v>Centracore de Mexico</v>
      </c>
      <c r="H2257" s="1"/>
    </row>
    <row r="2258" spans="1:8" x14ac:dyDescent="0.35">
      <c r="A2258" s="21"/>
      <c r="B2258" t="s">
        <v>27</v>
      </c>
      <c r="C2258" t="s">
        <v>6</v>
      </c>
      <c r="D2258" t="s">
        <v>1042</v>
      </c>
      <c r="F2258" s="1">
        <v>45939</v>
      </c>
      <c r="G2258" t="str">
        <f>IF(Table3[[#This Row],[Top Parent Account]]="",Table3[[#This Row],[Account Legal Name]],Table3[[#This Row],[Top Parent Account]])</f>
        <v>Ferrero de México</v>
      </c>
      <c r="H2258" s="1"/>
    </row>
    <row r="2259" spans="1:8" x14ac:dyDescent="0.35">
      <c r="A2259" s="21"/>
      <c r="B2259" t="s">
        <v>27</v>
      </c>
      <c r="C2259" t="s">
        <v>6</v>
      </c>
      <c r="D2259" t="s">
        <v>3629</v>
      </c>
      <c r="F2259" s="1">
        <v>45939</v>
      </c>
      <c r="G2259" t="str">
        <f>IF(Table3[[#This Row],[Top Parent Account]]="",Table3[[#This Row],[Account Legal Name]],Table3[[#This Row],[Top Parent Account]])</f>
        <v>Hertz Ingeniería y Servicios</v>
      </c>
      <c r="H2259" s="1"/>
    </row>
    <row r="2260" spans="1:8" x14ac:dyDescent="0.35">
      <c r="A2260" s="21"/>
      <c r="B2260" t="s">
        <v>21</v>
      </c>
      <c r="C2260" t="s">
        <v>6</v>
      </c>
      <c r="D2260" t="s">
        <v>3776</v>
      </c>
      <c r="F2260" s="1">
        <v>45939</v>
      </c>
      <c r="G2260" t="str">
        <f>IF(Table3[[#This Row],[Top Parent Account]]="",Table3[[#This Row],[Account Legal Name]],Table3[[#This Row],[Top Parent Account]])</f>
        <v>Jose Armando Morales Ponce</v>
      </c>
      <c r="H2260" s="1"/>
    </row>
    <row r="2261" spans="1:8" x14ac:dyDescent="0.35">
      <c r="A2261" s="21"/>
      <c r="B2261" t="s">
        <v>38</v>
      </c>
      <c r="C2261" t="s">
        <v>6</v>
      </c>
      <c r="D2261" t="s">
        <v>664</v>
      </c>
      <c r="F2261" s="1">
        <v>45939</v>
      </c>
      <c r="G2261" t="str">
        <f>IF(Table3[[#This Row],[Top Parent Account]]="",Table3[[#This Row],[Account Legal Name]],Table3[[#This Row],[Top Parent Account]])</f>
        <v>Waukesha Metal Products de México</v>
      </c>
      <c r="H2261" s="1"/>
    </row>
    <row r="2262" spans="1:8" x14ac:dyDescent="0.35">
      <c r="A2262" s="21"/>
      <c r="B2262" t="s">
        <v>172</v>
      </c>
      <c r="C2262" t="s">
        <v>6</v>
      </c>
      <c r="D2262" t="s">
        <v>3777</v>
      </c>
      <c r="F2262" s="1">
        <v>45939</v>
      </c>
      <c r="G2262" t="str">
        <f>IF(Table3[[#This Row],[Top Parent Account]]="",Table3[[#This Row],[Account Legal Name]],Table3[[#This Row],[Top Parent Account]])</f>
        <v>Marbel</v>
      </c>
      <c r="H2262" s="1"/>
    </row>
    <row r="2263" spans="1:8" x14ac:dyDescent="0.35">
      <c r="A2263" s="21"/>
      <c r="B2263" t="s">
        <v>84</v>
      </c>
      <c r="C2263" t="s">
        <v>3630</v>
      </c>
      <c r="D2263" t="s">
        <v>3631</v>
      </c>
      <c r="F2263" s="1">
        <v>45939</v>
      </c>
      <c r="G2263" t="str">
        <f>IF(Table3[[#This Row],[Top Parent Account]]="",Table3[[#This Row],[Account Legal Name]],Table3[[#This Row],[Top Parent Account]])</f>
        <v>Coal Del Norte</v>
      </c>
      <c r="H2263" s="1"/>
    </row>
    <row r="2264" spans="1:8" x14ac:dyDescent="0.35">
      <c r="A2264" s="21"/>
      <c r="B2264" t="s">
        <v>23</v>
      </c>
      <c r="C2264" t="s">
        <v>6</v>
      </c>
      <c r="D2264" t="s">
        <v>3632</v>
      </c>
      <c r="F2264" s="1">
        <v>45939</v>
      </c>
      <c r="G2264" t="str">
        <f>IF(Table3[[#This Row],[Top Parent Account]]="",Table3[[#This Row],[Account Legal Name]],Table3[[#This Row],[Top Parent Account]])</f>
        <v>Adapt Advance PlasticTechnnologies</v>
      </c>
      <c r="H2264" s="1"/>
    </row>
    <row r="2265" spans="1:8" x14ac:dyDescent="0.35">
      <c r="A2265" s="21"/>
      <c r="B2265" t="s">
        <v>28</v>
      </c>
      <c r="C2265" t="s">
        <v>6</v>
      </c>
      <c r="D2265" t="s">
        <v>3787</v>
      </c>
      <c r="F2265" s="1">
        <v>45939</v>
      </c>
      <c r="G2265" t="str">
        <f>IF(Table3[[#This Row],[Top Parent Account]]="",Table3[[#This Row],[Account Legal Name]],Table3[[#This Row],[Top Parent Account]])</f>
        <v>GRUAS FILADELFIA</v>
      </c>
      <c r="H2265" s="1"/>
    </row>
    <row r="2266" spans="1:8" x14ac:dyDescent="0.35">
      <c r="A2266" s="21"/>
      <c r="B2266" t="s">
        <v>208</v>
      </c>
      <c r="C2266" t="s">
        <v>6</v>
      </c>
      <c r="D2266" t="s">
        <v>255</v>
      </c>
      <c r="F2266" s="1">
        <v>45939</v>
      </c>
      <c r="G2266" t="str">
        <f>IF(Table3[[#This Row],[Top Parent Account]]="",Table3[[#This Row],[Account Legal Name]],Table3[[#This Row],[Top Parent Account]])</f>
        <v>Engranes De Mexico</v>
      </c>
      <c r="H2266" s="1"/>
    </row>
    <row r="2267" spans="1:8" x14ac:dyDescent="0.35">
      <c r="A2267" s="21"/>
      <c r="B2267" t="s">
        <v>207</v>
      </c>
      <c r="C2267" t="s">
        <v>33</v>
      </c>
      <c r="D2267" t="s">
        <v>3633</v>
      </c>
      <c r="F2267" s="1">
        <v>45939</v>
      </c>
      <c r="G2267" t="str">
        <f>IF(Table3[[#This Row],[Top Parent Account]]="",Table3[[#This Row],[Account Legal Name]],Table3[[#This Row],[Top Parent Account]])</f>
        <v>TECNO PACK CORRUGADOS</v>
      </c>
      <c r="H2267" s="1"/>
    </row>
    <row r="2268" spans="1:8" x14ac:dyDescent="0.35">
      <c r="A2268" s="21"/>
      <c r="B2268" t="s">
        <v>70</v>
      </c>
      <c r="C2268" t="s">
        <v>22</v>
      </c>
      <c r="D2268" t="s">
        <v>462</v>
      </c>
      <c r="F2268" s="1">
        <v>45939</v>
      </c>
      <c r="G2268" t="str">
        <f>IF(Table3[[#This Row],[Top Parent Account]]="",Table3[[#This Row],[Account Legal Name]],Table3[[#This Row],[Top Parent Account]])</f>
        <v>Hospital Multimedica Norte</v>
      </c>
      <c r="H2268" s="1"/>
    </row>
    <row r="2269" spans="1:8" x14ac:dyDescent="0.35">
      <c r="A2269" s="21"/>
      <c r="B2269" t="s">
        <v>10</v>
      </c>
      <c r="C2269" t="s">
        <v>6</v>
      </c>
      <c r="D2269" t="s">
        <v>514</v>
      </c>
      <c r="F2269" s="1">
        <v>45939</v>
      </c>
      <c r="G2269" t="str">
        <f>IF(Table3[[#This Row],[Top Parent Account]]="",Table3[[#This Row],[Account Legal Name]],Table3[[#This Row],[Top Parent Account]])</f>
        <v>Templados del Centro</v>
      </c>
      <c r="H2269" s="1"/>
    </row>
    <row r="2270" spans="1:8" x14ac:dyDescent="0.35">
      <c r="A2270" s="21"/>
      <c r="B2270" t="s">
        <v>88</v>
      </c>
      <c r="C2270" t="s">
        <v>6</v>
      </c>
      <c r="D2270" t="s">
        <v>3634</v>
      </c>
      <c r="F2270" s="1">
        <v>45939</v>
      </c>
      <c r="G2270" t="str">
        <f>IF(Table3[[#This Row],[Top Parent Account]]="",Table3[[#This Row],[Account Legal Name]],Table3[[#This Row],[Top Parent Account]])</f>
        <v>PLASTIREYSA</v>
      </c>
      <c r="H2270" s="1"/>
    </row>
    <row r="2271" spans="1:8" x14ac:dyDescent="0.35">
      <c r="A2271" s="21"/>
      <c r="B2271" t="s">
        <v>70</v>
      </c>
      <c r="C2271" t="s">
        <v>6</v>
      </c>
      <c r="D2271" t="s">
        <v>3635</v>
      </c>
      <c r="F2271" s="1">
        <v>45939</v>
      </c>
      <c r="G2271" t="str">
        <f>IF(Table3[[#This Row],[Top Parent Account]]="",Table3[[#This Row],[Account Legal Name]],Table3[[#This Row],[Top Parent Account]])</f>
        <v>FLUXUS Inmobiliaria</v>
      </c>
      <c r="H2271" s="1"/>
    </row>
    <row r="2272" spans="1:8" x14ac:dyDescent="0.35">
      <c r="A2272" s="21"/>
      <c r="B2272" t="s">
        <v>589</v>
      </c>
      <c r="C2272" t="s">
        <v>6</v>
      </c>
      <c r="D2272" t="s">
        <v>3778</v>
      </c>
      <c r="F2272" s="1">
        <v>45939</v>
      </c>
      <c r="G2272" t="str">
        <f>IF(Table3[[#This Row],[Top Parent Account]]="",Table3[[#This Row],[Account Legal Name]],Table3[[#This Row],[Top Parent Account]])</f>
        <v>Productos Indy</v>
      </c>
      <c r="H2272" s="1"/>
    </row>
    <row r="2273" spans="1:8" x14ac:dyDescent="0.35">
      <c r="A2273" s="21"/>
      <c r="B2273" t="s">
        <v>1511</v>
      </c>
      <c r="C2273" t="s">
        <v>22</v>
      </c>
      <c r="D2273" t="s">
        <v>3636</v>
      </c>
      <c r="F2273" s="1">
        <v>45939</v>
      </c>
      <c r="G2273" t="str">
        <f>IF(Table3[[#This Row],[Top Parent Account]]="",Table3[[#This Row],[Account Legal Name]],Table3[[#This Row],[Top Parent Account]])</f>
        <v>Orval Kent De Linares</v>
      </c>
      <c r="H2273" s="1"/>
    </row>
    <row r="2274" spans="1:8" x14ac:dyDescent="0.35">
      <c r="A2274" s="21"/>
      <c r="B2274" t="s">
        <v>121</v>
      </c>
      <c r="C2274" t="s">
        <v>6</v>
      </c>
      <c r="D2274" t="s">
        <v>3779</v>
      </c>
      <c r="F2274" s="1">
        <v>45939</v>
      </c>
      <c r="G2274" t="str">
        <f>IF(Table3[[#This Row],[Top Parent Account]]="",Table3[[#This Row],[Account Legal Name]],Table3[[#This Row],[Top Parent Account]])</f>
        <v>Representaciones Agroindustriales yamuni</v>
      </c>
      <c r="H2274" s="1"/>
    </row>
    <row r="2275" spans="1:8" x14ac:dyDescent="0.35">
      <c r="A2275" s="21"/>
      <c r="B2275" t="s">
        <v>3129</v>
      </c>
      <c r="C2275" t="s">
        <v>6</v>
      </c>
      <c r="D2275" t="s">
        <v>3130</v>
      </c>
      <c r="F2275" s="1">
        <v>45939</v>
      </c>
      <c r="G2275" t="str">
        <f>IF(Table3[[#This Row],[Top Parent Account]]="",Table3[[#This Row],[Account Legal Name]],Table3[[#This Row],[Top Parent Account]])</f>
        <v>Soccer Media Solutions</v>
      </c>
      <c r="H2275" s="1"/>
    </row>
    <row r="2276" spans="1:8" x14ac:dyDescent="0.35">
      <c r="A2276" s="21"/>
      <c r="B2276" t="s">
        <v>375</v>
      </c>
      <c r="C2276" t="s">
        <v>6</v>
      </c>
      <c r="D2276" t="s">
        <v>3637</v>
      </c>
      <c r="F2276" s="1">
        <v>45939</v>
      </c>
      <c r="G2276" t="str">
        <f>IF(Table3[[#This Row],[Top Parent Account]]="",Table3[[#This Row],[Account Legal Name]],Table3[[#This Row],[Top Parent Account]])</f>
        <v>Boluda Coporación Marítima</v>
      </c>
      <c r="H2276" s="1"/>
    </row>
    <row r="2277" spans="1:8" x14ac:dyDescent="0.35">
      <c r="A2277" s="21"/>
      <c r="B2277" t="s">
        <v>10</v>
      </c>
      <c r="C2277" t="s">
        <v>6</v>
      </c>
      <c r="D2277" t="s">
        <v>3603</v>
      </c>
      <c r="F2277" s="1">
        <v>45939</v>
      </c>
      <c r="G2277" t="str">
        <f>IF(Table3[[#This Row],[Top Parent Account]]="",Table3[[#This Row],[Account Legal Name]],Table3[[#This Row],[Top Parent Account]])</f>
        <v>CENTRO DE SERVICIO EL JAGUAR</v>
      </c>
      <c r="H2277" s="1"/>
    </row>
    <row r="2278" spans="1:8" x14ac:dyDescent="0.35">
      <c r="A2278" s="21"/>
      <c r="B2278" t="s">
        <v>88</v>
      </c>
      <c r="C2278" t="s">
        <v>6</v>
      </c>
      <c r="D2278" t="s">
        <v>3639</v>
      </c>
      <c r="F2278" s="1">
        <v>45939</v>
      </c>
      <c r="G2278" t="str">
        <f>IF(Table3[[#This Row],[Top Parent Account]]="",Table3[[#This Row],[Account Legal Name]],Table3[[#This Row],[Top Parent Account]])</f>
        <v>Acerocom y servicios comerciales</v>
      </c>
      <c r="H2278" s="1"/>
    </row>
    <row r="2279" spans="1:8" x14ac:dyDescent="0.35">
      <c r="A2279" s="21"/>
      <c r="B2279" t="s">
        <v>3114</v>
      </c>
      <c r="C2279" t="s">
        <v>52</v>
      </c>
      <c r="D2279" t="s">
        <v>3194</v>
      </c>
      <c r="F2279" s="1">
        <v>45939</v>
      </c>
      <c r="G2279" t="str">
        <f>IF(Table3[[#This Row],[Top Parent Account]]="",Table3[[#This Row],[Account Legal Name]],Table3[[#This Row],[Top Parent Account]])</f>
        <v>Star Del Norte</v>
      </c>
      <c r="H2279" s="1"/>
    </row>
    <row r="2280" spans="1:8" x14ac:dyDescent="0.35">
      <c r="A2280" s="21"/>
      <c r="B2280" t="s">
        <v>12</v>
      </c>
      <c r="C2280" t="s">
        <v>6</v>
      </c>
      <c r="D2280" t="s">
        <v>3638</v>
      </c>
      <c r="F2280" s="1">
        <v>45939</v>
      </c>
      <c r="G2280" t="str">
        <f>IF(Table3[[#This Row],[Top Parent Account]]="",Table3[[#This Row],[Account Legal Name]],Table3[[#This Row],[Top Parent Account]])</f>
        <v>Productora De Cal De yucatan</v>
      </c>
      <c r="H2280" s="1"/>
    </row>
    <row r="2281" spans="1:8" x14ac:dyDescent="0.35">
      <c r="A2281" s="21"/>
      <c r="B2281" t="s">
        <v>3553</v>
      </c>
      <c r="C2281" t="s">
        <v>6</v>
      </c>
      <c r="D2281" t="s">
        <v>3640</v>
      </c>
      <c r="F2281" s="1">
        <v>45939</v>
      </c>
      <c r="G2281" t="str">
        <f>IF(Table3[[#This Row],[Top Parent Account]]="",Table3[[#This Row],[Account Legal Name]],Table3[[#This Row],[Top Parent Account]])</f>
        <v>FC FASHION</v>
      </c>
      <c r="H2281" s="1"/>
    </row>
    <row r="2282" spans="1:8" x14ac:dyDescent="0.35">
      <c r="A2282" s="21"/>
      <c r="B2282" t="s">
        <v>2693</v>
      </c>
      <c r="C2282" t="s">
        <v>6</v>
      </c>
      <c r="D2282" t="s">
        <v>3642</v>
      </c>
      <c r="F2282" s="1">
        <v>45939</v>
      </c>
      <c r="G2282" t="str">
        <f>IF(Table3[[#This Row],[Top Parent Account]]="",Table3[[#This Row],[Account Legal Name]],Table3[[#This Row],[Top Parent Account]])</f>
        <v>GRUPO DIECAST MEXICO</v>
      </c>
      <c r="H2282" s="1"/>
    </row>
    <row r="2283" spans="1:8" x14ac:dyDescent="0.35">
      <c r="A2283" s="21"/>
      <c r="B2283" t="s">
        <v>88</v>
      </c>
      <c r="C2283" t="s">
        <v>6</v>
      </c>
      <c r="D2283" t="s">
        <v>3641</v>
      </c>
      <c r="F2283" s="1">
        <v>45939</v>
      </c>
      <c r="G2283" t="str">
        <f>IF(Table3[[#This Row],[Top Parent Account]]="",Table3[[#This Row],[Account Legal Name]],Table3[[#This Row],[Top Parent Account]])</f>
        <v>VISION GRAFICA CONECTO S.A. DE C.V.</v>
      </c>
      <c r="H2283" s="1"/>
    </row>
    <row r="2284" spans="1:8" x14ac:dyDescent="0.35">
      <c r="A2284" s="21"/>
      <c r="B2284" t="s">
        <v>932</v>
      </c>
      <c r="C2284" t="s">
        <v>6</v>
      </c>
      <c r="D2284" t="s">
        <v>3643</v>
      </c>
      <c r="F2284" s="1">
        <v>45939</v>
      </c>
      <c r="G2284" t="str">
        <f>IF(Table3[[#This Row],[Top Parent Account]]="",Table3[[#This Row],[Account Legal Name]],Table3[[#This Row],[Top Parent Account]])</f>
        <v>GM ROBOTIC</v>
      </c>
      <c r="H2284" s="1"/>
    </row>
    <row r="2285" spans="1:8" x14ac:dyDescent="0.35">
      <c r="A2285" s="21"/>
      <c r="B2285" t="s">
        <v>969</v>
      </c>
      <c r="C2285" t="s">
        <v>6</v>
      </c>
      <c r="D2285" t="s">
        <v>3795</v>
      </c>
      <c r="F2285" s="1">
        <v>45939</v>
      </c>
      <c r="G2285" t="str">
        <f>IF(Table3[[#This Row],[Top Parent Account]]="",Table3[[#This Row],[Account Legal Name]],Table3[[#This Row],[Top Parent Account]])</f>
        <v>Barmex</v>
      </c>
      <c r="H2285" s="1"/>
    </row>
    <row r="2286" spans="1:8" x14ac:dyDescent="0.35">
      <c r="A2286" s="21"/>
      <c r="B2286" t="s">
        <v>10</v>
      </c>
      <c r="C2286" t="s">
        <v>6</v>
      </c>
      <c r="D2286" t="s">
        <v>3758</v>
      </c>
      <c r="F2286" s="1">
        <v>45939</v>
      </c>
      <c r="G2286" t="str">
        <f>IF(Table3[[#This Row],[Top Parent Account]]="",Table3[[#This Row],[Account Legal Name]],Table3[[#This Row],[Top Parent Account]])</f>
        <v>Polimeros y Derivados</v>
      </c>
      <c r="H2286" s="1"/>
    </row>
    <row r="2287" spans="1:8" x14ac:dyDescent="0.35">
      <c r="A2287" s="21"/>
      <c r="B2287" t="s">
        <v>1131</v>
      </c>
      <c r="C2287" t="s">
        <v>6</v>
      </c>
      <c r="D2287" t="s">
        <v>2679</v>
      </c>
      <c r="F2287" s="1">
        <v>45939</v>
      </c>
      <c r="G2287" t="str">
        <f>IF(Table3[[#This Row],[Top Parent Account]]="",Table3[[#This Row],[Account Legal Name]],Table3[[#This Row],[Top Parent Account]])</f>
        <v>Grupo Corerepe</v>
      </c>
      <c r="H2287" s="1"/>
    </row>
    <row r="2288" spans="1:8" x14ac:dyDescent="0.35">
      <c r="A2288" s="21"/>
      <c r="B2288" t="s">
        <v>989</v>
      </c>
      <c r="C2288" t="s">
        <v>6</v>
      </c>
      <c r="D2288" t="s">
        <v>3780</v>
      </c>
      <c r="F2288" s="1">
        <v>45939</v>
      </c>
      <c r="G2288" t="str">
        <f>IF(Table3[[#This Row],[Top Parent Account]]="",Table3[[#This Row],[Account Legal Name]],Table3[[#This Row],[Top Parent Account]])</f>
        <v>Cocanmex</v>
      </c>
      <c r="H2288" s="1"/>
    </row>
    <row r="2289" spans="1:8" x14ac:dyDescent="0.35">
      <c r="A2289" s="21"/>
      <c r="B2289" t="s">
        <v>26</v>
      </c>
      <c r="C2289" t="s">
        <v>6</v>
      </c>
      <c r="D2289" t="s">
        <v>671</v>
      </c>
      <c r="F2289" s="1">
        <v>45939</v>
      </c>
      <c r="G2289" t="str">
        <f>IF(Table3[[#This Row],[Top Parent Account]]="",Table3[[#This Row],[Account Legal Name]],Table3[[#This Row],[Top Parent Account]])</f>
        <v>Polibrisa de México</v>
      </c>
      <c r="H2289" s="1"/>
    </row>
    <row r="2290" spans="1:8" x14ac:dyDescent="0.35">
      <c r="A2290" s="21"/>
      <c r="B2290" t="s">
        <v>1899</v>
      </c>
      <c r="C2290" t="s">
        <v>6</v>
      </c>
      <c r="D2290" t="s">
        <v>737</v>
      </c>
      <c r="F2290" s="1">
        <v>45939</v>
      </c>
      <c r="G2290" t="str">
        <f>IF(Table3[[#This Row],[Top Parent Account]]="",Table3[[#This Row],[Account Legal Name]],Table3[[#This Row],[Top Parent Account]])</f>
        <v>Abastecedora De Carnes San Gabriel</v>
      </c>
      <c r="H2290" s="1"/>
    </row>
    <row r="2291" spans="1:8" x14ac:dyDescent="0.35">
      <c r="A2291" s="21"/>
      <c r="B2291" t="s">
        <v>14</v>
      </c>
      <c r="C2291" t="s">
        <v>6</v>
      </c>
      <c r="D2291" t="s">
        <v>3789</v>
      </c>
      <c r="F2291" s="1">
        <v>45938</v>
      </c>
      <c r="G2291" t="str">
        <f>IF(Table3[[#This Row],[Top Parent Account]]="",Table3[[#This Row],[Account Legal Name]],Table3[[#This Row],[Top Parent Account]])</f>
        <v>Logistica en Reciclaje SLP</v>
      </c>
      <c r="H2291" s="1"/>
    </row>
    <row r="2292" spans="1:8" x14ac:dyDescent="0.35">
      <c r="A2292" s="21"/>
      <c r="B2292" t="s">
        <v>3114</v>
      </c>
      <c r="C2292" t="s">
        <v>52</v>
      </c>
      <c r="D2292" t="s">
        <v>3644</v>
      </c>
      <c r="F2292" s="1">
        <v>45938</v>
      </c>
      <c r="G2292" t="str">
        <f>IF(Table3[[#This Row],[Top Parent Account]]="",Table3[[#This Row],[Account Legal Name]],Table3[[#This Row],[Top Parent Account]])</f>
        <v>Emergent cold Latam</v>
      </c>
      <c r="H2292" s="1"/>
    </row>
    <row r="2293" spans="1:8" x14ac:dyDescent="0.35">
      <c r="A2293" s="21"/>
      <c r="B2293" t="s">
        <v>2912</v>
      </c>
      <c r="C2293" t="s">
        <v>6</v>
      </c>
      <c r="D2293" t="s">
        <v>83</v>
      </c>
      <c r="F2293" s="1">
        <v>45938</v>
      </c>
      <c r="G2293" t="str">
        <f>IF(Table3[[#This Row],[Top Parent Account]]="",Table3[[#This Row],[Account Legal Name]],Table3[[#This Row],[Top Parent Account]])</f>
        <v>Industrias Tamer</v>
      </c>
      <c r="H2293" s="1"/>
    </row>
    <row r="2294" spans="1:8" x14ac:dyDescent="0.35">
      <c r="A2294" s="21"/>
      <c r="B2294" t="s">
        <v>39</v>
      </c>
      <c r="C2294" t="s">
        <v>57</v>
      </c>
      <c r="D2294" t="s">
        <v>3645</v>
      </c>
      <c r="F2294" s="1">
        <v>45938</v>
      </c>
      <c r="G2294" t="str">
        <f>IF(Table3[[#This Row],[Top Parent Account]]="",Table3[[#This Row],[Account Legal Name]],Table3[[#This Row],[Top Parent Account]])</f>
        <v>CRISOSA</v>
      </c>
      <c r="H2294" s="1"/>
    </row>
    <row r="2295" spans="1:8" x14ac:dyDescent="0.35">
      <c r="A2295" s="21"/>
      <c r="B2295" t="s">
        <v>43</v>
      </c>
      <c r="C2295" t="s">
        <v>6</v>
      </c>
      <c r="D2295" t="s">
        <v>3781</v>
      </c>
      <c r="F2295" s="1">
        <v>45938</v>
      </c>
      <c r="G2295" t="str">
        <f>IF(Table3[[#This Row],[Top Parent Account]]="",Table3[[#This Row],[Account Legal Name]],Table3[[#This Row],[Top Parent Account]])</f>
        <v>Paralelo 20</v>
      </c>
      <c r="H2295" s="1"/>
    </row>
    <row r="2296" spans="1:8" x14ac:dyDescent="0.35">
      <c r="A2296" s="21"/>
      <c r="B2296" t="s">
        <v>88</v>
      </c>
      <c r="C2296" t="s">
        <v>22</v>
      </c>
      <c r="D2296" t="s">
        <v>3646</v>
      </c>
      <c r="F2296" s="1">
        <v>45938</v>
      </c>
      <c r="G2296" t="str">
        <f>IF(Table3[[#This Row],[Top Parent Account]]="",Table3[[#This Row],[Account Legal Name]],Table3[[#This Row],[Top Parent Account]])</f>
        <v>REDYTEL</v>
      </c>
      <c r="H2296" s="1"/>
    </row>
    <row r="2297" spans="1:8" x14ac:dyDescent="0.35">
      <c r="A2297" s="21"/>
      <c r="B2297" t="s">
        <v>989</v>
      </c>
      <c r="C2297" t="s">
        <v>6</v>
      </c>
      <c r="D2297" t="s">
        <v>611</v>
      </c>
      <c r="F2297" s="1">
        <v>45938</v>
      </c>
      <c r="G2297" t="str">
        <f>IF(Table3[[#This Row],[Top Parent Account]]="",Table3[[#This Row],[Account Legal Name]],Table3[[#This Row],[Top Parent Account]])</f>
        <v>Grupo Funsam</v>
      </c>
      <c r="H2297" s="1"/>
    </row>
    <row r="2298" spans="1:8" x14ac:dyDescent="0.35">
      <c r="A2298" s="21"/>
      <c r="B2298" t="s">
        <v>39</v>
      </c>
      <c r="C2298" t="s">
        <v>3648</v>
      </c>
      <c r="D2298" t="s">
        <v>520</v>
      </c>
      <c r="F2298" s="1">
        <v>45938</v>
      </c>
      <c r="G2298" t="str">
        <f>IF(Table3[[#This Row],[Top Parent Account]]="",Table3[[#This Row],[Account Legal Name]],Table3[[#This Row],[Top Parent Account]])</f>
        <v>Comercializadora de Alimentos Ochoa</v>
      </c>
      <c r="H2298" s="1"/>
    </row>
    <row r="2299" spans="1:8" x14ac:dyDescent="0.35">
      <c r="A2299" s="21"/>
      <c r="B2299" t="s">
        <v>2345</v>
      </c>
      <c r="C2299" t="s">
        <v>6</v>
      </c>
      <c r="D2299" t="s">
        <v>3649</v>
      </c>
      <c r="F2299" s="1">
        <v>45938</v>
      </c>
      <c r="G2299" t="str">
        <f>IF(Table3[[#This Row],[Top Parent Account]]="",Table3[[#This Row],[Account Legal Name]],Table3[[#This Row],[Top Parent Account]])</f>
        <v>Gmifoods</v>
      </c>
      <c r="H2299" s="1"/>
    </row>
    <row r="2300" spans="1:8" x14ac:dyDescent="0.35">
      <c r="A2300" s="21"/>
      <c r="B2300" t="s">
        <v>1131</v>
      </c>
      <c r="C2300" t="s">
        <v>6</v>
      </c>
      <c r="D2300" t="s">
        <v>3782</v>
      </c>
      <c r="F2300" s="1">
        <v>45938</v>
      </c>
      <c r="G2300" t="str">
        <f>IF(Table3[[#This Row],[Top Parent Account]]="",Table3[[#This Row],[Account Legal Name]],Table3[[#This Row],[Top Parent Account]])</f>
        <v>DISTRIBUIDORA DE PLÁSTICOS SA</v>
      </c>
      <c r="H2300" s="1"/>
    </row>
    <row r="2301" spans="1:8" x14ac:dyDescent="0.35">
      <c r="A2301" s="21"/>
      <c r="B2301" t="s">
        <v>26</v>
      </c>
      <c r="C2301" t="s">
        <v>6</v>
      </c>
      <c r="D2301" t="s">
        <v>3647</v>
      </c>
      <c r="F2301" s="1">
        <v>45938</v>
      </c>
      <c r="G2301" t="str">
        <f>IF(Table3[[#This Row],[Top Parent Account]]="",Table3[[#This Row],[Account Legal Name]],Table3[[#This Row],[Top Parent Account]])</f>
        <v>Mccann Erikson de México</v>
      </c>
      <c r="H2301" s="1"/>
    </row>
    <row r="2302" spans="1:8" x14ac:dyDescent="0.35">
      <c r="A2302" s="21"/>
      <c r="B2302" t="s">
        <v>26</v>
      </c>
      <c r="C2302" t="s">
        <v>6</v>
      </c>
      <c r="D2302" t="s">
        <v>433</v>
      </c>
      <c r="F2302" s="1">
        <v>45938</v>
      </c>
      <c r="G2302" t="str">
        <f>IF(Table3[[#This Row],[Top Parent Account]]="",Table3[[#This Row],[Account Legal Name]],Table3[[#This Row],[Top Parent Account]])</f>
        <v>Usg México</v>
      </c>
      <c r="H2302" s="1"/>
    </row>
    <row r="2303" spans="1:8" x14ac:dyDescent="0.35">
      <c r="A2303" s="21"/>
      <c r="B2303" t="s">
        <v>169</v>
      </c>
      <c r="C2303" t="s">
        <v>6</v>
      </c>
      <c r="D2303" t="s">
        <v>616</v>
      </c>
      <c r="F2303" s="1">
        <v>45938</v>
      </c>
      <c r="G2303" t="str">
        <f>IF(Table3[[#This Row],[Top Parent Account]]="",Table3[[#This Row],[Account Legal Name]],Table3[[#This Row],[Top Parent Account]])</f>
        <v>Absara Cosmetics</v>
      </c>
      <c r="H2303" s="1"/>
    </row>
    <row r="2304" spans="1:8" x14ac:dyDescent="0.35">
      <c r="A2304" s="21"/>
      <c r="B2304" t="s">
        <v>37</v>
      </c>
      <c r="C2304" t="s">
        <v>6</v>
      </c>
      <c r="D2304" t="s">
        <v>2999</v>
      </c>
      <c r="F2304" s="1">
        <v>45938</v>
      </c>
      <c r="G2304" t="str">
        <f>IF(Table3[[#This Row],[Top Parent Account]]="",Table3[[#This Row],[Account Legal Name]],Table3[[#This Row],[Top Parent Account]])</f>
        <v>ZATO COMERCIALIZADORA BIOTECNOLOGICA</v>
      </c>
      <c r="H2304" s="1"/>
    </row>
    <row r="2305" spans="1:8" x14ac:dyDescent="0.35">
      <c r="A2305" s="21"/>
      <c r="B2305" t="s">
        <v>2912</v>
      </c>
      <c r="C2305" t="s">
        <v>6</v>
      </c>
      <c r="D2305" t="s">
        <v>327</v>
      </c>
      <c r="F2305" s="1">
        <v>45938</v>
      </c>
      <c r="G2305" t="str">
        <f>IF(Table3[[#This Row],[Top Parent Account]]="",Table3[[#This Row],[Account Legal Name]],Table3[[#This Row],[Top Parent Account]])</f>
        <v>Tienda Neto</v>
      </c>
      <c r="H2305" s="1"/>
    </row>
    <row r="2306" spans="1:8" x14ac:dyDescent="0.35">
      <c r="A2306" s="21"/>
      <c r="B2306" t="s">
        <v>207</v>
      </c>
      <c r="C2306" t="s">
        <v>6</v>
      </c>
      <c r="D2306" t="s">
        <v>3650</v>
      </c>
      <c r="F2306" s="1">
        <v>45938</v>
      </c>
      <c r="G2306" t="str">
        <f>IF(Table3[[#This Row],[Top Parent Account]]="",Table3[[#This Row],[Account Legal Name]],Table3[[#This Row],[Top Parent Account]])</f>
        <v>Mexproud Shipping</v>
      </c>
      <c r="H2306" s="1"/>
    </row>
    <row r="2307" spans="1:8" x14ac:dyDescent="0.35">
      <c r="A2307" s="21"/>
      <c r="B2307" t="s">
        <v>169</v>
      </c>
      <c r="C2307" t="s">
        <v>6</v>
      </c>
      <c r="D2307" t="s">
        <v>381</v>
      </c>
      <c r="F2307" s="1">
        <v>45938</v>
      </c>
      <c r="G2307" t="str">
        <f>IF(Table3[[#This Row],[Top Parent Account]]="",Table3[[#This Row],[Account Legal Name]],Table3[[#This Row],[Top Parent Account]])</f>
        <v>Geosol</v>
      </c>
      <c r="H2307" s="1"/>
    </row>
    <row r="2308" spans="1:8" x14ac:dyDescent="0.35">
      <c r="A2308" s="21"/>
      <c r="B2308" t="s">
        <v>3175</v>
      </c>
      <c r="C2308" t="s">
        <v>6</v>
      </c>
      <c r="D2308" t="s">
        <v>3651</v>
      </c>
      <c r="F2308" s="1">
        <v>45938</v>
      </c>
      <c r="G2308" t="str">
        <f>IF(Table3[[#This Row],[Top Parent Account]]="",Table3[[#This Row],[Account Legal Name]],Table3[[#This Row],[Top Parent Account]])</f>
        <v>3 Tratamientos Termicos</v>
      </c>
      <c r="H2308" s="1"/>
    </row>
    <row r="2309" spans="1:8" x14ac:dyDescent="0.35">
      <c r="A2309" s="21"/>
      <c r="B2309" t="s">
        <v>169</v>
      </c>
      <c r="C2309" t="s">
        <v>6</v>
      </c>
      <c r="D2309" t="s">
        <v>213</v>
      </c>
      <c r="F2309" s="1">
        <v>45938</v>
      </c>
      <c r="G2309" t="str">
        <f>IF(Table3[[#This Row],[Top Parent Account]]="",Table3[[#This Row],[Account Legal Name]],Table3[[#This Row],[Top Parent Account]])</f>
        <v>Fabrica de Dulces Miguelito</v>
      </c>
      <c r="H2309" s="1"/>
    </row>
    <row r="2310" spans="1:8" x14ac:dyDescent="0.35">
      <c r="A2310" s="21"/>
      <c r="B2310" t="s">
        <v>12</v>
      </c>
      <c r="C2310" t="s">
        <v>6</v>
      </c>
      <c r="D2310" t="s">
        <v>71</v>
      </c>
      <c r="F2310" s="1">
        <v>45938</v>
      </c>
      <c r="G2310" t="str">
        <f>IF(Table3[[#This Row],[Top Parent Account]]="",Table3[[#This Row],[Account Legal Name]],Table3[[#This Row],[Top Parent Account]])</f>
        <v>Grupo Logra</v>
      </c>
      <c r="H2310" s="1"/>
    </row>
    <row r="2311" spans="1:8" x14ac:dyDescent="0.35">
      <c r="A2311" s="21"/>
      <c r="B2311" t="s">
        <v>18</v>
      </c>
      <c r="C2311" t="s">
        <v>6</v>
      </c>
      <c r="D2311" t="s">
        <v>3652</v>
      </c>
      <c r="F2311" s="1">
        <v>45938</v>
      </c>
      <c r="G2311" t="str">
        <f>IF(Table3[[#This Row],[Top Parent Account]]="",Table3[[#This Row],[Account Legal Name]],Table3[[#This Row],[Top Parent Account]])</f>
        <v>UNION</v>
      </c>
      <c r="H2311" s="1"/>
    </row>
    <row r="2312" spans="1:8" x14ac:dyDescent="0.35">
      <c r="A2312" s="21"/>
      <c r="B2312" t="s">
        <v>24</v>
      </c>
      <c r="C2312" t="s">
        <v>6</v>
      </c>
      <c r="D2312" t="s">
        <v>3783</v>
      </c>
      <c r="F2312" s="1">
        <v>45938</v>
      </c>
      <c r="G2312" t="str">
        <f>IF(Table3[[#This Row],[Top Parent Account]]="",Table3[[#This Row],[Account Legal Name]],Table3[[#This Row],[Top Parent Account]])</f>
        <v>Agricola Belher</v>
      </c>
      <c r="H2312" s="1"/>
    </row>
    <row r="2313" spans="1:8" x14ac:dyDescent="0.35">
      <c r="A2313" s="21"/>
      <c r="B2313" t="s">
        <v>1131</v>
      </c>
      <c r="C2313" t="s">
        <v>6</v>
      </c>
      <c r="D2313" t="s">
        <v>3784</v>
      </c>
      <c r="F2313" s="1">
        <v>45938</v>
      </c>
      <c r="G2313" t="str">
        <f>IF(Table3[[#This Row],[Top Parent Account]]="",Table3[[#This Row],[Account Legal Name]],Table3[[#This Row],[Top Parent Account]])</f>
        <v>Humberto Acevedo</v>
      </c>
      <c r="H2313" s="1"/>
    </row>
    <row r="2314" spans="1:8" x14ac:dyDescent="0.35">
      <c r="A2314" s="21"/>
      <c r="B2314" t="s">
        <v>3093</v>
      </c>
      <c r="C2314" t="s">
        <v>6</v>
      </c>
      <c r="D2314" t="s">
        <v>760</v>
      </c>
      <c r="F2314" s="1">
        <v>45938</v>
      </c>
      <c r="G2314" t="str">
        <f>IF(Table3[[#This Row],[Top Parent Account]]="",Table3[[#This Row],[Account Legal Name]],Table3[[#This Row],[Top Parent Account]])</f>
        <v>Syngenta Agro</v>
      </c>
      <c r="H2314" s="1"/>
    </row>
    <row r="2315" spans="1:8" x14ac:dyDescent="0.35">
      <c r="A2315" s="21"/>
      <c r="B2315" t="s">
        <v>26</v>
      </c>
      <c r="C2315" t="s">
        <v>6</v>
      </c>
      <c r="D2315" t="s">
        <v>418</v>
      </c>
      <c r="F2315" s="1">
        <v>45938</v>
      </c>
      <c r="G2315" t="str">
        <f>IF(Table3[[#This Row],[Top Parent Account]]="",Table3[[#This Row],[Account Legal Name]],Table3[[#This Row],[Top Parent Account]])</f>
        <v>Grupo Altex</v>
      </c>
      <c r="H2315" s="1"/>
    </row>
    <row r="2316" spans="1:8" x14ac:dyDescent="0.35">
      <c r="A2316" s="21"/>
      <c r="B2316" t="s">
        <v>43</v>
      </c>
      <c r="C2316" t="s">
        <v>6</v>
      </c>
      <c r="D2316" t="s">
        <v>3601</v>
      </c>
      <c r="F2316" s="1">
        <v>45938</v>
      </c>
      <c r="G2316" t="str">
        <f>IF(Table3[[#This Row],[Top Parent Account]]="",Table3[[#This Row],[Account Legal Name]],Table3[[#This Row],[Top Parent Account]])</f>
        <v>ZANEO</v>
      </c>
      <c r="H2316" s="1"/>
    </row>
    <row r="2317" spans="1:8" x14ac:dyDescent="0.35">
      <c r="A2317" s="21"/>
      <c r="B2317" t="s">
        <v>932</v>
      </c>
      <c r="C2317" t="s">
        <v>6</v>
      </c>
      <c r="D2317" t="s">
        <v>3653</v>
      </c>
      <c r="F2317" s="1">
        <v>45938</v>
      </c>
      <c r="G2317" t="str">
        <f>IF(Table3[[#This Row],[Top Parent Account]]="",Table3[[#This Row],[Account Legal Name]],Table3[[#This Row],[Top Parent Account]])</f>
        <v>Aksi Herramientas</v>
      </c>
      <c r="H2317" s="1"/>
    </row>
    <row r="2318" spans="1:8" x14ac:dyDescent="0.35">
      <c r="A2318" s="21"/>
      <c r="B2318" t="s">
        <v>25</v>
      </c>
      <c r="C2318" t="s">
        <v>6</v>
      </c>
      <c r="D2318" t="s">
        <v>3654</v>
      </c>
      <c r="F2318" s="1">
        <v>45938</v>
      </c>
      <c r="G2318" t="str">
        <f>IF(Table3[[#This Row],[Top Parent Account]]="",Table3[[#This Row],[Account Legal Name]],Table3[[#This Row],[Top Parent Account]])</f>
        <v>Royal Creative</v>
      </c>
      <c r="H2318" s="1"/>
    </row>
    <row r="2319" spans="1:8" x14ac:dyDescent="0.35">
      <c r="A2319" s="21"/>
      <c r="B2319" t="s">
        <v>121</v>
      </c>
      <c r="C2319" t="s">
        <v>6</v>
      </c>
      <c r="D2319" t="s">
        <v>3655</v>
      </c>
      <c r="F2319" s="1">
        <v>45938</v>
      </c>
      <c r="G2319" t="str">
        <f>IF(Table3[[#This Row],[Top Parent Account]]="",Table3[[#This Row],[Account Legal Name]],Table3[[#This Row],[Top Parent Account]])</f>
        <v>Ramon Gonzalez Patron</v>
      </c>
      <c r="H2319" s="1"/>
    </row>
    <row r="2320" spans="1:8" x14ac:dyDescent="0.35">
      <c r="A2320" s="21"/>
      <c r="B2320" t="s">
        <v>116</v>
      </c>
      <c r="C2320" t="s">
        <v>6</v>
      </c>
      <c r="D2320" t="s">
        <v>3786</v>
      </c>
      <c r="F2320" s="1">
        <v>45938</v>
      </c>
      <c r="G2320" t="str">
        <f>IF(Table3[[#This Row],[Top Parent Account]]="",Table3[[#This Row],[Account Legal Name]],Table3[[#This Row],[Top Parent Account]])</f>
        <v>Acesta</v>
      </c>
      <c r="H2320" s="1"/>
    </row>
    <row r="2321" spans="1:8" x14ac:dyDescent="0.35">
      <c r="A2321" s="21"/>
      <c r="B2321" t="s">
        <v>280</v>
      </c>
      <c r="C2321" t="s">
        <v>6</v>
      </c>
      <c r="D2321" t="s">
        <v>3656</v>
      </c>
      <c r="F2321" s="1">
        <v>45938</v>
      </c>
      <c r="G2321" t="str">
        <f>IF(Table3[[#This Row],[Top Parent Account]]="",Table3[[#This Row],[Account Legal Name]],Table3[[#This Row],[Top Parent Account]])</f>
        <v>OPERADORA DE SERVICIOS Y PRODUCTOS INDEL</v>
      </c>
      <c r="H2321" s="1"/>
    </row>
    <row r="2322" spans="1:8" x14ac:dyDescent="0.35">
      <c r="A2322" s="21"/>
      <c r="B2322" t="s">
        <v>39</v>
      </c>
      <c r="C2322" t="s">
        <v>57</v>
      </c>
      <c r="D2322" t="s">
        <v>3785</v>
      </c>
      <c r="F2322" s="1">
        <v>45938</v>
      </c>
      <c r="G2322" t="str">
        <f>IF(Table3[[#This Row],[Top Parent Account]]="",Table3[[#This Row],[Account Legal Name]],Table3[[#This Row],[Top Parent Account]])</f>
        <v>Maderas y Ferreterías Durán</v>
      </c>
      <c r="H2322" s="1"/>
    </row>
    <row r="2323" spans="1:8" x14ac:dyDescent="0.35">
      <c r="A2323" s="21"/>
      <c r="B2323" t="s">
        <v>29</v>
      </c>
      <c r="C2323" t="s">
        <v>6</v>
      </c>
      <c r="D2323" t="s">
        <v>3657</v>
      </c>
      <c r="F2323" s="1">
        <v>45938</v>
      </c>
      <c r="G2323" t="str">
        <f>IF(Table3[[#This Row],[Top Parent Account]]="",Table3[[#This Row],[Account Legal Name]],Table3[[#This Row],[Top Parent Account]])</f>
        <v>Fábrica de Chocolates y Dulces Costanzo</v>
      </c>
      <c r="H2323" s="1"/>
    </row>
    <row r="2324" spans="1:8" x14ac:dyDescent="0.35">
      <c r="A2324" s="21"/>
      <c r="B2324" t="s">
        <v>70</v>
      </c>
      <c r="C2324" t="s">
        <v>6</v>
      </c>
      <c r="D2324" t="s">
        <v>1818</v>
      </c>
      <c r="F2324" s="1">
        <v>45938</v>
      </c>
      <c r="G2324" t="str">
        <f>IF(Table3[[#This Row],[Top Parent Account]]="",Table3[[#This Row],[Account Legal Name]],Table3[[#This Row],[Top Parent Account]])</f>
        <v>Hospital y Clínica Oca</v>
      </c>
      <c r="H2324" s="1"/>
    </row>
    <row r="2325" spans="1:8" x14ac:dyDescent="0.35">
      <c r="A2325" s="21"/>
      <c r="B2325" t="s">
        <v>39</v>
      </c>
      <c r="C2325" t="s">
        <v>1030</v>
      </c>
      <c r="D2325" t="s">
        <v>3658</v>
      </c>
      <c r="E2325" t="s">
        <v>2004</v>
      </c>
      <c r="F2325" s="1">
        <v>45938</v>
      </c>
      <c r="G2325" t="str">
        <f>IF(Table3[[#This Row],[Top Parent Account]]="",Table3[[#This Row],[Account Legal Name]],Table3[[#This Row],[Top Parent Account]])</f>
        <v>Mobinsa</v>
      </c>
      <c r="H2325" s="1"/>
    </row>
    <row r="2326" spans="1:8" x14ac:dyDescent="0.35">
      <c r="A2326" s="21"/>
      <c r="B2326" t="s">
        <v>3182</v>
      </c>
      <c r="C2326" t="s">
        <v>6</v>
      </c>
      <c r="D2326" t="s">
        <v>3659</v>
      </c>
      <c r="F2326" s="1">
        <v>45937</v>
      </c>
      <c r="G2326" t="str">
        <f>IF(Table3[[#This Row],[Top Parent Account]]="",Table3[[#This Row],[Account Legal Name]],Table3[[#This Row],[Top Parent Account]])</f>
        <v>KRISHKA</v>
      </c>
      <c r="H2326" s="1"/>
    </row>
    <row r="2327" spans="1:8" x14ac:dyDescent="0.35">
      <c r="A2327" s="21"/>
      <c r="B2327" t="s">
        <v>121</v>
      </c>
      <c r="C2327" t="s">
        <v>6</v>
      </c>
      <c r="D2327" t="s">
        <v>1160</v>
      </c>
      <c r="F2327" s="1">
        <v>45937</v>
      </c>
      <c r="G2327" t="str">
        <f>IF(Table3[[#This Row],[Top Parent Account]]="",Table3[[#This Row],[Account Legal Name]],Table3[[#This Row],[Top Parent Account]])</f>
        <v>Gruas Alpha</v>
      </c>
      <c r="H2327" s="1"/>
    </row>
    <row r="2328" spans="1:8" x14ac:dyDescent="0.35">
      <c r="A2328" s="21"/>
      <c r="B2328" t="s">
        <v>207</v>
      </c>
      <c r="C2328" t="s">
        <v>6</v>
      </c>
      <c r="D2328" t="s">
        <v>3204</v>
      </c>
      <c r="F2328" s="1">
        <v>45937</v>
      </c>
      <c r="G2328" t="str">
        <f>IF(Table3[[#This Row],[Top Parent Account]]="",Table3[[#This Row],[Account Legal Name]],Table3[[#This Row],[Top Parent Account]])</f>
        <v>Boomerang Manufactura En Metal</v>
      </c>
      <c r="H2328" s="1"/>
    </row>
    <row r="2329" spans="1:8" x14ac:dyDescent="0.35">
      <c r="A2329" s="21"/>
      <c r="B2329" t="s">
        <v>14</v>
      </c>
      <c r="C2329" t="s">
        <v>6</v>
      </c>
      <c r="D2329" t="s">
        <v>3747</v>
      </c>
      <c r="F2329" s="1">
        <v>45937</v>
      </c>
      <c r="G2329" t="str">
        <f>IF(Table3[[#This Row],[Top Parent Account]]="",Table3[[#This Row],[Account Legal Name]],Table3[[#This Row],[Top Parent Account]])</f>
        <v>Precision Metal Stamping</v>
      </c>
      <c r="H2329" s="1"/>
    </row>
    <row r="2330" spans="1:8" x14ac:dyDescent="0.35">
      <c r="A2330" s="21"/>
      <c r="B2330" t="s">
        <v>32</v>
      </c>
      <c r="C2330" t="s">
        <v>6</v>
      </c>
      <c r="D2330" t="s">
        <v>230</v>
      </c>
      <c r="F2330" s="1">
        <v>45937</v>
      </c>
      <c r="G2330" t="str">
        <f>IF(Table3[[#This Row],[Top Parent Account]]="",Table3[[#This Row],[Account Legal Name]],Table3[[#This Row],[Top Parent Account]])</f>
        <v>Dimasur</v>
      </c>
      <c r="H2330" s="1"/>
    </row>
    <row r="2331" spans="1:8" x14ac:dyDescent="0.35">
      <c r="A2331" s="21"/>
      <c r="B2331" t="s">
        <v>32</v>
      </c>
      <c r="C2331" t="s">
        <v>6</v>
      </c>
      <c r="D2331" t="s">
        <v>4611</v>
      </c>
      <c r="F2331" s="1">
        <v>45937</v>
      </c>
      <c r="G2331" t="str">
        <f>IF(Table3[[#This Row],[Top Parent Account]]="",Table3[[#This Row],[Account Legal Name]],Table3[[#This Row],[Top Parent Account]])</f>
        <v>CAMANCHACA MEXICO</v>
      </c>
      <c r="H2331" s="1"/>
    </row>
    <row r="2332" spans="1:8" x14ac:dyDescent="0.35">
      <c r="A2332" s="21"/>
      <c r="B2332" t="s">
        <v>32</v>
      </c>
      <c r="C2332" t="s">
        <v>6</v>
      </c>
      <c r="D2332" t="s">
        <v>487</v>
      </c>
      <c r="F2332" s="1">
        <v>45937</v>
      </c>
      <c r="G2332" t="str">
        <f>IF(Table3[[#This Row],[Top Parent Account]]="",Table3[[#This Row],[Account Legal Name]],Table3[[#This Row],[Top Parent Account]])</f>
        <v>Bustrain</v>
      </c>
      <c r="H2332" s="1"/>
    </row>
    <row r="2333" spans="1:8" x14ac:dyDescent="0.35">
      <c r="A2333" s="21"/>
      <c r="B2333" t="s">
        <v>3175</v>
      </c>
      <c r="C2333" t="s">
        <v>6</v>
      </c>
      <c r="D2333" t="s">
        <v>3195</v>
      </c>
      <c r="F2333" s="1">
        <v>45937</v>
      </c>
      <c r="G2333" t="str">
        <f>IF(Table3[[#This Row],[Top Parent Account]]="",Table3[[#This Row],[Account Legal Name]],Table3[[#This Row],[Top Parent Account]])</f>
        <v>Eslabon Logistico</v>
      </c>
      <c r="H2333" s="1"/>
    </row>
    <row r="2334" spans="1:8" x14ac:dyDescent="0.35">
      <c r="A2334" s="21"/>
      <c r="B2334" t="s">
        <v>26</v>
      </c>
      <c r="C2334" t="s">
        <v>6</v>
      </c>
      <c r="D2334" t="s">
        <v>437</v>
      </c>
      <c r="F2334" s="1">
        <v>45937</v>
      </c>
      <c r="G2334" t="str">
        <f>IF(Table3[[#This Row],[Top Parent Account]]="",Table3[[#This Row],[Account Legal Name]],Table3[[#This Row],[Top Parent Account]])</f>
        <v>Industrias Cazel</v>
      </c>
      <c r="H2334" s="1"/>
    </row>
    <row r="2335" spans="1:8" x14ac:dyDescent="0.35">
      <c r="A2335" s="21"/>
      <c r="B2335" t="s">
        <v>28</v>
      </c>
      <c r="C2335" t="s">
        <v>6</v>
      </c>
      <c r="D2335" t="s">
        <v>1141</v>
      </c>
      <c r="F2335" s="1">
        <v>45937</v>
      </c>
      <c r="G2335" t="str">
        <f>IF(Table3[[#This Row],[Top Parent Account]]="",Table3[[#This Row],[Account Legal Name]],Table3[[#This Row],[Top Parent Account]])</f>
        <v>GASOLINERA Y SERVICIOS DE LA CRUZ</v>
      </c>
      <c r="H2335" s="1"/>
    </row>
    <row r="2336" spans="1:8" x14ac:dyDescent="0.35">
      <c r="A2336" s="21"/>
      <c r="B2336" t="s">
        <v>10</v>
      </c>
      <c r="C2336" t="s">
        <v>6</v>
      </c>
      <c r="D2336" t="s">
        <v>1317</v>
      </c>
      <c r="F2336" s="1">
        <v>45937</v>
      </c>
      <c r="G2336" t="str">
        <f>IF(Table3[[#This Row],[Top Parent Account]]="",Table3[[#This Row],[Account Legal Name]],Table3[[#This Row],[Top Parent Account]])</f>
        <v>Laboratorios Pisa</v>
      </c>
      <c r="H2336" s="1"/>
    </row>
    <row r="2337" spans="1:8" x14ac:dyDescent="0.35">
      <c r="A2337" s="21"/>
      <c r="B2337" t="s">
        <v>39</v>
      </c>
      <c r="C2337" t="s">
        <v>1030</v>
      </c>
      <c r="D2337" t="s">
        <v>529</v>
      </c>
      <c r="E2337" t="s">
        <v>530</v>
      </c>
      <c r="F2337" s="1">
        <v>45937</v>
      </c>
      <c r="G2337" t="str">
        <f>IF(Table3[[#This Row],[Top Parent Account]]="",Table3[[#This Row],[Account Legal Name]],Table3[[#This Row],[Top Parent Account]])</f>
        <v>International De Baja California - Mexicali</v>
      </c>
      <c r="H2337" s="1"/>
    </row>
    <row r="2338" spans="1:8" x14ac:dyDescent="0.35">
      <c r="A2338" s="21"/>
      <c r="B2338" t="s">
        <v>3175</v>
      </c>
      <c r="C2338" t="s">
        <v>6</v>
      </c>
      <c r="D2338" t="s">
        <v>3660</v>
      </c>
      <c r="F2338" s="1">
        <v>45937</v>
      </c>
      <c r="G2338" t="str">
        <f>IF(Table3[[#This Row],[Top Parent Account]]="",Table3[[#This Row],[Account Legal Name]],Table3[[#This Row],[Top Parent Account]])</f>
        <v>NOPCHEM</v>
      </c>
      <c r="H2338" s="1"/>
    </row>
    <row r="2339" spans="1:8" x14ac:dyDescent="0.35">
      <c r="A2339" s="21"/>
      <c r="B2339" t="s">
        <v>2693</v>
      </c>
      <c r="C2339" t="s">
        <v>6</v>
      </c>
      <c r="D2339" t="s">
        <v>3661</v>
      </c>
      <c r="F2339" s="1">
        <v>45937</v>
      </c>
      <c r="G2339" t="str">
        <f>IF(Table3[[#This Row],[Top Parent Account]]="",Table3[[#This Row],[Account Legal Name]],Table3[[#This Row],[Top Parent Account]])</f>
        <v>JORGE EDUARDO GONZALEZ MALDONADO</v>
      </c>
      <c r="H2339" s="1"/>
    </row>
    <row r="2340" spans="1:8" x14ac:dyDescent="0.35">
      <c r="A2340" s="21"/>
      <c r="B2340" t="s">
        <v>18</v>
      </c>
      <c r="C2340" t="s">
        <v>6</v>
      </c>
      <c r="D2340" t="s">
        <v>3662</v>
      </c>
      <c r="F2340" s="1">
        <v>45937</v>
      </c>
      <c r="G2340" t="str">
        <f>IF(Table3[[#This Row],[Top Parent Account]]="",Table3[[#This Row],[Account Legal Name]],Table3[[#This Row],[Top Parent Account]])</f>
        <v>Transportes De Carga Fema</v>
      </c>
      <c r="H2340" s="1"/>
    </row>
    <row r="2341" spans="1:8" x14ac:dyDescent="0.35">
      <c r="A2341" s="21"/>
      <c r="B2341" t="s">
        <v>207</v>
      </c>
      <c r="C2341" t="s">
        <v>6</v>
      </c>
      <c r="D2341" t="s">
        <v>3606</v>
      </c>
      <c r="F2341" s="1">
        <v>45937</v>
      </c>
      <c r="G2341" t="str">
        <f>IF(Table3[[#This Row],[Top Parent Account]]="",Table3[[#This Row],[Account Legal Name]],Table3[[#This Row],[Top Parent Account]])</f>
        <v>Aligonza</v>
      </c>
      <c r="H2341" s="1"/>
    </row>
    <row r="2342" spans="1:8" x14ac:dyDescent="0.35">
      <c r="A2342" s="21"/>
      <c r="B2342" t="s">
        <v>3129</v>
      </c>
      <c r="C2342" t="s">
        <v>6</v>
      </c>
      <c r="D2342" t="s">
        <v>406</v>
      </c>
      <c r="F2342" s="1">
        <v>45937</v>
      </c>
      <c r="G2342" t="str">
        <f>IF(Table3[[#This Row],[Top Parent Account]]="",Table3[[#This Row],[Account Legal Name]],Table3[[#This Row],[Top Parent Account]])</f>
        <v>Cubetas y Baños</v>
      </c>
      <c r="H2342" s="1"/>
    </row>
    <row r="2343" spans="1:8" x14ac:dyDescent="0.35">
      <c r="A2343" s="21"/>
      <c r="B2343" t="s">
        <v>3175</v>
      </c>
      <c r="C2343" t="s">
        <v>6</v>
      </c>
      <c r="D2343" t="s">
        <v>1080</v>
      </c>
      <c r="F2343" s="1">
        <v>45937</v>
      </c>
      <c r="G2343" t="str">
        <f>IF(Table3[[#This Row],[Top Parent Account]]="",Table3[[#This Row],[Account Legal Name]],Table3[[#This Row],[Top Parent Account]])</f>
        <v>Distribución y Logística La Palma</v>
      </c>
      <c r="H2343" s="1"/>
    </row>
    <row r="2344" spans="1:8" x14ac:dyDescent="0.35">
      <c r="A2344" s="21"/>
      <c r="B2344" t="s">
        <v>925</v>
      </c>
      <c r="C2344" t="s">
        <v>6</v>
      </c>
      <c r="D2344" t="s">
        <v>94</v>
      </c>
      <c r="F2344" s="1">
        <v>45937</v>
      </c>
      <c r="G2344" t="str">
        <f>IF(Table3[[#This Row],[Top Parent Account]]="",Table3[[#This Row],[Account Legal Name]],Table3[[#This Row],[Top Parent Account]])</f>
        <v>Grupo Atsa</v>
      </c>
      <c r="H2344" s="1"/>
    </row>
    <row r="2345" spans="1:8" x14ac:dyDescent="0.35">
      <c r="A2345" s="21"/>
      <c r="B2345" t="s">
        <v>84</v>
      </c>
      <c r="C2345" t="s">
        <v>3663</v>
      </c>
      <c r="D2345" t="s">
        <v>2876</v>
      </c>
      <c r="F2345" s="1">
        <v>45937</v>
      </c>
      <c r="G2345" t="str">
        <f>IF(Table3[[#This Row],[Top Parent Account]]="",Table3[[#This Row],[Account Legal Name]],Table3[[#This Row],[Top Parent Account]])</f>
        <v>Metalco</v>
      </c>
      <c r="H2345" s="1"/>
    </row>
    <row r="2346" spans="1:8" x14ac:dyDescent="0.35">
      <c r="A2346" s="21"/>
      <c r="B2346" t="s">
        <v>121</v>
      </c>
      <c r="C2346" t="s">
        <v>6</v>
      </c>
      <c r="D2346" t="s">
        <v>2622</v>
      </c>
      <c r="F2346" s="1">
        <v>45937</v>
      </c>
      <c r="G2346" t="str">
        <f>IF(Table3[[#This Row],[Top Parent Account]]="",Table3[[#This Row],[Account Legal Name]],Table3[[#This Row],[Top Parent Account]])</f>
        <v>Slovensko</v>
      </c>
      <c r="H2346" s="1"/>
    </row>
    <row r="2347" spans="1:8" x14ac:dyDescent="0.35">
      <c r="A2347" s="21"/>
      <c r="B2347" t="s">
        <v>121</v>
      </c>
      <c r="C2347" t="s">
        <v>6</v>
      </c>
      <c r="D2347" t="s">
        <v>808</v>
      </c>
      <c r="F2347" s="1">
        <v>45937</v>
      </c>
      <c r="G2347" t="str">
        <f>IF(Table3[[#This Row],[Top Parent Account]]="",Table3[[#This Row],[Account Legal Name]],Table3[[#This Row],[Top Parent Account]])</f>
        <v>CORTEZ SEA FOOD</v>
      </c>
      <c r="H2347" s="1"/>
    </row>
    <row r="2348" spans="1:8" x14ac:dyDescent="0.35">
      <c r="A2348" s="21"/>
      <c r="B2348" t="s">
        <v>18</v>
      </c>
      <c r="C2348" t="s">
        <v>6</v>
      </c>
      <c r="D2348" t="s">
        <v>3664</v>
      </c>
      <c r="F2348" s="1">
        <v>45937</v>
      </c>
      <c r="G2348" t="str">
        <f>IF(Table3[[#This Row],[Top Parent Account]]="",Table3[[#This Row],[Account Legal Name]],Table3[[#This Row],[Top Parent Account]])</f>
        <v>Navarro Bros</v>
      </c>
      <c r="H2348" s="1"/>
    </row>
    <row r="2349" spans="1:8" x14ac:dyDescent="0.35">
      <c r="A2349" s="21"/>
      <c r="B2349" t="s">
        <v>970</v>
      </c>
      <c r="C2349" t="s">
        <v>6</v>
      </c>
      <c r="D2349" t="s">
        <v>3796</v>
      </c>
      <c r="F2349" s="1">
        <v>45937</v>
      </c>
      <c r="G2349" t="str">
        <f>IF(Table3[[#This Row],[Top Parent Account]]="",Table3[[#This Row],[Account Legal Name]],Table3[[#This Row],[Top Parent Account]])</f>
        <v>Carredana De Empaques</v>
      </c>
      <c r="H2349" s="1"/>
    </row>
    <row r="2350" spans="1:8" x14ac:dyDescent="0.35">
      <c r="A2350" s="21"/>
      <c r="B2350" t="s">
        <v>3093</v>
      </c>
      <c r="C2350" t="s">
        <v>6</v>
      </c>
      <c r="D2350" t="s">
        <v>3665</v>
      </c>
      <c r="F2350" s="1">
        <v>45937</v>
      </c>
      <c r="G2350" t="str">
        <f>IF(Table3[[#This Row],[Top Parent Account]]="",Table3[[#This Row],[Account Legal Name]],Table3[[#This Row],[Top Parent Account]])</f>
        <v>JEMAFLEX DE MEXICO</v>
      </c>
      <c r="H2350" s="1"/>
    </row>
    <row r="2351" spans="1:8" x14ac:dyDescent="0.35">
      <c r="A2351" s="21"/>
      <c r="B2351" t="s">
        <v>26</v>
      </c>
      <c r="C2351" t="s">
        <v>6</v>
      </c>
      <c r="D2351" t="s">
        <v>459</v>
      </c>
      <c r="E2351" t="s">
        <v>34</v>
      </c>
      <c r="F2351" s="1">
        <v>45937</v>
      </c>
      <c r="G2351" t="str">
        <f>IF(Table3[[#This Row],[Top Parent Account]]="",Table3[[#This Row],[Account Legal Name]],Table3[[#This Row],[Top Parent Account]])</f>
        <v>Haas Machine Tools</v>
      </c>
      <c r="H2351" s="1"/>
    </row>
    <row r="2352" spans="1:8" x14ac:dyDescent="0.35">
      <c r="A2352" s="21"/>
      <c r="B2352" t="s">
        <v>2693</v>
      </c>
      <c r="C2352" t="s">
        <v>6</v>
      </c>
      <c r="D2352" t="s">
        <v>3502</v>
      </c>
      <c r="E2352" t="s">
        <v>3503</v>
      </c>
      <c r="F2352" s="1">
        <v>45937</v>
      </c>
      <c r="G2352" t="str">
        <f>IF(Table3[[#This Row],[Top Parent Account]]="",Table3[[#This Row],[Account Legal Name]],Table3[[#This Row],[Top Parent Account]])</f>
        <v>ARG-PALMAR AGRONEGOCIOS</v>
      </c>
      <c r="H2352" s="1"/>
    </row>
    <row r="2353" spans="1:8" x14ac:dyDescent="0.35">
      <c r="A2353" s="21"/>
      <c r="B2353" t="s">
        <v>77</v>
      </c>
      <c r="C2353" t="s">
        <v>6</v>
      </c>
      <c r="D2353" t="s">
        <v>3666</v>
      </c>
      <c r="F2353" s="1">
        <v>45937</v>
      </c>
      <c r="G2353" t="str">
        <f>IF(Table3[[#This Row],[Top Parent Account]]="",Table3[[#This Row],[Account Legal Name]],Table3[[#This Row],[Top Parent Account]])</f>
        <v>Siloz - Express</v>
      </c>
      <c r="H2353" s="1"/>
    </row>
    <row r="2354" spans="1:8" x14ac:dyDescent="0.35">
      <c r="A2354" s="21"/>
      <c r="B2354" t="s">
        <v>208</v>
      </c>
      <c r="C2354" t="s">
        <v>6</v>
      </c>
      <c r="D2354" t="s">
        <v>996</v>
      </c>
      <c r="F2354" s="1">
        <v>45937</v>
      </c>
      <c r="G2354" t="str">
        <f>IF(Table3[[#This Row],[Top Parent Account]]="",Table3[[#This Row],[Account Legal Name]],Table3[[#This Row],[Top Parent Account]])</f>
        <v>Plasticos Y Alambres Rogama</v>
      </c>
      <c r="H2354" s="1"/>
    </row>
    <row r="2355" spans="1:8" x14ac:dyDescent="0.35">
      <c r="A2355" s="21"/>
      <c r="B2355" t="s">
        <v>25</v>
      </c>
      <c r="C2355" t="s">
        <v>6</v>
      </c>
      <c r="D2355" t="s">
        <v>3667</v>
      </c>
      <c r="F2355" s="1">
        <v>45937</v>
      </c>
      <c r="G2355" t="str">
        <f>IF(Table3[[#This Row],[Top Parent Account]]="",Table3[[#This Row],[Account Legal Name]],Table3[[#This Row],[Top Parent Account]])</f>
        <v>Demoliendo Mexico</v>
      </c>
      <c r="H2355" s="1"/>
    </row>
    <row r="2356" spans="1:8" x14ac:dyDescent="0.35">
      <c r="A2356" s="21"/>
      <c r="B2356" t="s">
        <v>88</v>
      </c>
      <c r="C2356" t="s">
        <v>6</v>
      </c>
      <c r="D2356" t="s">
        <v>1440</v>
      </c>
      <c r="F2356" s="1">
        <v>45937</v>
      </c>
      <c r="G2356" t="str">
        <f>IF(Table3[[#This Row],[Top Parent Account]]="",Table3[[#This Row],[Account Legal Name]],Table3[[#This Row],[Top Parent Account]])</f>
        <v>MVC PRODUCCIONES INTERNACIONALES</v>
      </c>
      <c r="H2356" s="1"/>
    </row>
    <row r="2357" spans="1:8" x14ac:dyDescent="0.35">
      <c r="A2357" s="21"/>
      <c r="B2357" t="s">
        <v>88</v>
      </c>
      <c r="C2357" t="s">
        <v>6</v>
      </c>
      <c r="D2357" t="s">
        <v>3668</v>
      </c>
      <c r="F2357" s="1">
        <v>45937</v>
      </c>
      <c r="G2357" t="str">
        <f>IF(Table3[[#This Row],[Top Parent Account]]="",Table3[[#This Row],[Account Legal Name]],Table3[[#This Row],[Top Parent Account]])</f>
        <v>SIEMT</v>
      </c>
      <c r="H2357" s="1"/>
    </row>
    <row r="2358" spans="1:8" x14ac:dyDescent="0.35">
      <c r="A2358" s="21"/>
      <c r="B2358" t="s">
        <v>23</v>
      </c>
      <c r="C2358" t="s">
        <v>6</v>
      </c>
      <c r="D2358" t="s">
        <v>3669</v>
      </c>
      <c r="F2358" s="1">
        <v>45937</v>
      </c>
      <c r="G2358" t="str">
        <f>IF(Table3[[#This Row],[Top Parent Account]]="",Table3[[#This Row],[Account Legal Name]],Table3[[#This Row],[Top Parent Account]])</f>
        <v>PARMEX FILTRACION Y SOLUCIONES INDUSTRIALES</v>
      </c>
      <c r="H2358" s="1"/>
    </row>
    <row r="2359" spans="1:8" x14ac:dyDescent="0.35">
      <c r="A2359" s="21"/>
      <c r="B2359" t="s">
        <v>26</v>
      </c>
      <c r="C2359" t="s">
        <v>6</v>
      </c>
      <c r="D2359" t="s">
        <v>497</v>
      </c>
      <c r="F2359" s="1">
        <v>45937</v>
      </c>
      <c r="G2359" t="str">
        <f>IF(Table3[[#This Row],[Top Parent Account]]="",Table3[[#This Row],[Account Legal Name]],Table3[[#This Row],[Top Parent Account]])</f>
        <v>Servicios Troncalizados</v>
      </c>
      <c r="H2359" s="1"/>
    </row>
    <row r="2360" spans="1:8" x14ac:dyDescent="0.35">
      <c r="A2360" s="21"/>
      <c r="B2360" t="s">
        <v>896</v>
      </c>
      <c r="C2360" t="s">
        <v>6</v>
      </c>
      <c r="D2360" t="s">
        <v>3671</v>
      </c>
      <c r="F2360" s="1">
        <v>45937</v>
      </c>
      <c r="G2360" t="str">
        <f>IF(Table3[[#This Row],[Top Parent Account]]="",Table3[[#This Row],[Account Legal Name]],Table3[[#This Row],[Top Parent Account]])</f>
        <v>Coneprosa</v>
      </c>
      <c r="H2360" s="1"/>
    </row>
    <row r="2361" spans="1:8" x14ac:dyDescent="0.35">
      <c r="A2361" s="21"/>
      <c r="B2361" t="s">
        <v>32</v>
      </c>
      <c r="C2361" t="s">
        <v>6</v>
      </c>
      <c r="D2361" t="s">
        <v>3670</v>
      </c>
      <c r="F2361" s="1">
        <v>45937</v>
      </c>
      <c r="G2361" t="str">
        <f>IF(Table3[[#This Row],[Top Parent Account]]="",Table3[[#This Row],[Account Legal Name]],Table3[[#This Row],[Top Parent Account]])</f>
        <v>Cafiver</v>
      </c>
      <c r="H2361" s="1"/>
    </row>
    <row r="2362" spans="1:8" x14ac:dyDescent="0.35">
      <c r="A2362" s="21"/>
      <c r="B2362" t="s">
        <v>589</v>
      </c>
      <c r="C2362" t="s">
        <v>6</v>
      </c>
      <c r="D2362" t="s">
        <v>3672</v>
      </c>
      <c r="F2362" s="1">
        <v>45937</v>
      </c>
      <c r="G2362" t="str">
        <f>IF(Table3[[#This Row],[Top Parent Account]]="",Table3[[#This Row],[Account Legal Name]],Table3[[#This Row],[Top Parent Account]])</f>
        <v>Handtmann Machinery México</v>
      </c>
      <c r="H2362" s="1"/>
    </row>
    <row r="2363" spans="1:8" x14ac:dyDescent="0.35">
      <c r="A2363" s="21"/>
      <c r="B2363" t="s">
        <v>88</v>
      </c>
      <c r="C2363" t="s">
        <v>6</v>
      </c>
      <c r="D2363" t="s">
        <v>3673</v>
      </c>
      <c r="F2363" s="1">
        <v>45937</v>
      </c>
      <c r="G2363" t="str">
        <f>IF(Table3[[#This Row],[Top Parent Account]]="",Table3[[#This Row],[Account Legal Name]],Table3[[#This Row],[Top Parent Account]])</f>
        <v>Erasto Pastor Hernández</v>
      </c>
      <c r="H2363" s="1"/>
    </row>
    <row r="2364" spans="1:8" x14ac:dyDescent="0.35">
      <c r="A2364" s="21"/>
      <c r="B2364" t="s">
        <v>39</v>
      </c>
      <c r="C2364" t="s">
        <v>1030</v>
      </c>
      <c r="D2364" t="s">
        <v>525</v>
      </c>
      <c r="F2364" s="1">
        <v>45937</v>
      </c>
      <c r="G2364" t="str">
        <f>IF(Table3[[#This Row],[Top Parent Account]]="",Table3[[#This Row],[Account Legal Name]],Table3[[#This Row],[Top Parent Account]])</f>
        <v>Transportes Comandos Del Norte</v>
      </c>
      <c r="H2364" s="1"/>
    </row>
    <row r="2365" spans="1:8" x14ac:dyDescent="0.35">
      <c r="A2365" s="21"/>
      <c r="B2365" t="s">
        <v>39</v>
      </c>
      <c r="C2365" t="s">
        <v>1030</v>
      </c>
      <c r="D2365" t="s">
        <v>1035</v>
      </c>
      <c r="F2365" s="1">
        <v>45936</v>
      </c>
      <c r="G2365" t="str">
        <f>IF(Table3[[#This Row],[Top Parent Account]]="",Table3[[#This Row],[Account Legal Name]],Table3[[#This Row],[Top Parent Account]])</f>
        <v>Distribuidora De Concretos Mxl</v>
      </c>
      <c r="H2365" s="1"/>
    </row>
    <row r="2366" spans="1:8" x14ac:dyDescent="0.35">
      <c r="A2366" s="21"/>
      <c r="B2366" t="s">
        <v>70</v>
      </c>
      <c r="C2366" t="s">
        <v>22</v>
      </c>
      <c r="D2366" t="s">
        <v>203</v>
      </c>
      <c r="F2366" s="1">
        <v>45936</v>
      </c>
      <c r="G2366" t="str">
        <f>IF(Table3[[#This Row],[Top Parent Account]]="",Table3[[#This Row],[Account Legal Name]],Table3[[#This Row],[Top Parent Account]])</f>
        <v>Fundación De Asistencia Privada Conde De Valenciana</v>
      </c>
      <c r="H2366" s="1"/>
    </row>
    <row r="2367" spans="1:8" x14ac:dyDescent="0.35">
      <c r="A2367" s="21"/>
      <c r="B2367" t="s">
        <v>88</v>
      </c>
      <c r="C2367" t="s">
        <v>6</v>
      </c>
      <c r="D2367" t="s">
        <v>3674</v>
      </c>
      <c r="F2367" s="1">
        <v>45936</v>
      </c>
      <c r="G2367" t="str">
        <f>IF(Table3[[#This Row],[Top Parent Account]]="",Table3[[#This Row],[Account Legal Name]],Table3[[#This Row],[Top Parent Account]])</f>
        <v>Industrializadora de maderas BC Pallets</v>
      </c>
      <c r="H2367" s="1"/>
    </row>
    <row r="2368" spans="1:8" x14ac:dyDescent="0.35">
      <c r="A2368" s="21"/>
      <c r="B2368" t="s">
        <v>739</v>
      </c>
      <c r="C2368" t="s">
        <v>6</v>
      </c>
      <c r="D2368" t="s">
        <v>3037</v>
      </c>
      <c r="F2368" s="1">
        <v>45936</v>
      </c>
      <c r="G2368" t="str">
        <f>IF(Table3[[#This Row],[Top Parent Account]]="",Table3[[#This Row],[Account Legal Name]],Table3[[#This Row],[Top Parent Account]])</f>
        <v>General Mills</v>
      </c>
      <c r="H2368" s="1"/>
    </row>
    <row r="2369" spans="1:8" x14ac:dyDescent="0.35">
      <c r="A2369" s="21"/>
      <c r="B2369" t="s">
        <v>77</v>
      </c>
      <c r="C2369" t="s">
        <v>6</v>
      </c>
      <c r="D2369" t="s">
        <v>3675</v>
      </c>
      <c r="F2369" s="1">
        <v>45936</v>
      </c>
      <c r="G2369" t="str">
        <f>IF(Table3[[#This Row],[Top Parent Account]]="",Table3[[#This Row],[Account Legal Name]],Table3[[#This Row],[Top Parent Account]])</f>
        <v>Rodrigo Israel Castillo Rocha</v>
      </c>
      <c r="H2369" s="1"/>
    </row>
    <row r="2370" spans="1:8" x14ac:dyDescent="0.35">
      <c r="A2370" s="21"/>
      <c r="B2370" t="s">
        <v>39</v>
      </c>
      <c r="C2370" t="s">
        <v>1030</v>
      </c>
      <c r="D2370" t="s">
        <v>1035</v>
      </c>
      <c r="F2370" s="1">
        <v>45936</v>
      </c>
      <c r="G2370" t="str">
        <f>IF(Table3[[#This Row],[Top Parent Account]]="",Table3[[#This Row],[Account Legal Name]],Table3[[#This Row],[Top Parent Account]])</f>
        <v>Distribuidora De Concretos Mxl</v>
      </c>
      <c r="H2370" s="1"/>
    </row>
    <row r="2371" spans="1:8" x14ac:dyDescent="0.35">
      <c r="A2371" s="21"/>
      <c r="B2371" t="s">
        <v>121</v>
      </c>
      <c r="C2371" t="s">
        <v>6</v>
      </c>
      <c r="D2371" t="s">
        <v>2622</v>
      </c>
      <c r="F2371" s="1">
        <v>45936</v>
      </c>
      <c r="G2371" t="str">
        <f>IF(Table3[[#This Row],[Top Parent Account]]="",Table3[[#This Row],[Account Legal Name]],Table3[[#This Row],[Top Parent Account]])</f>
        <v>Slovensko</v>
      </c>
      <c r="H2371" s="1"/>
    </row>
    <row r="2372" spans="1:8" x14ac:dyDescent="0.35">
      <c r="A2372" s="21"/>
      <c r="B2372" t="s">
        <v>32</v>
      </c>
      <c r="C2372" t="s">
        <v>6</v>
      </c>
      <c r="D2372" t="s">
        <v>426</v>
      </c>
      <c r="F2372" s="1">
        <v>45936</v>
      </c>
      <c r="G2372" t="str">
        <f>IF(Table3[[#This Row],[Top Parent Account]]="",Table3[[#This Row],[Account Legal Name]],Table3[[#This Row],[Top Parent Account]])</f>
        <v>Aaacesa Almacenes Fiscalizados</v>
      </c>
      <c r="H2372" s="1"/>
    </row>
    <row r="2373" spans="1:8" x14ac:dyDescent="0.35">
      <c r="A2373" s="21"/>
      <c r="B2373" t="s">
        <v>375</v>
      </c>
      <c r="C2373" t="s">
        <v>6</v>
      </c>
      <c r="D2373" t="s">
        <v>3676</v>
      </c>
      <c r="F2373" s="1">
        <v>45936</v>
      </c>
      <c r="G2373" t="str">
        <f>IF(Table3[[#This Row],[Top Parent Account]]="",Table3[[#This Row],[Account Legal Name]],Table3[[#This Row],[Top Parent Account]])</f>
        <v>COLAP</v>
      </c>
      <c r="H2373" s="1"/>
    </row>
    <row r="2374" spans="1:8" x14ac:dyDescent="0.35">
      <c r="A2374" s="21"/>
      <c r="B2374" t="s">
        <v>39</v>
      </c>
      <c r="C2374" t="s">
        <v>1030</v>
      </c>
      <c r="D2374" t="s">
        <v>532</v>
      </c>
      <c r="F2374" s="1">
        <v>45936</v>
      </c>
      <c r="G2374" t="str">
        <f>IF(Table3[[#This Row],[Top Parent Account]]="",Table3[[#This Row],[Account Legal Name]],Table3[[#This Row],[Top Parent Account]])</f>
        <v>Constructora Cadena</v>
      </c>
      <c r="H2374" s="1"/>
    </row>
    <row r="2375" spans="1:8" x14ac:dyDescent="0.35">
      <c r="A2375" s="21"/>
      <c r="B2375" t="s">
        <v>3129</v>
      </c>
      <c r="C2375" t="s">
        <v>6</v>
      </c>
      <c r="D2375" t="s">
        <v>42</v>
      </c>
      <c r="F2375" s="1">
        <v>45936</v>
      </c>
      <c r="G2375" t="str">
        <f>IF(Table3[[#This Row],[Top Parent Account]]="",Table3[[#This Row],[Account Legal Name]],Table3[[#This Row],[Top Parent Account]])</f>
        <v>Coca-Cola FEMSA</v>
      </c>
      <c r="H2375" s="1"/>
    </row>
    <row r="2376" spans="1:8" x14ac:dyDescent="0.35">
      <c r="A2376" s="21"/>
      <c r="B2376" t="s">
        <v>970</v>
      </c>
      <c r="C2376" t="s">
        <v>6</v>
      </c>
      <c r="D2376" t="s">
        <v>4612</v>
      </c>
      <c r="F2376" s="1">
        <v>45936</v>
      </c>
      <c r="G2376" t="str">
        <f>IF(Table3[[#This Row],[Top Parent Account]]="",Table3[[#This Row],[Account Legal Name]],Table3[[#This Row],[Top Parent Account]])</f>
        <v>Grupo Hycsa</v>
      </c>
      <c r="H2376" s="1"/>
    </row>
    <row r="2377" spans="1:8" x14ac:dyDescent="0.35">
      <c r="A2377" s="21"/>
      <c r="B2377" t="s">
        <v>969</v>
      </c>
      <c r="C2377" t="s">
        <v>6</v>
      </c>
      <c r="D2377" t="s">
        <v>1924</v>
      </c>
      <c r="F2377" s="1">
        <v>45936</v>
      </c>
      <c r="G2377" t="str">
        <f>IF(Table3[[#This Row],[Top Parent Account]]="",Table3[[#This Row],[Account Legal Name]],Table3[[#This Row],[Top Parent Account]])</f>
        <v>Gluten y Almidones Industriales</v>
      </c>
      <c r="H2377" s="1"/>
    </row>
    <row r="2378" spans="1:8" x14ac:dyDescent="0.35">
      <c r="A2378" s="21"/>
      <c r="B2378" t="s">
        <v>3553</v>
      </c>
      <c r="C2378" t="s">
        <v>6</v>
      </c>
      <c r="D2378" t="s">
        <v>897</v>
      </c>
      <c r="F2378" s="1">
        <v>45936</v>
      </c>
      <c r="G2378" t="str">
        <f>IF(Table3[[#This Row],[Top Parent Account]]="",Table3[[#This Row],[Account Legal Name]],Table3[[#This Row],[Top Parent Account]])</f>
        <v>VECSMA</v>
      </c>
      <c r="H2378" s="1"/>
    </row>
    <row r="2379" spans="1:8" x14ac:dyDescent="0.35">
      <c r="A2379" s="21"/>
      <c r="B2379" t="s">
        <v>2693</v>
      </c>
      <c r="C2379" t="s">
        <v>6</v>
      </c>
      <c r="D2379" t="s">
        <v>3677</v>
      </c>
      <c r="F2379" s="1">
        <v>45936</v>
      </c>
      <c r="G2379" t="str">
        <f>IF(Table3[[#This Row],[Top Parent Account]]="",Table3[[#This Row],[Account Legal Name]],Table3[[#This Row],[Top Parent Account]])</f>
        <v>FULARTEX</v>
      </c>
      <c r="H2379" s="1"/>
    </row>
    <row r="2380" spans="1:8" x14ac:dyDescent="0.35">
      <c r="A2380" s="21"/>
      <c r="B2380" t="s">
        <v>88</v>
      </c>
      <c r="C2380" t="s">
        <v>22</v>
      </c>
      <c r="D2380" t="s">
        <v>3678</v>
      </c>
      <c r="F2380" s="1">
        <v>45936</v>
      </c>
      <c r="G2380" t="str">
        <f>IF(Table3[[#This Row],[Top Parent Account]]="",Table3[[#This Row],[Account Legal Name]],Table3[[#This Row],[Top Parent Account]])</f>
        <v>Mavif Autotransporte</v>
      </c>
      <c r="H2380" s="1"/>
    </row>
    <row r="2381" spans="1:8" x14ac:dyDescent="0.35">
      <c r="A2381" s="21"/>
      <c r="B2381" t="s">
        <v>3129</v>
      </c>
      <c r="C2381" t="s">
        <v>6</v>
      </c>
      <c r="D2381" t="s">
        <v>3130</v>
      </c>
      <c r="F2381" s="1">
        <v>45936</v>
      </c>
      <c r="G2381" t="str">
        <f>IF(Table3[[#This Row],[Top Parent Account]]="",Table3[[#This Row],[Account Legal Name]],Table3[[#This Row],[Top Parent Account]])</f>
        <v>Soccer Media Solutions</v>
      </c>
      <c r="H2381" s="1"/>
    </row>
    <row r="2382" spans="1:8" x14ac:dyDescent="0.35">
      <c r="A2382" s="21"/>
      <c r="B2382" t="s">
        <v>2884</v>
      </c>
      <c r="C2382" t="s">
        <v>6</v>
      </c>
      <c r="D2382" t="s">
        <v>3797</v>
      </c>
      <c r="F2382" s="1">
        <v>45936</v>
      </c>
      <c r="G2382" t="str">
        <f>IF(Table3[[#This Row],[Top Parent Account]]="",Table3[[#This Row],[Account Legal Name]],Table3[[#This Row],[Top Parent Account]])</f>
        <v>Cero Luz Cero Gas</v>
      </c>
      <c r="H2382" s="1"/>
    </row>
    <row r="2383" spans="1:8" x14ac:dyDescent="0.35">
      <c r="A2383" s="21"/>
      <c r="B2383" t="s">
        <v>739</v>
      </c>
      <c r="C2383" t="s">
        <v>6</v>
      </c>
      <c r="D2383" t="s">
        <v>3679</v>
      </c>
      <c r="F2383" s="1">
        <v>45936</v>
      </c>
      <c r="G2383" t="str">
        <f>IF(Table3[[#This Row],[Top Parent Account]]="",Table3[[#This Row],[Account Legal Name]],Table3[[#This Row],[Top Parent Account]])</f>
        <v>SERVICIOS INDUSTRIALES Y DE INGENIERIA ITZAMNA</v>
      </c>
      <c r="H2383" s="1"/>
    </row>
    <row r="2384" spans="1:8" x14ac:dyDescent="0.35">
      <c r="A2384" s="21"/>
      <c r="B2384" t="s">
        <v>29</v>
      </c>
      <c r="C2384" t="s">
        <v>6</v>
      </c>
      <c r="D2384" t="s">
        <v>1588</v>
      </c>
      <c r="F2384" s="1">
        <v>45936</v>
      </c>
      <c r="G2384" t="str">
        <f>IF(Table3[[#This Row],[Top Parent Account]]="",Table3[[#This Row],[Account Legal Name]],Table3[[#This Row],[Top Parent Account]])</f>
        <v>Resortes Monticello De México</v>
      </c>
      <c r="H2384" s="1"/>
    </row>
    <row r="2385" spans="1:8" x14ac:dyDescent="0.35">
      <c r="A2385" s="21"/>
      <c r="B2385" t="s">
        <v>2345</v>
      </c>
      <c r="C2385" t="s">
        <v>6</v>
      </c>
      <c r="D2385" t="s">
        <v>3262</v>
      </c>
      <c r="F2385" s="1">
        <v>45936</v>
      </c>
      <c r="G2385" t="str">
        <f>IF(Table3[[#This Row],[Top Parent Account]]="",Table3[[#This Row],[Account Legal Name]],Table3[[#This Row],[Top Parent Account]])</f>
        <v>Idea Ingenieria</v>
      </c>
      <c r="H2385" s="1"/>
    </row>
    <row r="2386" spans="1:8" x14ac:dyDescent="0.35">
      <c r="A2386" s="21"/>
      <c r="B2386" t="s">
        <v>21</v>
      </c>
      <c r="C2386" t="s">
        <v>6</v>
      </c>
      <c r="D2386" t="s">
        <v>1205</v>
      </c>
      <c r="F2386" s="1">
        <v>45936</v>
      </c>
      <c r="G2386" t="str">
        <f>IF(Table3[[#This Row],[Top Parent Account]]="",Table3[[#This Row],[Account Legal Name]],Table3[[#This Row],[Top Parent Account]])</f>
        <v>Jesus Abraham Hernandez Castillo</v>
      </c>
      <c r="H2386" s="1"/>
    </row>
    <row r="2387" spans="1:8" x14ac:dyDescent="0.35">
      <c r="A2387" s="21"/>
      <c r="B2387" t="s">
        <v>39</v>
      </c>
      <c r="C2387" t="s">
        <v>57</v>
      </c>
      <c r="D2387" t="s">
        <v>3681</v>
      </c>
      <c r="F2387" s="1">
        <v>45936</v>
      </c>
      <c r="G2387" t="str">
        <f>IF(Table3[[#This Row],[Top Parent Account]]="",Table3[[#This Row],[Account Legal Name]],Table3[[#This Row],[Top Parent Account]])</f>
        <v>Cosmopolitan Group</v>
      </c>
      <c r="H2387" s="1"/>
    </row>
    <row r="2388" spans="1:8" x14ac:dyDescent="0.35">
      <c r="A2388" s="21"/>
      <c r="B2388" t="s">
        <v>589</v>
      </c>
      <c r="C2388" t="s">
        <v>6</v>
      </c>
      <c r="D2388" t="s">
        <v>3682</v>
      </c>
      <c r="F2388" s="1">
        <v>45936</v>
      </c>
      <c r="G2388" t="str">
        <f>IF(Table3[[#This Row],[Top Parent Account]]="",Table3[[#This Row],[Account Legal Name]],Table3[[#This Row],[Top Parent Account]])</f>
        <v>FMP Racks</v>
      </c>
      <c r="H2388" s="1"/>
    </row>
    <row r="2389" spans="1:8" x14ac:dyDescent="0.35">
      <c r="A2389" s="21"/>
      <c r="B2389" t="s">
        <v>3092</v>
      </c>
      <c r="C2389" t="s">
        <v>6</v>
      </c>
      <c r="D2389" t="s">
        <v>3680</v>
      </c>
      <c r="F2389" s="1">
        <v>45936</v>
      </c>
      <c r="G2389" t="str">
        <f>IF(Table3[[#This Row],[Top Parent Account]]="",Table3[[#This Row],[Account Legal Name]],Table3[[#This Row],[Top Parent Account]])</f>
        <v>Editorial Matro</v>
      </c>
      <c r="H2389" s="1"/>
    </row>
    <row r="2390" spans="1:8" x14ac:dyDescent="0.35">
      <c r="A2390" s="21"/>
      <c r="B2390" t="s">
        <v>970</v>
      </c>
      <c r="C2390" t="s">
        <v>6</v>
      </c>
      <c r="D2390" t="s">
        <v>4402</v>
      </c>
      <c r="F2390" s="1">
        <v>45935</v>
      </c>
      <c r="G2390" t="str">
        <f>IF(Table3[[#This Row],[Top Parent Account]]="",Table3[[#This Row],[Account Legal Name]],Table3[[#This Row],[Top Parent Account]])</f>
        <v>BioPappel</v>
      </c>
      <c r="H2390" s="1"/>
    </row>
    <row r="2391" spans="1:8" x14ac:dyDescent="0.35">
      <c r="A2391" s="21"/>
      <c r="B2391" t="s">
        <v>25</v>
      </c>
      <c r="C2391" t="s">
        <v>6</v>
      </c>
      <c r="D2391" t="s">
        <v>3624</v>
      </c>
      <c r="F2391" s="1">
        <v>45933</v>
      </c>
      <c r="G2391" t="str">
        <f>IF(Table3[[#This Row],[Top Parent Account]]="",Table3[[#This Row],[Account Legal Name]],Table3[[#This Row],[Top Parent Account]])</f>
        <v>Grupo Comercial Maolma</v>
      </c>
      <c r="H2391" s="1"/>
    </row>
    <row r="2392" spans="1:8" x14ac:dyDescent="0.35">
      <c r="A2392" s="21"/>
      <c r="B2392" t="s">
        <v>28</v>
      </c>
      <c r="C2392" t="s">
        <v>6</v>
      </c>
      <c r="D2392" t="s">
        <v>1571</v>
      </c>
      <c r="F2392" s="1">
        <v>45933</v>
      </c>
      <c r="G2392" t="str">
        <f>IF(Table3[[#This Row],[Top Parent Account]]="",Table3[[#This Row],[Account Legal Name]],Table3[[#This Row],[Top Parent Account]])</f>
        <v>CONSTRUACERO DEL NORTE</v>
      </c>
      <c r="H2392" s="1"/>
    </row>
    <row r="2393" spans="1:8" x14ac:dyDescent="0.35">
      <c r="A2393" s="21"/>
      <c r="B2393" t="s">
        <v>1511</v>
      </c>
      <c r="C2393" t="s">
        <v>6</v>
      </c>
      <c r="D2393" t="s">
        <v>3559</v>
      </c>
      <c r="F2393" s="1">
        <v>45933</v>
      </c>
      <c r="G2393" t="str">
        <f>IF(Table3[[#This Row],[Top Parent Account]]="",Table3[[#This Row],[Account Legal Name]],Table3[[#This Row],[Top Parent Account]])</f>
        <v>Premaco Asfaltos Básicos</v>
      </c>
      <c r="H2393" s="1"/>
    </row>
    <row r="2394" spans="1:8" x14ac:dyDescent="0.35">
      <c r="A2394" s="21"/>
      <c r="B2394" t="s">
        <v>1511</v>
      </c>
      <c r="C2394" t="s">
        <v>6</v>
      </c>
      <c r="D2394" t="s">
        <v>2121</v>
      </c>
      <c r="F2394" s="1">
        <v>45933</v>
      </c>
      <c r="G2394" t="str">
        <f>IF(Table3[[#This Row],[Top Parent Account]]="",Table3[[#This Row],[Account Legal Name]],Table3[[#This Row],[Top Parent Account]])</f>
        <v>Grupo Inmobiliario Arrendador</v>
      </c>
      <c r="H2394" s="1"/>
    </row>
    <row r="2395" spans="1:8" x14ac:dyDescent="0.35">
      <c r="A2395" s="21"/>
      <c r="B2395" t="s">
        <v>172</v>
      </c>
      <c r="C2395" t="s">
        <v>6</v>
      </c>
      <c r="D2395" t="s">
        <v>1062</v>
      </c>
      <c r="F2395" s="1">
        <v>45933</v>
      </c>
      <c r="G2395" t="str">
        <f>IF(Table3[[#This Row],[Top Parent Account]]="",Table3[[#This Row],[Account Legal Name]],Table3[[#This Row],[Top Parent Account]])</f>
        <v>XIMPLE Logistics</v>
      </c>
      <c r="H2395" s="1"/>
    </row>
    <row r="2396" spans="1:8" x14ac:dyDescent="0.35">
      <c r="A2396" s="21"/>
      <c r="B2396" t="s">
        <v>172</v>
      </c>
      <c r="C2396" t="s">
        <v>6</v>
      </c>
      <c r="D2396" t="s">
        <v>3312</v>
      </c>
      <c r="F2396" s="1">
        <v>45933</v>
      </c>
      <c r="G2396" t="str">
        <f>IF(Table3[[#This Row],[Top Parent Account]]="",Table3[[#This Row],[Account Legal Name]],Table3[[#This Row],[Top Parent Account]])</f>
        <v>compañia minera avino</v>
      </c>
      <c r="H2396" s="1"/>
    </row>
    <row r="2397" spans="1:8" x14ac:dyDescent="0.35">
      <c r="A2397" s="21"/>
      <c r="B2397" t="s">
        <v>32</v>
      </c>
      <c r="C2397" t="s">
        <v>6</v>
      </c>
      <c r="D2397" t="s">
        <v>3625</v>
      </c>
      <c r="F2397" s="1">
        <v>45933</v>
      </c>
      <c r="G2397" t="str">
        <f>IF(Table3[[#This Row],[Top Parent Account]]="",Table3[[#This Row],[Account Legal Name]],Table3[[#This Row],[Top Parent Account]])</f>
        <v>Integradora Comercial Del Golfo</v>
      </c>
      <c r="H2397" s="1"/>
    </row>
    <row r="2398" spans="1:8" x14ac:dyDescent="0.35">
      <c r="A2398" s="21"/>
      <c r="B2398" t="s">
        <v>3553</v>
      </c>
      <c r="C2398" t="s">
        <v>6</v>
      </c>
      <c r="D2398" t="s">
        <v>2398</v>
      </c>
      <c r="F2398" s="1">
        <v>45933</v>
      </c>
      <c r="G2398" t="str">
        <f>IF(Table3[[#This Row],[Top Parent Account]]="",Table3[[#This Row],[Account Legal Name]],Table3[[#This Row],[Top Parent Account]])</f>
        <v>Grupo Besco</v>
      </c>
      <c r="H2398" s="1"/>
    </row>
    <row r="2399" spans="1:8" x14ac:dyDescent="0.35">
      <c r="A2399" s="21"/>
      <c r="B2399" t="s">
        <v>3114</v>
      </c>
      <c r="C2399" t="s">
        <v>3609</v>
      </c>
      <c r="D2399" t="s">
        <v>3610</v>
      </c>
      <c r="F2399" s="1">
        <v>45933</v>
      </c>
      <c r="G2399" t="str">
        <f>IF(Table3[[#This Row],[Top Parent Account]]="",Table3[[#This Row],[Account Legal Name]],Table3[[#This Row],[Top Parent Account]])</f>
        <v>Maderera y Ferretera Blanquita</v>
      </c>
      <c r="H2399" s="1"/>
    </row>
    <row r="2400" spans="1:8" x14ac:dyDescent="0.35">
      <c r="A2400" s="21"/>
      <c r="B2400" t="s">
        <v>23</v>
      </c>
      <c r="C2400" t="s">
        <v>6</v>
      </c>
      <c r="D2400" t="s">
        <v>3683</v>
      </c>
      <c r="F2400" s="1">
        <v>45933</v>
      </c>
      <c r="G2400" t="str">
        <f>IF(Table3[[#This Row],[Top Parent Account]]="",Table3[[#This Row],[Account Legal Name]],Table3[[#This Row],[Top Parent Account]])</f>
        <v>LINGOTES DEL CENTRO</v>
      </c>
      <c r="H2400" s="1"/>
    </row>
    <row r="2401" spans="1:8" x14ac:dyDescent="0.35">
      <c r="A2401" s="21"/>
      <c r="B2401" t="s">
        <v>88</v>
      </c>
      <c r="C2401" t="s">
        <v>6</v>
      </c>
      <c r="D2401" t="s">
        <v>3612</v>
      </c>
      <c r="F2401" s="1">
        <v>45933</v>
      </c>
      <c r="G2401" t="str">
        <f>IF(Table3[[#This Row],[Top Parent Account]]="",Table3[[#This Row],[Account Legal Name]],Table3[[#This Row],[Top Parent Account]])</f>
        <v>MADERAS Y MATERIALES TAMPICO MIRAMAR</v>
      </c>
      <c r="H2401" s="1"/>
    </row>
    <row r="2402" spans="1:8" x14ac:dyDescent="0.35">
      <c r="A2402" s="21"/>
      <c r="B2402" t="s">
        <v>37</v>
      </c>
      <c r="C2402" t="s">
        <v>6</v>
      </c>
      <c r="D2402" t="s">
        <v>850</v>
      </c>
      <c r="F2402" s="1">
        <v>45933</v>
      </c>
      <c r="G2402" t="str">
        <f>IF(Table3[[#This Row],[Top Parent Account]]="",Table3[[#This Row],[Account Legal Name]],Table3[[#This Row],[Top Parent Account]])</f>
        <v>NOVEM MEDICAL</v>
      </c>
      <c r="H2402" s="1"/>
    </row>
    <row r="2403" spans="1:8" x14ac:dyDescent="0.35">
      <c r="A2403" s="21"/>
      <c r="B2403" t="s">
        <v>989</v>
      </c>
      <c r="C2403" t="s">
        <v>6</v>
      </c>
      <c r="D2403" t="s">
        <v>3597</v>
      </c>
      <c r="F2403" s="1">
        <v>45933</v>
      </c>
      <c r="G2403" t="str">
        <f>IF(Table3[[#This Row],[Top Parent Account]]="",Table3[[#This Row],[Account Legal Name]],Table3[[#This Row],[Top Parent Account]])</f>
        <v>Manufacturas Exel</v>
      </c>
      <c r="H2403" s="1"/>
    </row>
    <row r="2404" spans="1:8" x14ac:dyDescent="0.35">
      <c r="A2404" s="21"/>
      <c r="B2404" t="s">
        <v>989</v>
      </c>
      <c r="C2404" t="s">
        <v>6</v>
      </c>
      <c r="D2404" t="s">
        <v>2656</v>
      </c>
      <c r="F2404" s="1">
        <v>45933</v>
      </c>
      <c r="G2404" t="str">
        <f>IF(Table3[[#This Row],[Top Parent Account]]="",Table3[[#This Row],[Account Legal Name]],Table3[[#This Row],[Top Parent Account]])</f>
        <v>Grupo Técnico Impresor</v>
      </c>
      <c r="H2404" s="1"/>
    </row>
    <row r="2405" spans="1:8" x14ac:dyDescent="0.35">
      <c r="A2405" s="21"/>
      <c r="B2405" t="s">
        <v>2693</v>
      </c>
      <c r="C2405" t="s">
        <v>6</v>
      </c>
      <c r="D2405" t="s">
        <v>3611</v>
      </c>
      <c r="F2405" s="1">
        <v>45933</v>
      </c>
      <c r="G2405" t="str">
        <f>IF(Table3[[#This Row],[Top Parent Account]]="",Table3[[#This Row],[Account Legal Name]],Table3[[#This Row],[Top Parent Account]])</f>
        <v>COMERSEGTEK</v>
      </c>
      <c r="H2405" s="1"/>
    </row>
    <row r="2406" spans="1:8" x14ac:dyDescent="0.35">
      <c r="A2406" s="21"/>
      <c r="B2406" t="s">
        <v>989</v>
      </c>
      <c r="C2406" t="s">
        <v>6</v>
      </c>
      <c r="D2406" t="s">
        <v>1847</v>
      </c>
      <c r="F2406" s="1">
        <v>45933</v>
      </c>
      <c r="G2406" t="str">
        <f>IF(Table3[[#This Row],[Top Parent Account]]="",Table3[[#This Row],[Account Legal Name]],Table3[[#This Row],[Top Parent Account]])</f>
        <v>China Depot</v>
      </c>
      <c r="H2406" s="1"/>
    </row>
    <row r="2407" spans="1:8" x14ac:dyDescent="0.35">
      <c r="A2407" s="21"/>
      <c r="B2407" t="s">
        <v>989</v>
      </c>
      <c r="C2407" t="s">
        <v>6</v>
      </c>
      <c r="D2407" t="s">
        <v>1230</v>
      </c>
      <c r="F2407" s="1">
        <v>45933</v>
      </c>
      <c r="G2407" t="str">
        <f>IF(Table3[[#This Row],[Top Parent Account]]="",Table3[[#This Row],[Account Legal Name]],Table3[[#This Row],[Top Parent Account]])</f>
        <v>Kante Industries</v>
      </c>
      <c r="H2407" s="1"/>
    </row>
    <row r="2408" spans="1:8" x14ac:dyDescent="0.35">
      <c r="A2408" s="21"/>
      <c r="B2408" t="s">
        <v>38</v>
      </c>
      <c r="C2408" t="s">
        <v>6</v>
      </c>
      <c r="D2408" t="s">
        <v>506</v>
      </c>
      <c r="F2408" s="1">
        <v>45933</v>
      </c>
      <c r="G2408" t="str">
        <f>IF(Table3[[#This Row],[Top Parent Account]]="",Table3[[#This Row],[Account Legal Name]],Table3[[#This Row],[Top Parent Account]])</f>
        <v>Grupo Acerero</v>
      </c>
      <c r="H2408" s="1"/>
    </row>
    <row r="2409" spans="1:8" x14ac:dyDescent="0.35">
      <c r="A2409" s="21"/>
      <c r="B2409" t="s">
        <v>1131</v>
      </c>
      <c r="C2409" t="s">
        <v>6</v>
      </c>
      <c r="D2409" t="s">
        <v>3613</v>
      </c>
      <c r="E2409" t="s">
        <v>2367</v>
      </c>
      <c r="F2409" s="1">
        <v>45933</v>
      </c>
      <c r="G2409" t="str">
        <f>IF(Table3[[#This Row],[Top Parent Account]]="",Table3[[#This Row],[Account Legal Name]],Table3[[#This Row],[Top Parent Account]])</f>
        <v>Grupo Porteo Logístico</v>
      </c>
      <c r="H2409" s="1"/>
    </row>
    <row r="2410" spans="1:8" x14ac:dyDescent="0.35">
      <c r="A2410" s="21"/>
      <c r="B2410" t="s">
        <v>172</v>
      </c>
      <c r="C2410" t="s">
        <v>6</v>
      </c>
      <c r="D2410" t="s">
        <v>1020</v>
      </c>
      <c r="F2410" s="1">
        <v>45933</v>
      </c>
      <c r="G2410" t="str">
        <f>IF(Table3[[#This Row],[Top Parent Account]]="",Table3[[#This Row],[Account Legal Name]],Table3[[#This Row],[Top Parent Account]])</f>
        <v>impulsora de bienes alameda</v>
      </c>
      <c r="H2410" s="1"/>
    </row>
    <row r="2411" spans="1:8" x14ac:dyDescent="0.35">
      <c r="A2411" s="21"/>
      <c r="B2411" t="s">
        <v>88</v>
      </c>
      <c r="C2411" t="s">
        <v>6</v>
      </c>
      <c r="D2411" t="s">
        <v>1053</v>
      </c>
      <c r="F2411" s="1">
        <v>45933</v>
      </c>
      <c r="G2411" t="str">
        <f>IF(Table3[[#This Row],[Top Parent Account]]="",Table3[[#This Row],[Account Legal Name]],Table3[[#This Row],[Top Parent Account]])</f>
        <v>Holguin Foods</v>
      </c>
      <c r="H2411" s="1"/>
    </row>
    <row r="2412" spans="1:8" x14ac:dyDescent="0.35">
      <c r="A2412" s="21"/>
      <c r="B2412" t="s">
        <v>121</v>
      </c>
      <c r="C2412" t="s">
        <v>6</v>
      </c>
      <c r="D2412" t="s">
        <v>746</v>
      </c>
      <c r="F2412" s="1">
        <v>45933</v>
      </c>
      <c r="G2412" t="str">
        <f>IF(Table3[[#This Row],[Top Parent Account]]="",Table3[[#This Row],[Account Legal Name]],Table3[[#This Row],[Top Parent Account]])</f>
        <v>Ambienta Tus Momentos</v>
      </c>
      <c r="H2412" s="1"/>
    </row>
    <row r="2413" spans="1:8" x14ac:dyDescent="0.35">
      <c r="A2413" s="21"/>
      <c r="B2413" t="s">
        <v>169</v>
      </c>
      <c r="C2413" t="s">
        <v>6</v>
      </c>
      <c r="D2413" t="s">
        <v>733</v>
      </c>
      <c r="F2413" s="1">
        <v>45933</v>
      </c>
      <c r="G2413" t="str">
        <f>IF(Table3[[#This Row],[Top Parent Account]]="",Table3[[#This Row],[Account Legal Name]],Table3[[#This Row],[Top Parent Account]])</f>
        <v>Starplast México</v>
      </c>
      <c r="H2413" s="1"/>
    </row>
    <row r="2414" spans="1:8" x14ac:dyDescent="0.35">
      <c r="A2414" s="21"/>
      <c r="B2414" t="s">
        <v>3114</v>
      </c>
      <c r="C2414" t="s">
        <v>6</v>
      </c>
      <c r="D2414" t="s">
        <v>1228</v>
      </c>
      <c r="F2414" s="1">
        <v>45933</v>
      </c>
      <c r="G2414" t="str">
        <f>IF(Table3[[#This Row],[Top Parent Account]]="",Table3[[#This Row],[Account Legal Name]],Table3[[#This Row],[Top Parent Account]])</f>
        <v>Grupo Regio Cal</v>
      </c>
      <c r="H2414" s="1"/>
    </row>
    <row r="2415" spans="1:8" x14ac:dyDescent="0.35">
      <c r="A2415" s="21"/>
      <c r="B2415" t="s">
        <v>32</v>
      </c>
      <c r="C2415" t="s">
        <v>6</v>
      </c>
      <c r="D2415" t="s">
        <v>183</v>
      </c>
      <c r="F2415" s="1">
        <v>45933</v>
      </c>
      <c r="G2415" t="str">
        <f>IF(Table3[[#This Row],[Top Parent Account]]="",Table3[[#This Row],[Account Legal Name]],Table3[[#This Row],[Top Parent Account]])</f>
        <v>Poliflex Veracruz</v>
      </c>
      <c r="H2415" s="1"/>
    </row>
    <row r="2416" spans="1:8" x14ac:dyDescent="0.35">
      <c r="A2416" s="21"/>
      <c r="B2416" t="s">
        <v>172</v>
      </c>
      <c r="C2416" t="s">
        <v>6</v>
      </c>
      <c r="D2416" t="s">
        <v>1803</v>
      </c>
      <c r="F2416" s="1">
        <v>45933</v>
      </c>
      <c r="G2416" t="str">
        <f>IF(Table3[[#This Row],[Top Parent Account]]="",Table3[[#This Row],[Account Legal Name]],Table3[[#This Row],[Top Parent Account]])</f>
        <v>Transmontes</v>
      </c>
      <c r="H2416" s="1"/>
    </row>
    <row r="2417" spans="1:8" x14ac:dyDescent="0.35">
      <c r="A2417" s="21"/>
      <c r="B2417" t="s">
        <v>932</v>
      </c>
      <c r="C2417" t="s">
        <v>3684</v>
      </c>
      <c r="D2417" t="s">
        <v>3685</v>
      </c>
      <c r="E2417" t="s">
        <v>3686</v>
      </c>
      <c r="F2417" s="1">
        <v>45933</v>
      </c>
      <c r="G2417" t="str">
        <f>IF(Table3[[#This Row],[Top Parent Account]]="",Table3[[#This Row],[Account Legal Name]],Table3[[#This Row],[Top Parent Account]])</f>
        <v>Union Quimica</v>
      </c>
      <c r="H2417" s="1"/>
    </row>
    <row r="2418" spans="1:8" x14ac:dyDescent="0.35">
      <c r="A2418" s="21"/>
      <c r="B2418" t="s">
        <v>169</v>
      </c>
      <c r="C2418" t="s">
        <v>6</v>
      </c>
      <c r="D2418" t="s">
        <v>2808</v>
      </c>
      <c r="F2418" s="1">
        <v>45933</v>
      </c>
      <c r="G2418" t="str">
        <f>IF(Table3[[#This Row],[Top Parent Account]]="",Table3[[#This Row],[Account Legal Name]],Table3[[#This Row],[Top Parent Account]])</f>
        <v>Empaque y Diseño</v>
      </c>
      <c r="H2418" s="1"/>
    </row>
    <row r="2419" spans="1:8" x14ac:dyDescent="0.35">
      <c r="A2419" s="21"/>
      <c r="B2419" t="s">
        <v>2345</v>
      </c>
      <c r="C2419" t="s">
        <v>6</v>
      </c>
      <c r="D2419" t="s">
        <v>1093</v>
      </c>
      <c r="F2419" s="1">
        <v>45933</v>
      </c>
      <c r="G2419" t="str">
        <f>IF(Table3[[#This Row],[Top Parent Account]]="",Table3[[#This Row],[Account Legal Name]],Table3[[#This Row],[Top Parent Account]])</f>
        <v>Nb Foods</v>
      </c>
      <c r="H2419" s="1"/>
    </row>
    <row r="2420" spans="1:8" x14ac:dyDescent="0.35">
      <c r="A2420" s="21"/>
      <c r="B2420" t="s">
        <v>3093</v>
      </c>
      <c r="C2420" t="s">
        <v>6</v>
      </c>
      <c r="D2420" t="s">
        <v>98</v>
      </c>
      <c r="F2420" s="1">
        <v>45933</v>
      </c>
      <c r="G2420" t="str">
        <f>IF(Table3[[#This Row],[Top Parent Account]]="",Table3[[#This Row],[Account Legal Name]],Table3[[#This Row],[Top Parent Account]])</f>
        <v>Grupo Papelero Gabor</v>
      </c>
      <c r="H2420" s="1"/>
    </row>
    <row r="2421" spans="1:8" x14ac:dyDescent="0.35">
      <c r="A2421" s="21"/>
      <c r="B2421" t="s">
        <v>3182</v>
      </c>
      <c r="C2421" t="s">
        <v>22</v>
      </c>
      <c r="D2421" t="s">
        <v>63</v>
      </c>
      <c r="F2421" s="1">
        <v>45932</v>
      </c>
      <c r="G2421" t="str">
        <f>IF(Table3[[#This Row],[Top Parent Account]]="",Table3[[#This Row],[Account Legal Name]],Table3[[#This Row],[Top Parent Account]])</f>
        <v>General Electric México</v>
      </c>
      <c r="H2421" s="1"/>
    </row>
    <row r="2422" spans="1:8" x14ac:dyDescent="0.35">
      <c r="A2422" s="21"/>
      <c r="B2422" t="s">
        <v>2693</v>
      </c>
      <c r="C2422" t="s">
        <v>6</v>
      </c>
      <c r="D2422" t="s">
        <v>3468</v>
      </c>
      <c r="F2422" s="1">
        <v>45932</v>
      </c>
      <c r="G2422" t="str">
        <f>IF(Table3[[#This Row],[Top Parent Account]]="",Table3[[#This Row],[Account Legal Name]],Table3[[#This Row],[Top Parent Account]])</f>
        <v>Distribucion Organica Campo Vivo</v>
      </c>
      <c r="H2422" s="1"/>
    </row>
    <row r="2423" spans="1:8" x14ac:dyDescent="0.35">
      <c r="A2423" s="21"/>
      <c r="B2423" t="s">
        <v>88</v>
      </c>
      <c r="C2423" t="s">
        <v>6</v>
      </c>
      <c r="D2423" t="s">
        <v>3561</v>
      </c>
      <c r="F2423" s="1">
        <v>45932</v>
      </c>
      <c r="G2423" t="str">
        <f>IF(Table3[[#This Row],[Top Parent Account]]="",Table3[[#This Row],[Account Legal Name]],Table3[[#This Row],[Top Parent Account]])</f>
        <v>FUNHEDI</v>
      </c>
      <c r="H2423" s="1"/>
    </row>
    <row r="2424" spans="1:8" x14ac:dyDescent="0.35">
      <c r="A2424" s="21"/>
      <c r="B2424" t="s">
        <v>2912</v>
      </c>
      <c r="C2424" t="s">
        <v>6</v>
      </c>
      <c r="D2424" t="s">
        <v>3614</v>
      </c>
      <c r="F2424" s="1">
        <v>45932</v>
      </c>
      <c r="G2424" t="str">
        <f>IF(Table3[[#This Row],[Top Parent Account]]="",Table3[[#This Row],[Account Legal Name]],Table3[[#This Row],[Top Parent Account]])</f>
        <v>Zitum Desarrolladores</v>
      </c>
      <c r="H2424" s="1"/>
    </row>
    <row r="2425" spans="1:8" x14ac:dyDescent="0.35">
      <c r="A2425" s="21"/>
      <c r="B2425" t="s">
        <v>70</v>
      </c>
      <c r="C2425" t="s">
        <v>6</v>
      </c>
      <c r="D2425" t="s">
        <v>3562</v>
      </c>
      <c r="F2425" s="1">
        <v>45932</v>
      </c>
      <c r="G2425" t="str">
        <f>IF(Table3[[#This Row],[Top Parent Account]]="",Table3[[#This Row],[Account Legal Name]],Table3[[#This Row],[Top Parent Account]])</f>
        <v>Sociedad Española De Beneficencia Puebla</v>
      </c>
      <c r="H2425" s="1"/>
    </row>
    <row r="2426" spans="1:8" x14ac:dyDescent="0.35">
      <c r="A2426" s="21"/>
      <c r="B2426" t="s">
        <v>3093</v>
      </c>
      <c r="C2426" t="s">
        <v>6</v>
      </c>
      <c r="D2426" t="s">
        <v>399</v>
      </c>
      <c r="F2426" s="1">
        <v>45932</v>
      </c>
      <c r="G2426" t="str">
        <f>IF(Table3[[#This Row],[Top Parent Account]]="",Table3[[#This Row],[Account Legal Name]],Table3[[#This Row],[Top Parent Account]])</f>
        <v>Grupo Corporativo Papelera</v>
      </c>
      <c r="H2426" s="1"/>
    </row>
    <row r="2427" spans="1:8" x14ac:dyDescent="0.35">
      <c r="A2427" s="21"/>
      <c r="B2427" t="s">
        <v>25</v>
      </c>
      <c r="C2427" t="s">
        <v>6</v>
      </c>
      <c r="D2427" t="s">
        <v>3563</v>
      </c>
      <c r="F2427" s="1">
        <v>45932</v>
      </c>
      <c r="G2427" t="str">
        <f>IF(Table3[[#This Row],[Top Parent Account]]="",Table3[[#This Row],[Account Legal Name]],Table3[[#This Row],[Top Parent Account]])</f>
        <v>Grupo Logística Fros</v>
      </c>
      <c r="H2427" s="1"/>
    </row>
    <row r="2428" spans="1:8" x14ac:dyDescent="0.35">
      <c r="A2428" s="21"/>
      <c r="B2428" t="s">
        <v>932</v>
      </c>
      <c r="C2428" t="s">
        <v>3687</v>
      </c>
      <c r="D2428" t="s">
        <v>3080</v>
      </c>
      <c r="F2428" s="1">
        <v>45932</v>
      </c>
      <c r="G2428" t="str">
        <f>IF(Table3[[#This Row],[Top Parent Account]]="",Table3[[#This Row],[Account Legal Name]],Table3[[#This Row],[Top Parent Account]])</f>
        <v>M Chem</v>
      </c>
      <c r="H2428" s="1"/>
    </row>
    <row r="2429" spans="1:8" x14ac:dyDescent="0.35">
      <c r="A2429" s="21"/>
      <c r="B2429" t="s">
        <v>29</v>
      </c>
      <c r="C2429" t="s">
        <v>6</v>
      </c>
      <c r="D2429" t="s">
        <v>3626</v>
      </c>
      <c r="F2429" s="1">
        <v>45932</v>
      </c>
      <c r="G2429" t="str">
        <f>IF(Table3[[#This Row],[Top Parent Account]]="",Table3[[#This Row],[Account Legal Name]],Table3[[#This Row],[Top Parent Account]])</f>
        <v>Flexitek de México</v>
      </c>
      <c r="H2429" s="1"/>
    </row>
    <row r="2430" spans="1:8" x14ac:dyDescent="0.35">
      <c r="A2430" s="21"/>
      <c r="B2430" t="s">
        <v>51</v>
      </c>
      <c r="C2430" t="s">
        <v>6</v>
      </c>
      <c r="D2430" t="s">
        <v>3615</v>
      </c>
      <c r="F2430" s="1">
        <v>45932</v>
      </c>
      <c r="G2430" t="str">
        <f>IF(Table3[[#This Row],[Top Parent Account]]="",Table3[[#This Row],[Account Legal Name]],Table3[[#This Row],[Top Parent Account]])</f>
        <v>Soluciones En Tecnología De Proceso</v>
      </c>
      <c r="H2430" s="1"/>
    </row>
    <row r="2431" spans="1:8" x14ac:dyDescent="0.35">
      <c r="A2431" s="21"/>
      <c r="B2431" t="s">
        <v>88</v>
      </c>
      <c r="C2431" t="s">
        <v>6</v>
      </c>
      <c r="D2431" t="s">
        <v>3564</v>
      </c>
      <c r="F2431" s="1">
        <v>45932</v>
      </c>
      <c r="G2431" t="str">
        <f>IF(Table3[[#This Row],[Top Parent Account]]="",Table3[[#This Row],[Account Legal Name]],Table3[[#This Row],[Top Parent Account]])</f>
        <v>COMERCIALIZADORA FELMUS</v>
      </c>
      <c r="H2431" s="1"/>
    </row>
    <row r="2432" spans="1:8" x14ac:dyDescent="0.35">
      <c r="A2432" s="21"/>
      <c r="B2432" t="s">
        <v>70</v>
      </c>
      <c r="C2432" t="s">
        <v>6</v>
      </c>
      <c r="D2432" t="s">
        <v>447</v>
      </c>
      <c r="F2432" s="1">
        <v>45932</v>
      </c>
      <c r="G2432" t="str">
        <f>IF(Table3[[#This Row],[Top Parent Account]]="",Table3[[#This Row],[Account Legal Name]],Table3[[#This Row],[Top Parent Account]])</f>
        <v>Intermet</v>
      </c>
      <c r="H2432" s="1"/>
    </row>
    <row r="2433" spans="1:8" x14ac:dyDescent="0.35">
      <c r="A2433" s="21"/>
      <c r="B2433" t="s">
        <v>88</v>
      </c>
      <c r="C2433" t="s">
        <v>6</v>
      </c>
      <c r="D2433" t="s">
        <v>3565</v>
      </c>
      <c r="F2433" s="1">
        <v>45932</v>
      </c>
      <c r="G2433" t="str">
        <f>IF(Table3[[#This Row],[Top Parent Account]]="",Table3[[#This Row],[Account Legal Name]],Table3[[#This Row],[Top Parent Account]])</f>
        <v>NORTHWAVE ELECTRONICS TOOLS</v>
      </c>
      <c r="H2433" s="1"/>
    </row>
    <row r="2434" spans="1:8" x14ac:dyDescent="0.35">
      <c r="A2434" s="21"/>
      <c r="B2434" t="s">
        <v>10</v>
      </c>
      <c r="C2434" t="s">
        <v>6</v>
      </c>
      <c r="D2434" t="s">
        <v>450</v>
      </c>
      <c r="F2434" s="1">
        <v>45932</v>
      </c>
      <c r="G2434" t="str">
        <f>IF(Table3[[#This Row],[Top Parent Account]]="",Table3[[#This Row],[Account Legal Name]],Table3[[#This Row],[Top Parent Account]])</f>
        <v>Cloe Moda</v>
      </c>
      <c r="H2434" s="1"/>
    </row>
    <row r="2435" spans="1:8" x14ac:dyDescent="0.35">
      <c r="A2435" s="21"/>
      <c r="B2435" t="s">
        <v>207</v>
      </c>
      <c r="C2435" t="s">
        <v>6</v>
      </c>
      <c r="D2435" t="s">
        <v>3616</v>
      </c>
      <c r="F2435" s="1">
        <v>45932</v>
      </c>
      <c r="G2435" t="str">
        <f>IF(Table3[[#This Row],[Top Parent Account]]="",Table3[[#This Row],[Account Legal Name]],Table3[[#This Row],[Top Parent Account]])</f>
        <v>Impresos Litopolis</v>
      </c>
      <c r="H2435" s="1"/>
    </row>
    <row r="2436" spans="1:8" x14ac:dyDescent="0.35">
      <c r="A2436" s="21"/>
      <c r="B2436" t="s">
        <v>2345</v>
      </c>
      <c r="C2436" t="s">
        <v>6</v>
      </c>
      <c r="D2436" t="s">
        <v>878</v>
      </c>
      <c r="F2436" s="1">
        <v>45932</v>
      </c>
      <c r="G2436" t="str">
        <f>IF(Table3[[#This Row],[Top Parent Account]]="",Table3[[#This Row],[Account Legal Name]],Table3[[#This Row],[Top Parent Account]])</f>
        <v>Equipos de Biomedicina de México</v>
      </c>
      <c r="H2436" s="1"/>
    </row>
    <row r="2437" spans="1:8" x14ac:dyDescent="0.35">
      <c r="A2437" s="21"/>
      <c r="B2437" t="s">
        <v>2884</v>
      </c>
      <c r="C2437" t="s">
        <v>6</v>
      </c>
      <c r="D2437" t="s">
        <v>3558</v>
      </c>
      <c r="E2437" t="s">
        <v>3558</v>
      </c>
      <c r="F2437" s="1">
        <v>45932</v>
      </c>
      <c r="G2437" t="str">
        <f>IF(Table3[[#This Row],[Top Parent Account]]="",Table3[[#This Row],[Account Legal Name]],Table3[[#This Row],[Top Parent Account]])</f>
        <v>Pandener</v>
      </c>
      <c r="H2437" s="1"/>
    </row>
    <row r="2438" spans="1:8" x14ac:dyDescent="0.35">
      <c r="A2438" s="21"/>
      <c r="B2438" t="s">
        <v>88</v>
      </c>
      <c r="C2438" t="s">
        <v>6</v>
      </c>
      <c r="D2438" t="s">
        <v>862</v>
      </c>
      <c r="F2438" s="1">
        <v>45932</v>
      </c>
      <c r="G2438" t="str">
        <f>IF(Table3[[#This Row],[Top Parent Account]]="",Table3[[#This Row],[Account Legal Name]],Table3[[#This Row],[Top Parent Account]])</f>
        <v>Juan Pablo Ybarra Palafox</v>
      </c>
      <c r="H2438" s="1"/>
    </row>
    <row r="2439" spans="1:8" x14ac:dyDescent="0.35">
      <c r="A2439" s="21"/>
      <c r="B2439" t="s">
        <v>2693</v>
      </c>
      <c r="C2439" t="s">
        <v>6</v>
      </c>
      <c r="D2439" t="s">
        <v>3466</v>
      </c>
      <c r="F2439" s="1">
        <v>45932</v>
      </c>
      <c r="G2439" t="str">
        <f>IF(Table3[[#This Row],[Top Parent Account]]="",Table3[[#This Row],[Account Legal Name]],Table3[[#This Row],[Top Parent Account]])</f>
        <v>Ermo Industrial</v>
      </c>
      <c r="H2439" s="1"/>
    </row>
    <row r="2440" spans="1:8" x14ac:dyDescent="0.35">
      <c r="A2440" s="21"/>
      <c r="B2440" t="s">
        <v>3092</v>
      </c>
      <c r="C2440" t="s">
        <v>6</v>
      </c>
      <c r="D2440" t="s">
        <v>3566</v>
      </c>
      <c r="F2440" s="1">
        <v>45932</v>
      </c>
      <c r="G2440" t="str">
        <f>IF(Table3[[#This Row],[Top Parent Account]]="",Table3[[#This Row],[Account Legal Name]],Table3[[#This Row],[Top Parent Account]])</f>
        <v>Metaloplásticos Aural</v>
      </c>
      <c r="H2440" s="1"/>
    </row>
    <row r="2441" spans="1:8" x14ac:dyDescent="0.35">
      <c r="A2441" s="21"/>
      <c r="B2441" t="s">
        <v>26</v>
      </c>
      <c r="C2441" t="s">
        <v>6</v>
      </c>
      <c r="D2441" t="s">
        <v>3567</v>
      </c>
      <c r="F2441" s="1">
        <v>45932</v>
      </c>
      <c r="G2441" t="str">
        <f>IF(Table3[[#This Row],[Top Parent Account]]="",Table3[[#This Row],[Account Legal Name]],Table3[[#This Row],[Top Parent Account]])</f>
        <v>Dulcipan</v>
      </c>
      <c r="H2441" s="1"/>
    </row>
    <row r="2442" spans="1:8" x14ac:dyDescent="0.35">
      <c r="A2442" s="21"/>
      <c r="B2442" t="s">
        <v>932</v>
      </c>
      <c r="C2442" t="s">
        <v>1416</v>
      </c>
      <c r="D2442" t="s">
        <v>1171</v>
      </c>
      <c r="F2442" s="1">
        <v>45932</v>
      </c>
      <c r="G2442" t="str">
        <f>IF(Table3[[#This Row],[Top Parent Account]]="",Table3[[#This Row],[Account Legal Name]],Table3[[#This Row],[Top Parent Account]])</f>
        <v>Pakmail Centro Logístico</v>
      </c>
      <c r="H2442" s="1"/>
    </row>
    <row r="2443" spans="1:8" x14ac:dyDescent="0.35">
      <c r="A2443" s="21"/>
      <c r="B2443" t="s">
        <v>37</v>
      </c>
      <c r="C2443" t="s">
        <v>6</v>
      </c>
      <c r="D2443" t="s">
        <v>3627</v>
      </c>
      <c r="F2443" s="1">
        <v>45932</v>
      </c>
      <c r="G2443" t="str">
        <f>IF(Table3[[#This Row],[Top Parent Account]]="",Table3[[#This Row],[Account Legal Name]],Table3[[#This Row],[Top Parent Account]])</f>
        <v>Bao Ingenieria Y Servicios</v>
      </c>
      <c r="H2443" s="1"/>
    </row>
    <row r="2444" spans="1:8" x14ac:dyDescent="0.35">
      <c r="A2444" s="21"/>
      <c r="B2444" t="s">
        <v>169</v>
      </c>
      <c r="C2444" t="s">
        <v>6</v>
      </c>
      <c r="D2444" t="s">
        <v>2315</v>
      </c>
      <c r="F2444" s="1">
        <v>45932</v>
      </c>
      <c r="G2444" t="str">
        <f>IF(Table3[[#This Row],[Top Parent Account]]="",Table3[[#This Row],[Account Legal Name]],Table3[[#This Row],[Top Parent Account]])</f>
        <v>HANGCHA MEXICO</v>
      </c>
      <c r="H2444" s="1"/>
    </row>
    <row r="2445" spans="1:8" x14ac:dyDescent="0.35">
      <c r="A2445" s="21"/>
      <c r="B2445" t="s">
        <v>375</v>
      </c>
      <c r="C2445" t="s">
        <v>6</v>
      </c>
      <c r="D2445" t="s">
        <v>1198</v>
      </c>
      <c r="F2445" s="1">
        <v>45932</v>
      </c>
      <c r="G2445" t="str">
        <f>IF(Table3[[#This Row],[Top Parent Account]]="",Table3[[#This Row],[Account Legal Name]],Table3[[#This Row],[Top Parent Account]])</f>
        <v>Polimeros Nacionales</v>
      </c>
      <c r="H2445" s="1"/>
    </row>
    <row r="2446" spans="1:8" x14ac:dyDescent="0.35">
      <c r="A2446" s="21"/>
      <c r="B2446" t="s">
        <v>2912</v>
      </c>
      <c r="C2446" t="s">
        <v>6</v>
      </c>
      <c r="D2446" t="s">
        <v>3617</v>
      </c>
      <c r="F2446" s="1">
        <v>45932</v>
      </c>
      <c r="G2446" t="str">
        <f>IF(Table3[[#This Row],[Top Parent Account]]="",Table3[[#This Row],[Account Legal Name]],Table3[[#This Row],[Top Parent Account]])</f>
        <v>Mill Foods</v>
      </c>
      <c r="H2446" s="1"/>
    </row>
    <row r="2447" spans="1:8" x14ac:dyDescent="0.35">
      <c r="A2447" s="21"/>
      <c r="B2447" t="s">
        <v>3114</v>
      </c>
      <c r="C2447" t="s">
        <v>6</v>
      </c>
      <c r="D2447" t="s">
        <v>762</v>
      </c>
      <c r="F2447" s="1">
        <v>45932</v>
      </c>
      <c r="G2447" t="str">
        <f>IF(Table3[[#This Row],[Top Parent Account]]="",Table3[[#This Row],[Account Legal Name]],Table3[[#This Row],[Top Parent Account]])</f>
        <v>Regiomontana De Perfiles y Tubos</v>
      </c>
      <c r="H2447" s="1"/>
    </row>
    <row r="2448" spans="1:8" x14ac:dyDescent="0.35">
      <c r="A2448" s="21"/>
      <c r="B2448" t="s">
        <v>3114</v>
      </c>
      <c r="C2448" t="s">
        <v>52</v>
      </c>
      <c r="D2448" t="s">
        <v>3618</v>
      </c>
      <c r="F2448" s="1">
        <v>45932</v>
      </c>
      <c r="G2448" t="str">
        <f>IF(Table3[[#This Row],[Top Parent Account]]="",Table3[[#This Row],[Account Legal Name]],Table3[[#This Row],[Top Parent Account]])</f>
        <v>Food Solutions</v>
      </c>
      <c r="H2448" s="1"/>
    </row>
    <row r="2449" spans="1:8" x14ac:dyDescent="0.35">
      <c r="A2449" s="21"/>
      <c r="B2449" t="s">
        <v>1899</v>
      </c>
      <c r="C2449" t="s">
        <v>6</v>
      </c>
      <c r="D2449" t="s">
        <v>3619</v>
      </c>
      <c r="F2449" s="1">
        <v>45932</v>
      </c>
      <c r="G2449" t="str">
        <f>IF(Table3[[#This Row],[Top Parent Account]]="",Table3[[#This Row],[Account Legal Name]],Table3[[#This Row],[Top Parent Account]])</f>
        <v>Industrias Plásticas NYC</v>
      </c>
      <c r="H2449" s="1"/>
    </row>
    <row r="2450" spans="1:8" x14ac:dyDescent="0.35">
      <c r="A2450" s="21"/>
      <c r="B2450" t="s">
        <v>172</v>
      </c>
      <c r="C2450" t="s">
        <v>6</v>
      </c>
      <c r="D2450" t="s">
        <v>3560</v>
      </c>
      <c r="F2450" s="1">
        <v>45932</v>
      </c>
      <c r="G2450" t="str">
        <f>IF(Table3[[#This Row],[Top Parent Account]]="",Table3[[#This Row],[Account Legal Name]],Table3[[#This Row],[Top Parent Account]])</f>
        <v>CMT de la Laguna</v>
      </c>
      <c r="H2450" s="1"/>
    </row>
    <row r="2451" spans="1:8" x14ac:dyDescent="0.35">
      <c r="A2451" s="21"/>
      <c r="B2451" t="s">
        <v>14</v>
      </c>
      <c r="C2451" t="s">
        <v>6</v>
      </c>
      <c r="D2451" t="s">
        <v>3688</v>
      </c>
      <c r="F2451" s="1">
        <v>45932</v>
      </c>
      <c r="G2451" t="str">
        <f>IF(Table3[[#This Row],[Top Parent Account]]="",Table3[[#This Row],[Account Legal Name]],Table3[[#This Row],[Top Parent Account]])</f>
        <v>Industrias Vermar</v>
      </c>
      <c r="H2451" s="1"/>
    </row>
    <row r="2452" spans="1:8" x14ac:dyDescent="0.35">
      <c r="A2452" s="21"/>
      <c r="B2452" t="s">
        <v>38</v>
      </c>
      <c r="C2452" t="s">
        <v>6</v>
      </c>
      <c r="D2452" t="s">
        <v>1069</v>
      </c>
      <c r="F2452" s="1">
        <v>45932</v>
      </c>
      <c r="G2452" t="str">
        <f>IF(Table3[[#This Row],[Top Parent Account]]="",Table3[[#This Row],[Account Legal Name]],Table3[[#This Row],[Top Parent Account]])</f>
        <v>Tequilera Tap</v>
      </c>
      <c r="H2452" s="1"/>
    </row>
    <row r="2453" spans="1:8" x14ac:dyDescent="0.35">
      <c r="A2453" s="21"/>
      <c r="B2453" t="s">
        <v>3553</v>
      </c>
      <c r="C2453" t="s">
        <v>6</v>
      </c>
      <c r="D2453" t="s">
        <v>3568</v>
      </c>
      <c r="F2453" s="1">
        <v>45932</v>
      </c>
      <c r="G2453" t="str">
        <f>IF(Table3[[#This Row],[Top Parent Account]]="",Table3[[#This Row],[Account Legal Name]],Table3[[#This Row],[Top Parent Account]])</f>
        <v>Groke</v>
      </c>
      <c r="H2453" s="1"/>
    </row>
    <row r="2454" spans="1:8" x14ac:dyDescent="0.35">
      <c r="A2454" s="21"/>
      <c r="B2454" t="s">
        <v>29</v>
      </c>
      <c r="C2454" t="s">
        <v>3569</v>
      </c>
      <c r="D2454" t="s">
        <v>3570</v>
      </c>
      <c r="F2454" s="1">
        <v>45932</v>
      </c>
      <c r="G2454" t="str">
        <f>IF(Table3[[#This Row],[Top Parent Account]]="",Table3[[#This Row],[Account Legal Name]],Table3[[#This Row],[Top Parent Account]])</f>
        <v>Mills Products De Mexico</v>
      </c>
      <c r="H2454" s="1"/>
    </row>
    <row r="2455" spans="1:8" x14ac:dyDescent="0.35">
      <c r="A2455" s="21"/>
      <c r="B2455" t="s">
        <v>2884</v>
      </c>
      <c r="C2455" t="s">
        <v>6</v>
      </c>
      <c r="D2455" t="s">
        <v>3571</v>
      </c>
      <c r="E2455" t="s">
        <v>3572</v>
      </c>
      <c r="F2455" s="1">
        <v>45932</v>
      </c>
      <c r="G2455" t="str">
        <f>IF(Table3[[#This Row],[Top Parent Account]]="",Table3[[#This Row],[Account Legal Name]],Table3[[#This Row],[Top Parent Account]])</f>
        <v>Gutsa (Epccor)</v>
      </c>
      <c r="H2455" s="1"/>
    </row>
    <row r="2456" spans="1:8" x14ac:dyDescent="0.35">
      <c r="A2456" s="21"/>
      <c r="B2456" t="s">
        <v>84</v>
      </c>
      <c r="C2456" t="s">
        <v>3573</v>
      </c>
      <c r="D2456" t="s">
        <v>3574</v>
      </c>
      <c r="E2456" t="s">
        <v>1060</v>
      </c>
      <c r="F2456" s="1">
        <v>45932</v>
      </c>
      <c r="G2456" t="str">
        <f>IF(Table3[[#This Row],[Top Parent Account]]="",Table3[[#This Row],[Account Legal Name]],Table3[[#This Row],[Top Parent Account]])</f>
        <v>Cremería Del Yaqui</v>
      </c>
      <c r="H2456" s="1"/>
    </row>
    <row r="2457" spans="1:8" x14ac:dyDescent="0.35">
      <c r="A2457" s="21"/>
      <c r="B2457" t="s">
        <v>10</v>
      </c>
      <c r="C2457" t="s">
        <v>6</v>
      </c>
      <c r="D2457" t="s">
        <v>912</v>
      </c>
      <c r="E2457" t="s">
        <v>3554</v>
      </c>
      <c r="F2457" s="1">
        <v>45932</v>
      </c>
      <c r="G2457" t="str">
        <f>IF(Table3[[#This Row],[Top Parent Account]]="",Table3[[#This Row],[Account Legal Name]],Table3[[#This Row],[Top Parent Account]])</f>
        <v>Sesajal</v>
      </c>
      <c r="H2457" s="1"/>
    </row>
    <row r="2458" spans="1:8" x14ac:dyDescent="0.35">
      <c r="A2458" s="21"/>
      <c r="B2458" t="s">
        <v>10</v>
      </c>
      <c r="C2458" t="s">
        <v>6</v>
      </c>
      <c r="D2458" t="s">
        <v>481</v>
      </c>
      <c r="F2458" s="1">
        <v>45932</v>
      </c>
      <c r="G2458" t="str">
        <f>IF(Table3[[#This Row],[Top Parent Account]]="",Table3[[#This Row],[Account Legal Name]],Table3[[#This Row],[Top Parent Account]])</f>
        <v>Laboratorios Virbac México</v>
      </c>
      <c r="H2458" s="1"/>
    </row>
    <row r="2459" spans="1:8" x14ac:dyDescent="0.35">
      <c r="A2459" s="21"/>
      <c r="B2459" t="s">
        <v>2912</v>
      </c>
      <c r="C2459" t="s">
        <v>6</v>
      </c>
      <c r="D2459" t="s">
        <v>3505</v>
      </c>
      <c r="F2459" s="1">
        <v>45932</v>
      </c>
      <c r="G2459" t="str">
        <f>IF(Table3[[#This Row],[Top Parent Account]]="",Table3[[#This Row],[Account Legal Name]],Table3[[#This Row],[Top Parent Account]])</f>
        <v>Kua Mex Foods</v>
      </c>
      <c r="H2459" s="1"/>
    </row>
    <row r="2460" spans="1:8" x14ac:dyDescent="0.35">
      <c r="A2460" s="21"/>
      <c r="B2460" t="s">
        <v>207</v>
      </c>
      <c r="C2460" t="s">
        <v>6</v>
      </c>
      <c r="D2460" t="s">
        <v>3073</v>
      </c>
      <c r="F2460" s="1">
        <v>45932</v>
      </c>
      <c r="G2460" t="str">
        <f>IF(Table3[[#This Row],[Top Parent Account]]="",Table3[[#This Row],[Account Legal Name]],Table3[[#This Row],[Top Parent Account]])</f>
        <v>Manaf Commerce</v>
      </c>
      <c r="H2460" s="1"/>
    </row>
    <row r="2461" spans="1:8" x14ac:dyDescent="0.35">
      <c r="A2461" s="21"/>
      <c r="B2461" t="s">
        <v>10</v>
      </c>
      <c r="C2461" t="s">
        <v>6</v>
      </c>
      <c r="D2461" t="s">
        <v>455</v>
      </c>
      <c r="F2461" s="1">
        <v>45932</v>
      </c>
      <c r="G2461" t="str">
        <f>IF(Table3[[#This Row],[Top Parent Account]]="",Table3[[#This Row],[Account Legal Name]],Table3[[#This Row],[Top Parent Account]])</f>
        <v>Convertidora Gmv</v>
      </c>
      <c r="H2461" s="1"/>
    </row>
    <row r="2462" spans="1:8" x14ac:dyDescent="0.35">
      <c r="A2462" s="21"/>
      <c r="B2462" t="s">
        <v>32</v>
      </c>
      <c r="C2462" t="s">
        <v>6</v>
      </c>
      <c r="D2462" t="s">
        <v>753</v>
      </c>
      <c r="F2462" s="1">
        <v>45932</v>
      </c>
      <c r="G2462" t="str">
        <f>IF(Table3[[#This Row],[Top Parent Account]]="",Table3[[#This Row],[Account Legal Name]],Table3[[#This Row],[Top Parent Account]])</f>
        <v>Gomsa Logistica Internacional</v>
      </c>
      <c r="H2462" s="1"/>
    </row>
    <row r="2463" spans="1:8" x14ac:dyDescent="0.35">
      <c r="A2463" s="21"/>
      <c r="B2463" t="s">
        <v>32</v>
      </c>
      <c r="C2463" t="s">
        <v>6</v>
      </c>
      <c r="D2463" t="s">
        <v>903</v>
      </c>
      <c r="F2463" s="1">
        <v>45932</v>
      </c>
      <c r="G2463" t="str">
        <f>IF(Table3[[#This Row],[Top Parent Account]]="",Table3[[#This Row],[Account Legal Name]],Table3[[#This Row],[Top Parent Account]])</f>
        <v>Union Veracruzana</v>
      </c>
      <c r="H2463" s="1"/>
    </row>
    <row r="2464" spans="1:8" x14ac:dyDescent="0.35">
      <c r="A2464" s="21"/>
      <c r="B2464" t="s">
        <v>32</v>
      </c>
      <c r="C2464" t="s">
        <v>6</v>
      </c>
      <c r="D2464" t="s">
        <v>492</v>
      </c>
      <c r="F2464" s="1">
        <v>45932</v>
      </c>
      <c r="G2464" t="str">
        <f>IF(Table3[[#This Row],[Top Parent Account]]="",Table3[[#This Row],[Account Legal Name]],Table3[[#This Row],[Top Parent Account]])</f>
        <v>Rancho Santa Rita</v>
      </c>
      <c r="H2464" s="1"/>
    </row>
    <row r="2465" spans="1:8" x14ac:dyDescent="0.35">
      <c r="A2465" s="21"/>
      <c r="B2465" t="s">
        <v>18</v>
      </c>
      <c r="C2465" t="s">
        <v>6</v>
      </c>
      <c r="D2465" t="s">
        <v>3575</v>
      </c>
      <c r="F2465" s="1">
        <v>45931</v>
      </c>
      <c r="G2465" t="str">
        <f>IF(Table3[[#This Row],[Top Parent Account]]="",Table3[[#This Row],[Account Legal Name]],Table3[[#This Row],[Top Parent Account]])</f>
        <v>INSUMOS ELECTRICOS DEL NORTE</v>
      </c>
      <c r="H2465" s="1"/>
    </row>
    <row r="2466" spans="1:8" x14ac:dyDescent="0.35">
      <c r="A2466" s="21"/>
      <c r="B2466" t="s">
        <v>116</v>
      </c>
      <c r="C2466" t="s">
        <v>6</v>
      </c>
      <c r="D2466" t="s">
        <v>3576</v>
      </c>
      <c r="F2466" s="1">
        <v>45931</v>
      </c>
      <c r="G2466" t="str">
        <f>IF(Table3[[#This Row],[Top Parent Account]]="",Table3[[#This Row],[Account Legal Name]],Table3[[#This Row],[Top Parent Account]])</f>
        <v>Productos Uvaviña</v>
      </c>
      <c r="H2466" s="1"/>
    </row>
    <row r="2467" spans="1:8" x14ac:dyDescent="0.35">
      <c r="A2467" s="21"/>
      <c r="B2467" t="s">
        <v>28</v>
      </c>
      <c r="C2467" t="s">
        <v>6</v>
      </c>
      <c r="D2467" t="s">
        <v>1168</v>
      </c>
      <c r="F2467" s="1">
        <v>45931</v>
      </c>
      <c r="G2467" t="str">
        <f>IF(Table3[[#This Row],[Top Parent Account]]="",Table3[[#This Row],[Account Legal Name]],Table3[[#This Row],[Top Parent Account]])</f>
        <v>Transportes México Laguna</v>
      </c>
      <c r="H2467" s="1"/>
    </row>
    <row r="2468" spans="1:8" x14ac:dyDescent="0.35">
      <c r="A2468" s="21"/>
      <c r="B2468" t="s">
        <v>3114</v>
      </c>
      <c r="C2468" t="s">
        <v>6</v>
      </c>
      <c r="D2468" t="s">
        <v>3579</v>
      </c>
      <c r="F2468" s="1">
        <v>45931</v>
      </c>
      <c r="G2468" t="str">
        <f>IF(Table3[[#This Row],[Top Parent Account]]="",Table3[[#This Row],[Account Legal Name]],Table3[[#This Row],[Top Parent Account]])</f>
        <v>Lechería Escobar</v>
      </c>
      <c r="H2468" s="1"/>
    </row>
    <row r="2469" spans="1:8" x14ac:dyDescent="0.35">
      <c r="A2469" s="21"/>
      <c r="B2469" t="s">
        <v>2693</v>
      </c>
      <c r="C2469" t="s">
        <v>6</v>
      </c>
      <c r="D2469" t="s">
        <v>3580</v>
      </c>
      <c r="F2469" s="1">
        <v>45931</v>
      </c>
      <c r="G2469" t="str">
        <f>IF(Table3[[#This Row],[Top Parent Account]]="",Table3[[#This Row],[Account Legal Name]],Table3[[#This Row],[Top Parent Account]])</f>
        <v>Distribuidora De Autoindustrias</v>
      </c>
      <c r="H2469" s="1"/>
    </row>
    <row r="2470" spans="1:8" x14ac:dyDescent="0.35">
      <c r="A2470" s="21"/>
      <c r="B2470" t="s">
        <v>3093</v>
      </c>
      <c r="C2470" t="s">
        <v>6</v>
      </c>
      <c r="D2470" t="s">
        <v>98</v>
      </c>
      <c r="F2470" s="1">
        <v>45931</v>
      </c>
      <c r="G2470" t="str">
        <f>IF(Table3[[#This Row],[Top Parent Account]]="",Table3[[#This Row],[Account Legal Name]],Table3[[#This Row],[Top Parent Account]])</f>
        <v>Grupo Papelero Gabor</v>
      </c>
      <c r="H2470" s="1"/>
    </row>
    <row r="2471" spans="1:8" x14ac:dyDescent="0.35">
      <c r="A2471" s="21"/>
      <c r="B2471" t="s">
        <v>10</v>
      </c>
      <c r="C2471" t="s">
        <v>6</v>
      </c>
      <c r="D2471" t="s">
        <v>3577</v>
      </c>
      <c r="F2471" s="1">
        <v>45931</v>
      </c>
      <c r="G2471" t="str">
        <f>IF(Table3[[#This Row],[Top Parent Account]]="",Table3[[#This Row],[Account Legal Name]],Table3[[#This Row],[Top Parent Account]])</f>
        <v>Distribuidora de Sosa y Ácidos</v>
      </c>
      <c r="H2471" s="1"/>
    </row>
    <row r="2472" spans="1:8" x14ac:dyDescent="0.35">
      <c r="A2472" s="21"/>
      <c r="B2472" t="s">
        <v>56</v>
      </c>
      <c r="C2472" t="s">
        <v>6</v>
      </c>
      <c r="D2472" t="s">
        <v>3578</v>
      </c>
      <c r="F2472" s="1">
        <v>45931</v>
      </c>
      <c r="G2472" t="str">
        <f>IF(Table3[[#This Row],[Top Parent Account]]="",Table3[[#This Row],[Account Legal Name]],Table3[[#This Row],[Top Parent Account]])</f>
        <v>Infoselective</v>
      </c>
      <c r="H2472" s="1"/>
    </row>
    <row r="2473" spans="1:8" x14ac:dyDescent="0.35">
      <c r="A2473" s="21"/>
      <c r="B2473" t="s">
        <v>88</v>
      </c>
      <c r="C2473" t="s">
        <v>6</v>
      </c>
      <c r="D2473" t="s">
        <v>3581</v>
      </c>
      <c r="F2473" s="1">
        <v>45931</v>
      </c>
      <c r="G2473" t="str">
        <f>IF(Table3[[#This Row],[Top Parent Account]]="",Table3[[#This Row],[Account Legal Name]],Table3[[#This Row],[Top Parent Account]])</f>
        <v>MARIA ELENA CHONG AMAYA</v>
      </c>
      <c r="H2473" s="1"/>
    </row>
    <row r="2474" spans="1:8" x14ac:dyDescent="0.35">
      <c r="A2474" s="21"/>
      <c r="B2474" t="s">
        <v>88</v>
      </c>
      <c r="C2474" t="s">
        <v>6</v>
      </c>
      <c r="D2474" t="s">
        <v>3582</v>
      </c>
      <c r="F2474" s="1">
        <v>45931</v>
      </c>
      <c r="G2474" t="str">
        <f>IF(Table3[[#This Row],[Top Parent Account]]="",Table3[[#This Row],[Account Legal Name]],Table3[[#This Row],[Top Parent Account]])</f>
        <v>AGRICOLA OJOS DE CIELO</v>
      </c>
      <c r="H2474" s="1"/>
    </row>
    <row r="2475" spans="1:8" x14ac:dyDescent="0.35">
      <c r="A2475" s="21"/>
      <c r="B2475" t="s">
        <v>70</v>
      </c>
      <c r="C2475" t="s">
        <v>6</v>
      </c>
      <c r="D2475" t="s">
        <v>874</v>
      </c>
      <c r="F2475" s="1">
        <v>45931</v>
      </c>
      <c r="G2475" t="str">
        <f>IF(Table3[[#This Row],[Top Parent Account]]="",Table3[[#This Row],[Account Legal Name]],Table3[[#This Row],[Top Parent Account]])</f>
        <v>Medtronic México</v>
      </c>
      <c r="H2475" s="1"/>
    </row>
    <row r="2476" spans="1:8" x14ac:dyDescent="0.35">
      <c r="A2476" s="21"/>
      <c r="B2476" t="s">
        <v>14</v>
      </c>
      <c r="C2476" t="s">
        <v>6</v>
      </c>
      <c r="D2476" t="s">
        <v>3359</v>
      </c>
      <c r="F2476" s="1">
        <v>45931</v>
      </c>
      <c r="G2476" t="str">
        <f>IF(Table3[[#This Row],[Top Parent Account]]="",Table3[[#This Row],[Account Legal Name]],Table3[[#This Row],[Top Parent Account]])</f>
        <v>Dasavena Gourmet</v>
      </c>
      <c r="H2476" s="1"/>
    </row>
    <row r="2477" spans="1:8" x14ac:dyDescent="0.35">
      <c r="A2477" s="21"/>
      <c r="B2477" t="s">
        <v>18</v>
      </c>
      <c r="C2477" t="s">
        <v>6</v>
      </c>
      <c r="D2477" t="s">
        <v>3620</v>
      </c>
      <c r="F2477" s="1">
        <v>45931</v>
      </c>
      <c r="G2477" t="str">
        <f>IF(Table3[[#This Row],[Top Parent Account]]="",Table3[[#This Row],[Account Legal Name]],Table3[[#This Row],[Top Parent Account]])</f>
        <v>Triturados Industriales Monterrey</v>
      </c>
      <c r="H2477" s="1"/>
    </row>
    <row r="2478" spans="1:8" x14ac:dyDescent="0.35">
      <c r="A2478" s="21"/>
      <c r="B2478" t="s">
        <v>169</v>
      </c>
      <c r="C2478" t="s">
        <v>6</v>
      </c>
      <c r="D2478" t="s">
        <v>3583</v>
      </c>
      <c r="F2478" s="1">
        <v>45931</v>
      </c>
      <c r="G2478" t="str">
        <f>IF(Table3[[#This Row],[Top Parent Account]]="",Table3[[#This Row],[Account Legal Name]],Table3[[#This Row],[Top Parent Account]])</f>
        <v>Balmoro</v>
      </c>
      <c r="H2478" s="1"/>
    </row>
    <row r="2479" spans="1:8" x14ac:dyDescent="0.35">
      <c r="A2479" s="21"/>
      <c r="B2479" t="s">
        <v>280</v>
      </c>
      <c r="C2479" t="s">
        <v>6</v>
      </c>
      <c r="D2479" t="s">
        <v>895</v>
      </c>
      <c r="F2479" s="1">
        <v>45931</v>
      </c>
      <c r="G2479" t="str">
        <f>IF(Table3[[#This Row],[Top Parent Account]]="",Table3[[#This Row],[Account Legal Name]],Table3[[#This Row],[Top Parent Account]])</f>
        <v>PRINCER</v>
      </c>
      <c r="H2479" s="1"/>
    </row>
    <row r="2480" spans="1:8" x14ac:dyDescent="0.35">
      <c r="A2480" s="21"/>
      <c r="B2480" t="s">
        <v>3114</v>
      </c>
      <c r="C2480" t="s">
        <v>52</v>
      </c>
      <c r="D2480" t="s">
        <v>3585</v>
      </c>
      <c r="F2480" s="1">
        <v>45931</v>
      </c>
      <c r="G2480" t="str">
        <f>IF(Table3[[#This Row],[Top Parent Account]]="",Table3[[#This Row],[Account Legal Name]],Table3[[#This Row],[Top Parent Account]])</f>
        <v>PETERS IRRIGATION</v>
      </c>
      <c r="H2480" s="1"/>
    </row>
    <row r="2481" spans="1:8" x14ac:dyDescent="0.35">
      <c r="A2481" s="21"/>
      <c r="B2481" t="s">
        <v>88</v>
      </c>
      <c r="C2481" t="s">
        <v>6</v>
      </c>
      <c r="D2481" t="s">
        <v>3584</v>
      </c>
      <c r="F2481" s="1">
        <v>45931</v>
      </c>
      <c r="G2481" t="str">
        <f>IF(Table3[[#This Row],[Top Parent Account]]="",Table3[[#This Row],[Account Legal Name]],Table3[[#This Row],[Top Parent Account]])</f>
        <v>INMOBILIARIA Y DESARROLLADORA FIRR</v>
      </c>
      <c r="H2481" s="1"/>
    </row>
    <row r="2482" spans="1:8" x14ac:dyDescent="0.35">
      <c r="A2482" s="21"/>
      <c r="B2482" t="s">
        <v>3093</v>
      </c>
      <c r="C2482" t="s">
        <v>6</v>
      </c>
      <c r="D2482" t="s">
        <v>3551</v>
      </c>
      <c r="E2482" t="s">
        <v>3552</v>
      </c>
      <c r="F2482" s="1">
        <v>45931</v>
      </c>
      <c r="G2482" t="str">
        <f>IF(Table3[[#This Row],[Top Parent Account]]="",Table3[[#This Row],[Account Legal Name]],Table3[[#This Row],[Top Parent Account]])</f>
        <v>Grupo Idesa</v>
      </c>
      <c r="H2482" s="1"/>
    </row>
    <row r="2483" spans="1:8" x14ac:dyDescent="0.35">
      <c r="A2483" s="21"/>
      <c r="B2483" t="s">
        <v>70</v>
      </c>
      <c r="C2483" t="s">
        <v>22</v>
      </c>
      <c r="D2483" t="s">
        <v>4580</v>
      </c>
      <c r="F2483" s="1">
        <v>45931</v>
      </c>
      <c r="G2483" t="str">
        <f>IF(Table3[[#This Row],[Top Parent Account]]="",Table3[[#This Row],[Account Legal Name]],Table3[[#This Row],[Top Parent Account]])</f>
        <v>Impromed</v>
      </c>
      <c r="H2483" s="1"/>
    </row>
    <row r="2484" spans="1:8" x14ac:dyDescent="0.35">
      <c r="A2484" s="21"/>
      <c r="B2484" t="s">
        <v>375</v>
      </c>
      <c r="C2484" t="s">
        <v>6</v>
      </c>
      <c r="D2484" t="s">
        <v>3588</v>
      </c>
      <c r="F2484" s="1">
        <v>45931</v>
      </c>
      <c r="G2484" t="str">
        <f>IF(Table3[[#This Row],[Top Parent Account]]="",Table3[[#This Row],[Account Legal Name]],Table3[[#This Row],[Top Parent Account]])</f>
        <v>Industrias Plasticas Internacionales</v>
      </c>
      <c r="H2484" s="1"/>
    </row>
    <row r="2485" spans="1:8" x14ac:dyDescent="0.35">
      <c r="A2485" s="21"/>
      <c r="B2485" t="s">
        <v>207</v>
      </c>
      <c r="C2485" t="s">
        <v>6</v>
      </c>
      <c r="D2485" t="s">
        <v>644</v>
      </c>
      <c r="F2485" s="1">
        <v>45931</v>
      </c>
      <c r="G2485" t="str">
        <f>IF(Table3[[#This Row],[Top Parent Account]]="",Table3[[#This Row],[Account Legal Name]],Table3[[#This Row],[Top Parent Account]])</f>
        <v>Astrollantas</v>
      </c>
      <c r="H2485" s="1"/>
    </row>
    <row r="2486" spans="1:8" x14ac:dyDescent="0.35">
      <c r="A2486" s="21"/>
      <c r="B2486" t="s">
        <v>88</v>
      </c>
      <c r="C2486" t="s">
        <v>6</v>
      </c>
      <c r="D2486" t="s">
        <v>3586</v>
      </c>
      <c r="F2486" s="1">
        <v>45931</v>
      </c>
      <c r="G2486" t="str">
        <f>IF(Table3[[#This Row],[Top Parent Account]]="",Table3[[#This Row],[Account Legal Name]],Table3[[#This Row],[Top Parent Account]])</f>
        <v>Reyco Renovables</v>
      </c>
      <c r="H2486" s="1"/>
    </row>
    <row r="2487" spans="1:8" x14ac:dyDescent="0.35">
      <c r="A2487" s="21"/>
      <c r="B2487" t="s">
        <v>1511</v>
      </c>
      <c r="C2487" t="s">
        <v>6</v>
      </c>
      <c r="D2487" t="s">
        <v>3173</v>
      </c>
      <c r="F2487" s="1">
        <v>45931</v>
      </c>
      <c r="G2487" t="str">
        <f>IF(Table3[[#This Row],[Top Parent Account]]="",Table3[[#This Row],[Account Legal Name]],Table3[[#This Row],[Top Parent Account]])</f>
        <v>Toreo Motors</v>
      </c>
      <c r="H2487" s="1"/>
    </row>
    <row r="2488" spans="1:8" x14ac:dyDescent="0.35">
      <c r="A2488" s="21"/>
      <c r="B2488" t="s">
        <v>32</v>
      </c>
      <c r="C2488" t="s">
        <v>6</v>
      </c>
      <c r="D2488" t="s">
        <v>3587</v>
      </c>
      <c r="F2488" s="1">
        <v>45931</v>
      </c>
      <c r="G2488" t="str">
        <f>IF(Table3[[#This Row],[Top Parent Account]]="",Table3[[#This Row],[Account Legal Name]],Table3[[#This Row],[Top Parent Account]])</f>
        <v>Cafes Tomari</v>
      </c>
      <c r="H2488" s="1"/>
    </row>
    <row r="2489" spans="1:8" x14ac:dyDescent="0.35">
      <c r="A2489" s="21"/>
      <c r="B2489" t="s">
        <v>121</v>
      </c>
      <c r="C2489" t="s">
        <v>6</v>
      </c>
      <c r="D2489" t="s">
        <v>3605</v>
      </c>
      <c r="F2489" s="1">
        <v>45931</v>
      </c>
      <c r="G2489" t="str">
        <f>IF(Table3[[#This Row],[Top Parent Account]]="",Table3[[#This Row],[Account Legal Name]],Table3[[#This Row],[Top Parent Account]])</f>
        <v>HAPPY GREENHOUSE</v>
      </c>
      <c r="H2489" s="1"/>
    </row>
    <row r="2490" spans="1:8" x14ac:dyDescent="0.35">
      <c r="A2490" s="21"/>
      <c r="B2490" t="s">
        <v>10</v>
      </c>
      <c r="C2490" t="s">
        <v>6</v>
      </c>
      <c r="D2490" t="s">
        <v>666</v>
      </c>
      <c r="F2490" s="1">
        <v>45931</v>
      </c>
      <c r="G2490" t="str">
        <f>IF(Table3[[#This Row],[Top Parent Account]]="",Table3[[#This Row],[Account Legal Name]],Table3[[#This Row],[Top Parent Account]])</f>
        <v>Hospital San Javier</v>
      </c>
      <c r="H2490" s="1"/>
    </row>
    <row r="2491" spans="1:8" x14ac:dyDescent="0.35">
      <c r="A2491" s="21"/>
      <c r="B2491" t="s">
        <v>2693</v>
      </c>
      <c r="C2491" t="s">
        <v>6</v>
      </c>
      <c r="D2491" t="s">
        <v>3589</v>
      </c>
      <c r="E2491" t="s">
        <v>341</v>
      </c>
      <c r="F2491" s="1">
        <v>45931</v>
      </c>
      <c r="G2491" t="str">
        <f>IF(Table3[[#This Row],[Top Parent Account]]="",Table3[[#This Row],[Account Legal Name]],Table3[[#This Row],[Top Parent Account]])</f>
        <v>Logistica Interncional De Mercancias</v>
      </c>
      <c r="H2491" s="1"/>
    </row>
    <row r="2492" spans="1:8" x14ac:dyDescent="0.35">
      <c r="A2492" s="21"/>
      <c r="B2492" t="s">
        <v>3182</v>
      </c>
      <c r="C2492" t="s">
        <v>3621</v>
      </c>
      <c r="D2492" t="s">
        <v>919</v>
      </c>
      <c r="F2492" s="1">
        <v>45931</v>
      </c>
      <c r="G2492" t="str">
        <f>IF(Table3[[#This Row],[Top Parent Account]]="",Table3[[#This Row],[Account Legal Name]],Table3[[#This Row],[Top Parent Account]])</f>
        <v>Caabsa</v>
      </c>
      <c r="H2492" s="1"/>
    </row>
    <row r="2493" spans="1:8" x14ac:dyDescent="0.35">
      <c r="A2493" s="21"/>
      <c r="B2493" t="s">
        <v>3095</v>
      </c>
      <c r="C2493" t="s">
        <v>6</v>
      </c>
      <c r="D2493" t="s">
        <v>3590</v>
      </c>
      <c r="F2493" s="1">
        <v>45931</v>
      </c>
      <c r="G2493" t="str">
        <f>IF(Table3[[#This Row],[Top Parent Account]]="",Table3[[#This Row],[Account Legal Name]],Table3[[#This Row],[Top Parent Account]])</f>
        <v>Frescar</v>
      </c>
      <c r="H2493" s="1"/>
    </row>
    <row r="2494" spans="1:8" x14ac:dyDescent="0.35">
      <c r="A2494" s="21"/>
      <c r="B2494" t="s">
        <v>3114</v>
      </c>
      <c r="C2494" t="s">
        <v>52</v>
      </c>
      <c r="D2494" t="s">
        <v>3591</v>
      </c>
      <c r="F2494" s="1">
        <v>45931</v>
      </c>
      <c r="G2494" t="str">
        <f>IF(Table3[[#This Row],[Top Parent Account]]="",Table3[[#This Row],[Account Legal Name]],Table3[[#This Row],[Top Parent Account]])</f>
        <v>Manzanas la Instancia</v>
      </c>
      <c r="H2494" s="1"/>
    </row>
    <row r="2495" spans="1:8" x14ac:dyDescent="0.35">
      <c r="A2495" s="21"/>
      <c r="B2495" t="s">
        <v>77</v>
      </c>
      <c r="C2495" t="s">
        <v>6</v>
      </c>
      <c r="D2495" t="s">
        <v>3622</v>
      </c>
      <c r="F2495" s="1">
        <v>45931</v>
      </c>
      <c r="G2495" t="str">
        <f>IF(Table3[[#This Row],[Top Parent Account]]="",Table3[[#This Row],[Account Legal Name]],Table3[[#This Row],[Top Parent Account]])</f>
        <v>Carniceria Ocotal</v>
      </c>
      <c r="H2495" s="1"/>
    </row>
    <row r="2496" spans="1:8" x14ac:dyDescent="0.35">
      <c r="A2496" s="21"/>
      <c r="B2496" t="s">
        <v>56</v>
      </c>
      <c r="C2496" t="s">
        <v>6</v>
      </c>
      <c r="D2496" t="s">
        <v>452</v>
      </c>
      <c r="F2496" s="1">
        <v>45931</v>
      </c>
      <c r="G2496" t="str">
        <f>IF(Table3[[#This Row],[Top Parent Account]]="",Table3[[#This Row],[Account Legal Name]],Table3[[#This Row],[Top Parent Account]])</f>
        <v>Tiendas Tres B</v>
      </c>
      <c r="H2496" s="1"/>
    </row>
    <row r="2497" spans="1:8" x14ac:dyDescent="0.35">
      <c r="A2497" s="21"/>
      <c r="B2497" t="s">
        <v>14</v>
      </c>
      <c r="C2497" t="s">
        <v>6</v>
      </c>
      <c r="D2497" t="s">
        <v>1458</v>
      </c>
      <c r="F2497" s="1">
        <v>45931</v>
      </c>
      <c r="G2497" t="str">
        <f>IF(Table3[[#This Row],[Top Parent Account]]="",Table3[[#This Row],[Account Legal Name]],Table3[[#This Row],[Top Parent Account]])</f>
        <v>Mova Printing Solutions</v>
      </c>
      <c r="H2497" s="1"/>
    </row>
    <row r="2498" spans="1:8" x14ac:dyDescent="0.35">
      <c r="A2498" s="21"/>
      <c r="B2498" t="s">
        <v>39</v>
      </c>
      <c r="C2498" t="s">
        <v>57</v>
      </c>
      <c r="D2498" t="s">
        <v>3592</v>
      </c>
      <c r="F2498" s="1">
        <v>45931</v>
      </c>
      <c r="G2498" t="str">
        <f>IF(Table3[[#This Row],[Top Parent Account]]="",Table3[[#This Row],[Account Legal Name]],Table3[[#This Row],[Top Parent Account]])</f>
        <v>Rancho Nuevo Produce</v>
      </c>
      <c r="H2498" s="1"/>
    </row>
    <row r="2499" spans="1:8" x14ac:dyDescent="0.35">
      <c r="A2499" s="21"/>
      <c r="B2499" t="s">
        <v>70</v>
      </c>
      <c r="C2499" t="s">
        <v>22</v>
      </c>
      <c r="D2499" t="s">
        <v>441</v>
      </c>
      <c r="F2499" s="1">
        <v>45931</v>
      </c>
      <c r="G2499" t="str">
        <f>IF(Table3[[#This Row],[Top Parent Account]]="",Table3[[#This Row],[Account Legal Name]],Table3[[#This Row],[Top Parent Account]])</f>
        <v>QUIROPRACTICA ROMA, S.C.</v>
      </c>
      <c r="H2499" s="1"/>
    </row>
    <row r="2500" spans="1:8" x14ac:dyDescent="0.35">
      <c r="A2500" s="21"/>
      <c r="B2500" t="s">
        <v>932</v>
      </c>
      <c r="C2500" t="s">
        <v>6</v>
      </c>
      <c r="D2500" t="s">
        <v>2969</v>
      </c>
      <c r="F2500" s="1">
        <v>45931</v>
      </c>
      <c r="G2500" t="str">
        <f>IF(Table3[[#This Row],[Top Parent Account]]="",Table3[[#This Row],[Account Legal Name]],Table3[[#This Row],[Top Parent Account]])</f>
        <v>Soluciones Químicas Para El Campo y La Industria</v>
      </c>
      <c r="H2500" s="1"/>
    </row>
    <row r="2501" spans="1:8" x14ac:dyDescent="0.35">
      <c r="A2501" s="21"/>
      <c r="B2501" t="s">
        <v>28</v>
      </c>
      <c r="C2501" t="s">
        <v>6</v>
      </c>
      <c r="D2501" t="s">
        <v>3689</v>
      </c>
      <c r="F2501" s="1">
        <v>45930</v>
      </c>
      <c r="G2501" t="str">
        <f>IF(Table3[[#This Row],[Top Parent Account]]="",Table3[[#This Row],[Account Legal Name]],Table3[[#This Row],[Top Parent Account]])</f>
        <v>Fg plastibolsas y empaques</v>
      </c>
      <c r="H2501" s="1"/>
    </row>
    <row r="2502" spans="1:8" x14ac:dyDescent="0.35">
      <c r="A2502" s="21"/>
      <c r="B2502" t="s">
        <v>26</v>
      </c>
      <c r="C2502" t="s">
        <v>6</v>
      </c>
      <c r="D2502" t="s">
        <v>1180</v>
      </c>
      <c r="F2502" s="1">
        <v>45930</v>
      </c>
      <c r="G2502" t="str">
        <f>IF(Table3[[#This Row],[Top Parent Account]]="",Table3[[#This Row],[Account Legal Name]],Table3[[#This Row],[Top Parent Account]])</f>
        <v>Chantilly</v>
      </c>
      <c r="H2502" s="1"/>
    </row>
    <row r="2503" spans="1:8" x14ac:dyDescent="0.35">
      <c r="A2503" s="21"/>
      <c r="B2503" t="s">
        <v>37</v>
      </c>
      <c r="C2503" t="s">
        <v>6</v>
      </c>
      <c r="D2503" t="s">
        <v>547</v>
      </c>
      <c r="F2503" s="1">
        <v>45930</v>
      </c>
      <c r="G2503" t="str">
        <f>IF(Table3[[#This Row],[Top Parent Account]]="",Table3[[#This Row],[Account Legal Name]],Table3[[#This Row],[Top Parent Account]])</f>
        <v>Supplier City de Hermosillo</v>
      </c>
      <c r="H2503" s="1"/>
    </row>
    <row r="2504" spans="1:8" x14ac:dyDescent="0.35">
      <c r="A2504" s="21"/>
      <c r="B2504" t="s">
        <v>3129</v>
      </c>
      <c r="C2504" t="s">
        <v>6</v>
      </c>
      <c r="D2504" t="s">
        <v>3593</v>
      </c>
      <c r="F2504" s="1">
        <v>45930</v>
      </c>
      <c r="G2504" t="str">
        <f>IF(Table3[[#This Row],[Top Parent Account]]="",Table3[[#This Row],[Account Legal Name]],Table3[[#This Row],[Top Parent Account]])</f>
        <v>RER Energy Mexico</v>
      </c>
      <c r="H2504" s="1"/>
    </row>
    <row r="2505" spans="1:8" x14ac:dyDescent="0.35">
      <c r="A2505" s="21"/>
      <c r="B2505" t="s">
        <v>25</v>
      </c>
      <c r="C2505" t="s">
        <v>6</v>
      </c>
      <c r="D2505" t="s">
        <v>3594</v>
      </c>
      <c r="F2505" s="1">
        <v>45930</v>
      </c>
      <c r="G2505" t="str">
        <f>IF(Table3[[#This Row],[Top Parent Account]]="",Table3[[#This Row],[Account Legal Name]],Table3[[#This Row],[Top Parent Account]])</f>
        <v>Laboratorio Mexicano de Imágenes</v>
      </c>
      <c r="H2505" s="1"/>
    </row>
    <row r="2506" spans="1:8" x14ac:dyDescent="0.35">
      <c r="A2506" s="21"/>
      <c r="B2506" t="s">
        <v>970</v>
      </c>
      <c r="C2506" t="s">
        <v>4613</v>
      </c>
      <c r="D2506" t="s">
        <v>4612</v>
      </c>
      <c r="F2506" s="1">
        <v>45930</v>
      </c>
      <c r="G2506" t="str">
        <f>IF(Table3[[#This Row],[Top Parent Account]]="",Table3[[#This Row],[Account Legal Name]],Table3[[#This Row],[Top Parent Account]])</f>
        <v>Grupo Hycsa</v>
      </c>
      <c r="H2506" s="1"/>
    </row>
    <row r="2507" spans="1:8" x14ac:dyDescent="0.35">
      <c r="A2507" s="21"/>
      <c r="B2507" t="s">
        <v>28</v>
      </c>
      <c r="C2507" t="s">
        <v>6</v>
      </c>
      <c r="D2507" t="s">
        <v>899</v>
      </c>
      <c r="F2507" s="1">
        <v>45930</v>
      </c>
      <c r="G2507" t="str">
        <f>IF(Table3[[#This Row],[Top Parent Account]]="",Table3[[#This Row],[Account Legal Name]],Table3[[#This Row],[Top Parent Account]])</f>
        <v>GRUAS Y TRANSPORTES RENTERIA</v>
      </c>
      <c r="H2507" s="1"/>
    </row>
    <row r="2508" spans="1:8" x14ac:dyDescent="0.35">
      <c r="A2508" s="21"/>
      <c r="B2508" t="s">
        <v>37</v>
      </c>
      <c r="C2508" t="s">
        <v>6</v>
      </c>
      <c r="D2508" t="s">
        <v>1479</v>
      </c>
      <c r="F2508" s="1">
        <v>45930</v>
      </c>
      <c r="G2508" t="str">
        <f>IF(Table3[[#This Row],[Top Parent Account]]="",Table3[[#This Row],[Account Legal Name]],Table3[[#This Row],[Top Parent Account]])</f>
        <v>Citricola Del Yaqui</v>
      </c>
      <c r="H2508" s="1"/>
    </row>
    <row r="2509" spans="1:8" x14ac:dyDescent="0.35">
      <c r="A2509" s="21"/>
      <c r="B2509" t="s">
        <v>77</v>
      </c>
      <c r="C2509" t="s">
        <v>6</v>
      </c>
      <c r="D2509" t="s">
        <v>3595</v>
      </c>
      <c r="F2509" s="1">
        <v>45930</v>
      </c>
      <c r="G2509" t="str">
        <f>IF(Table3[[#This Row],[Top Parent Account]]="",Table3[[#This Row],[Account Legal Name]],Table3[[#This Row],[Top Parent Account]])</f>
        <v>Gruas Keila</v>
      </c>
      <c r="H2509" s="1"/>
    </row>
    <row r="2510" spans="1:8" x14ac:dyDescent="0.35">
      <c r="A2510" s="21"/>
      <c r="B2510" t="s">
        <v>3093</v>
      </c>
      <c r="C2510" t="s">
        <v>6</v>
      </c>
      <c r="D2510" t="s">
        <v>475</v>
      </c>
      <c r="F2510" s="1">
        <v>45930</v>
      </c>
      <c r="G2510" t="str">
        <f>IF(Table3[[#This Row],[Top Parent Account]]="",Table3[[#This Row],[Account Legal Name]],Table3[[#This Row],[Top Parent Account]])</f>
        <v>Grupo Yadatex</v>
      </c>
      <c r="H2510" s="1"/>
    </row>
    <row r="2511" spans="1:8" x14ac:dyDescent="0.35">
      <c r="A2511" s="21"/>
      <c r="B2511" t="s">
        <v>3553</v>
      </c>
      <c r="C2511" t="s">
        <v>6</v>
      </c>
      <c r="D2511" t="s">
        <v>3596</v>
      </c>
      <c r="F2511" s="1">
        <v>45930</v>
      </c>
      <c r="G2511" t="str">
        <f>IF(Table3[[#This Row],[Top Parent Account]]="",Table3[[#This Row],[Account Legal Name]],Table3[[#This Row],[Top Parent Account]])</f>
        <v>KUYADI SUPPLY CHAIN</v>
      </c>
      <c r="H2511" s="1"/>
    </row>
    <row r="2512" spans="1:8" x14ac:dyDescent="0.35">
      <c r="A2512" s="21"/>
      <c r="B2512" t="s">
        <v>24</v>
      </c>
      <c r="C2512" t="s">
        <v>6</v>
      </c>
      <c r="D2512" t="s">
        <v>2959</v>
      </c>
      <c r="F2512" s="1">
        <v>45930</v>
      </c>
      <c r="G2512" t="str">
        <f>IF(Table3[[#This Row],[Top Parent Account]]="",Table3[[#This Row],[Account Legal Name]],Table3[[#This Row],[Top Parent Account]])</f>
        <v>Grupo Ceres</v>
      </c>
      <c r="H2512" s="1"/>
    </row>
    <row r="2513" spans="1:8" x14ac:dyDescent="0.35">
      <c r="A2513" s="21"/>
      <c r="B2513" t="s">
        <v>1511</v>
      </c>
      <c r="C2513" t="s">
        <v>6</v>
      </c>
      <c r="D2513" t="s">
        <v>1681</v>
      </c>
      <c r="F2513" s="1">
        <v>45930</v>
      </c>
      <c r="G2513" t="str">
        <f>IF(Table3[[#This Row],[Top Parent Account]]="",Table3[[#This Row],[Account Legal Name]],Table3[[#This Row],[Top Parent Account]])</f>
        <v>K-FLEX DE MEXICO</v>
      </c>
      <c r="H2513" s="1"/>
    </row>
    <row r="2514" spans="1:8" x14ac:dyDescent="0.35">
      <c r="A2514" s="21"/>
      <c r="B2514" t="s">
        <v>70</v>
      </c>
      <c r="C2514" t="s">
        <v>22</v>
      </c>
      <c r="D2514" t="s">
        <v>479</v>
      </c>
      <c r="F2514" s="1">
        <v>45930</v>
      </c>
      <c r="G2514" t="str">
        <f>IF(Table3[[#This Row],[Top Parent Account]]="",Table3[[#This Row],[Account Legal Name]],Table3[[#This Row],[Top Parent Account]])</f>
        <v>Santoyo Gabinete Radiológico</v>
      </c>
      <c r="H2514" s="1"/>
    </row>
    <row r="2515" spans="1:8" x14ac:dyDescent="0.35">
      <c r="A2515" s="21"/>
      <c r="B2515" t="s">
        <v>70</v>
      </c>
      <c r="C2515" t="s">
        <v>22</v>
      </c>
      <c r="D2515" t="s">
        <v>283</v>
      </c>
      <c r="F2515" s="1">
        <v>45930</v>
      </c>
      <c r="G2515" t="str">
        <f>IF(Table3[[#This Row],[Top Parent Account]]="",Table3[[#This Row],[Account Legal Name]],Table3[[#This Row],[Top Parent Account]])</f>
        <v>Tecnologia Spine</v>
      </c>
      <c r="H2515" s="1"/>
    </row>
    <row r="2516" spans="1:8" x14ac:dyDescent="0.35">
      <c r="A2516" s="21"/>
      <c r="B2516" t="s">
        <v>3129</v>
      </c>
      <c r="C2516" t="s">
        <v>6</v>
      </c>
      <c r="D2516" t="s">
        <v>501</v>
      </c>
      <c r="F2516" s="1">
        <v>45930</v>
      </c>
      <c r="G2516" t="str">
        <f>IF(Table3[[#This Row],[Top Parent Account]]="",Table3[[#This Row],[Account Legal Name]],Table3[[#This Row],[Top Parent Account]])</f>
        <v>Packsys México</v>
      </c>
      <c r="H2516" s="1"/>
    </row>
    <row r="2517" spans="1:8" x14ac:dyDescent="0.35">
      <c r="A2517" s="21"/>
      <c r="B2517" t="s">
        <v>1511</v>
      </c>
      <c r="C2517" t="s">
        <v>6</v>
      </c>
      <c r="D2517" t="s">
        <v>3528</v>
      </c>
      <c r="F2517" s="1">
        <v>45930</v>
      </c>
      <c r="G2517" t="str">
        <f>IF(Table3[[#This Row],[Top Parent Account]]="",Table3[[#This Row],[Account Legal Name]],Table3[[#This Row],[Top Parent Account]])</f>
        <v>Transportes Orta</v>
      </c>
      <c r="H2517" s="1"/>
    </row>
    <row r="2518" spans="1:8" x14ac:dyDescent="0.35">
      <c r="A2518" s="21"/>
      <c r="B2518" t="s">
        <v>2912</v>
      </c>
      <c r="C2518" t="s">
        <v>6</v>
      </c>
      <c r="D2518" t="s">
        <v>3246</v>
      </c>
      <c r="F2518" s="1">
        <v>45930</v>
      </c>
      <c r="G2518" t="str">
        <f>IF(Table3[[#This Row],[Top Parent Account]]="",Table3[[#This Row],[Account Legal Name]],Table3[[#This Row],[Top Parent Account]])</f>
        <v>Grupo Rotoplas</v>
      </c>
      <c r="H2518" s="1"/>
    </row>
    <row r="2519" spans="1:8" x14ac:dyDescent="0.35">
      <c r="A2519" s="21"/>
      <c r="B2519" t="s">
        <v>375</v>
      </c>
      <c r="C2519" t="s">
        <v>6</v>
      </c>
      <c r="D2519" t="s">
        <v>2752</v>
      </c>
      <c r="F2519" s="1">
        <v>45930</v>
      </c>
      <c r="G2519" t="str">
        <f>IF(Table3[[#This Row],[Top Parent Account]]="",Table3[[#This Row],[Account Legal Name]],Table3[[#This Row],[Top Parent Account]])</f>
        <v>Botanas Metropoli</v>
      </c>
      <c r="H2519" s="1"/>
    </row>
    <row r="2520" spans="1:8" x14ac:dyDescent="0.35">
      <c r="A2520" s="21"/>
      <c r="B2520" t="s">
        <v>989</v>
      </c>
      <c r="C2520" t="s">
        <v>6</v>
      </c>
      <c r="D2520" t="s">
        <v>3597</v>
      </c>
      <c r="F2520" s="1">
        <v>45930</v>
      </c>
      <c r="G2520" t="str">
        <f>IF(Table3[[#This Row],[Top Parent Account]]="",Table3[[#This Row],[Account Legal Name]],Table3[[#This Row],[Top Parent Account]])</f>
        <v>Manufacturas Exel</v>
      </c>
      <c r="H2520" s="1"/>
    </row>
    <row r="2521" spans="1:8" x14ac:dyDescent="0.35">
      <c r="A2521" s="21"/>
      <c r="B2521" t="s">
        <v>70</v>
      </c>
      <c r="C2521" t="s">
        <v>22</v>
      </c>
      <c r="D2521" t="s">
        <v>1428</v>
      </c>
      <c r="F2521" s="1">
        <v>45930</v>
      </c>
      <c r="G2521" t="str">
        <f>IF(Table3[[#This Row],[Top Parent Account]]="",Table3[[#This Row],[Account Legal Name]],Table3[[#This Row],[Top Parent Account]])</f>
        <v>Il Diagnostics</v>
      </c>
      <c r="H2521" s="1"/>
    </row>
    <row r="2522" spans="1:8" x14ac:dyDescent="0.35">
      <c r="A2522" s="21"/>
      <c r="B2522" t="s">
        <v>1511</v>
      </c>
      <c r="C2522" t="s">
        <v>6</v>
      </c>
      <c r="D2522" t="s">
        <v>3598</v>
      </c>
      <c r="F2522" s="1">
        <v>45930</v>
      </c>
      <c r="G2522" t="str">
        <f>IF(Table3[[#This Row],[Top Parent Account]]="",Table3[[#This Row],[Account Legal Name]],Table3[[#This Row],[Top Parent Account]])</f>
        <v>First Brands Group LLC</v>
      </c>
      <c r="H2522" s="1"/>
    </row>
    <row r="2523" spans="1:8" x14ac:dyDescent="0.35">
      <c r="A2523" s="21"/>
      <c r="B2523" t="s">
        <v>739</v>
      </c>
      <c r="C2523" t="s">
        <v>6</v>
      </c>
      <c r="D2523" t="s">
        <v>3599</v>
      </c>
      <c r="F2523" s="1">
        <v>45930</v>
      </c>
      <c r="G2523" t="str">
        <f>IF(Table3[[#This Row],[Top Parent Account]]="",Table3[[#This Row],[Account Legal Name]],Table3[[#This Row],[Top Parent Account]])</f>
        <v>Constructora Itai</v>
      </c>
      <c r="H2523" s="1"/>
    </row>
    <row r="2524" spans="1:8" x14ac:dyDescent="0.35">
      <c r="A2524" s="21"/>
      <c r="B2524" t="s">
        <v>18</v>
      </c>
      <c r="C2524" t="s">
        <v>6</v>
      </c>
      <c r="D2524" t="s">
        <v>1951</v>
      </c>
      <c r="F2524" s="1">
        <v>45930</v>
      </c>
      <c r="G2524" t="str">
        <f>IF(Table3[[#This Row],[Top Parent Account]]="",Table3[[#This Row],[Account Legal Name]],Table3[[#This Row],[Top Parent Account]])</f>
        <v>Transportes Aguila De Oro</v>
      </c>
      <c r="H2524" s="1"/>
    </row>
    <row r="2525" spans="1:8" x14ac:dyDescent="0.35">
      <c r="A2525" s="21"/>
      <c r="B2525" t="s">
        <v>3129</v>
      </c>
      <c r="C2525" t="s">
        <v>6</v>
      </c>
      <c r="D2525" t="s">
        <v>510</v>
      </c>
      <c r="F2525" s="1">
        <v>45930</v>
      </c>
      <c r="G2525" t="str">
        <f>IF(Table3[[#This Row],[Top Parent Account]]="",Table3[[#This Row],[Account Legal Name]],Table3[[#This Row],[Top Parent Account]])</f>
        <v>Productos Arpapel</v>
      </c>
      <c r="H2525" s="1"/>
    </row>
    <row r="2526" spans="1:8" x14ac:dyDescent="0.35">
      <c r="A2526" s="21"/>
      <c r="B2526" t="s">
        <v>3182</v>
      </c>
      <c r="C2526" t="s">
        <v>6</v>
      </c>
      <c r="D2526" t="s">
        <v>3335</v>
      </c>
      <c r="F2526" s="1">
        <v>45930</v>
      </c>
      <c r="G2526" t="str">
        <f>IF(Table3[[#This Row],[Top Parent Account]]="",Table3[[#This Row],[Account Legal Name]],Table3[[#This Row],[Top Parent Account]])</f>
        <v>Distribuidora Toymark</v>
      </c>
      <c r="H2526" s="1"/>
    </row>
    <row r="2527" spans="1:8" x14ac:dyDescent="0.35">
      <c r="A2527" s="21"/>
      <c r="B2527" t="s">
        <v>88</v>
      </c>
      <c r="C2527" t="s">
        <v>6</v>
      </c>
      <c r="D2527" t="s">
        <v>3600</v>
      </c>
      <c r="F2527" s="1">
        <v>45930</v>
      </c>
      <c r="G2527" t="str">
        <f>IF(Table3[[#This Row],[Top Parent Account]]="",Table3[[#This Row],[Account Legal Name]],Table3[[#This Row],[Top Parent Account]])</f>
        <v>Output Management Services</v>
      </c>
      <c r="H2527" s="1"/>
    </row>
    <row r="2528" spans="1:8" x14ac:dyDescent="0.35">
      <c r="A2528" s="21"/>
      <c r="B2528" t="s">
        <v>43</v>
      </c>
      <c r="C2528" t="s">
        <v>6</v>
      </c>
      <c r="D2528" t="s">
        <v>3601</v>
      </c>
      <c r="F2528" s="1">
        <v>45930</v>
      </c>
      <c r="G2528" t="str">
        <f>IF(Table3[[#This Row],[Top Parent Account]]="",Table3[[#This Row],[Account Legal Name]],Table3[[#This Row],[Top Parent Account]])</f>
        <v>ZANEO</v>
      </c>
      <c r="H2528" s="1"/>
    </row>
    <row r="2529" spans="1:8" x14ac:dyDescent="0.35">
      <c r="A2529" s="21"/>
      <c r="B2529" t="s">
        <v>2912</v>
      </c>
      <c r="C2529" t="s">
        <v>6</v>
      </c>
      <c r="D2529" t="s">
        <v>327</v>
      </c>
      <c r="F2529" s="1">
        <v>45929</v>
      </c>
      <c r="G2529" t="str">
        <f>IF(Table3[[#This Row],[Top Parent Account]]="",Table3[[#This Row],[Account Legal Name]],Table3[[#This Row],[Top Parent Account]])</f>
        <v>Tienda Neto</v>
      </c>
      <c r="H2529" s="1"/>
    </row>
    <row r="2530" spans="1:8" x14ac:dyDescent="0.35">
      <c r="A2530" s="21"/>
      <c r="B2530" t="s">
        <v>88</v>
      </c>
      <c r="C2530" t="s">
        <v>6</v>
      </c>
      <c r="D2530" t="s">
        <v>2962</v>
      </c>
      <c r="F2530" s="1">
        <v>45929</v>
      </c>
      <c r="G2530" t="str">
        <f>IF(Table3[[#This Row],[Top Parent Account]]="",Table3[[#This Row],[Account Legal Name]],Table3[[#This Row],[Top Parent Account]])</f>
        <v>International Foods Saltillo</v>
      </c>
      <c r="H2530" s="1"/>
    </row>
    <row r="2531" spans="1:8" x14ac:dyDescent="0.35">
      <c r="A2531" s="21"/>
      <c r="B2531" t="s">
        <v>3182</v>
      </c>
      <c r="C2531" t="s">
        <v>22</v>
      </c>
      <c r="D2531" t="s">
        <v>103</v>
      </c>
      <c r="F2531" s="1">
        <v>45929</v>
      </c>
      <c r="G2531" t="str">
        <f>IF(Table3[[#This Row],[Top Parent Account]]="",Table3[[#This Row],[Account Legal Name]],Table3[[#This Row],[Top Parent Account]])</f>
        <v>E2E Supply Chain Services</v>
      </c>
      <c r="H2531" s="1"/>
    </row>
    <row r="2532" spans="1:8" x14ac:dyDescent="0.35">
      <c r="A2532" s="21"/>
      <c r="B2532" t="s">
        <v>26</v>
      </c>
      <c r="C2532" t="s">
        <v>6</v>
      </c>
      <c r="D2532" t="s">
        <v>437</v>
      </c>
      <c r="F2532" s="1">
        <v>45929</v>
      </c>
      <c r="G2532" t="str">
        <f>IF(Table3[[#This Row],[Top Parent Account]]="",Table3[[#This Row],[Account Legal Name]],Table3[[#This Row],[Top Parent Account]])</f>
        <v>Industrias Cazel</v>
      </c>
      <c r="H2532" s="1"/>
    </row>
    <row r="2533" spans="1:8" x14ac:dyDescent="0.35">
      <c r="A2533" s="21"/>
      <c r="B2533" t="s">
        <v>2884</v>
      </c>
      <c r="C2533" t="s">
        <v>6</v>
      </c>
      <c r="D2533" t="s">
        <v>3623</v>
      </c>
      <c r="E2533" t="s">
        <v>838</v>
      </c>
      <c r="F2533" s="1">
        <v>45929</v>
      </c>
      <c r="G2533" t="str">
        <f>IF(Table3[[#This Row],[Top Parent Account]]="",Table3[[#This Row],[Account Legal Name]],Table3[[#This Row],[Top Parent Account]])</f>
        <v>United Parcel Service de México</v>
      </c>
      <c r="H2533" s="1"/>
    </row>
    <row r="2534" spans="1:8" x14ac:dyDescent="0.35">
      <c r="A2534" s="21"/>
      <c r="B2534" t="s">
        <v>970</v>
      </c>
      <c r="C2534" t="s">
        <v>6</v>
      </c>
      <c r="D2534" t="s">
        <v>3602</v>
      </c>
      <c r="F2534" s="1">
        <v>45929</v>
      </c>
      <c r="G2534" t="str">
        <f>IF(Table3[[#This Row],[Top Parent Account]]="",Table3[[#This Row],[Account Legal Name]],Table3[[#This Row],[Top Parent Account]])</f>
        <v>Codere México</v>
      </c>
      <c r="H2534" s="1"/>
    </row>
    <row r="2535" spans="1:8" x14ac:dyDescent="0.35">
      <c r="A2535" s="21"/>
      <c r="B2535" t="s">
        <v>116</v>
      </c>
      <c r="C2535" t="s">
        <v>22</v>
      </c>
      <c r="D2535" t="s">
        <v>1310</v>
      </c>
      <c r="F2535" s="1">
        <v>45929</v>
      </c>
      <c r="G2535" t="str">
        <f>IF(Table3[[#This Row],[Top Parent Account]]="",Table3[[#This Row],[Account Legal Name]],Table3[[#This Row],[Top Parent Account]])</f>
        <v>Interdeli</v>
      </c>
      <c r="H2535" s="1"/>
    </row>
    <row r="2536" spans="1:8" x14ac:dyDescent="0.35">
      <c r="A2536" s="21"/>
      <c r="B2536" t="s">
        <v>116</v>
      </c>
      <c r="C2536" t="s">
        <v>6</v>
      </c>
      <c r="D2536" t="s">
        <v>1095</v>
      </c>
      <c r="F2536" s="1">
        <v>45929</v>
      </c>
      <c r="G2536" t="str">
        <f>IF(Table3[[#This Row],[Top Parent Account]]="",Table3[[#This Row],[Account Legal Name]],Table3[[#This Row],[Top Parent Account]])</f>
        <v>Pilgrims Pride</v>
      </c>
      <c r="H2536" s="1"/>
    </row>
    <row r="2537" spans="1:8" x14ac:dyDescent="0.35">
      <c r="A2537" s="21"/>
      <c r="B2537" t="s">
        <v>37</v>
      </c>
      <c r="C2537" t="s">
        <v>6</v>
      </c>
      <c r="D2537" t="s">
        <v>174</v>
      </c>
      <c r="F2537" s="1">
        <v>45929</v>
      </c>
      <c r="G2537" t="str">
        <f>IF(Table3[[#This Row],[Top Parent Account]]="",Table3[[#This Row],[Account Legal Name]],Table3[[#This Row],[Top Parent Account]])</f>
        <v>CW Metal</v>
      </c>
      <c r="H2537" s="1"/>
    </row>
    <row r="2538" spans="1:8" x14ac:dyDescent="0.35">
      <c r="A2538" s="21"/>
      <c r="B2538" t="s">
        <v>26</v>
      </c>
      <c r="C2538" t="s">
        <v>6</v>
      </c>
      <c r="D2538" t="s">
        <v>483</v>
      </c>
      <c r="F2538" s="1">
        <v>45929</v>
      </c>
      <c r="G2538" t="str">
        <f>IF(Table3[[#This Row],[Top Parent Account]]="",Table3[[#This Row],[Account Legal Name]],Table3[[#This Row],[Top Parent Account]])</f>
        <v>Entretelas Brinco</v>
      </c>
      <c r="H2538" s="1"/>
    </row>
    <row r="2539" spans="1:8" x14ac:dyDescent="0.35">
      <c r="A2539" s="21"/>
      <c r="B2539" t="s">
        <v>1511</v>
      </c>
      <c r="C2539" t="s">
        <v>6</v>
      </c>
      <c r="D2539" t="s">
        <v>3604</v>
      </c>
      <c r="F2539" s="1">
        <v>45929</v>
      </c>
      <c r="G2539" t="str">
        <f>IF(Table3[[#This Row],[Top Parent Account]]="",Table3[[#This Row],[Account Legal Name]],Table3[[#This Row],[Top Parent Account]])</f>
        <v>Prosutt Ecoquim</v>
      </c>
      <c r="H2539" s="1"/>
    </row>
    <row r="2540" spans="1:8" x14ac:dyDescent="0.35">
      <c r="A2540" s="21"/>
      <c r="B2540" t="s">
        <v>1511</v>
      </c>
      <c r="C2540" t="s">
        <v>6</v>
      </c>
      <c r="D2540" t="s">
        <v>1204</v>
      </c>
      <c r="F2540" s="1">
        <v>45929</v>
      </c>
      <c r="G2540" t="str">
        <f>IF(Table3[[#This Row],[Top Parent Account]]="",Table3[[#This Row],[Account Legal Name]],Table3[[#This Row],[Top Parent Account]])</f>
        <v>Grupo Gazpro</v>
      </c>
      <c r="H2540" s="1"/>
    </row>
    <row r="2541" spans="1:8" x14ac:dyDescent="0.35">
      <c r="A2541" s="21"/>
      <c r="B2541" t="s">
        <v>932</v>
      </c>
      <c r="C2541" t="s">
        <v>3690</v>
      </c>
      <c r="D2541" t="s">
        <v>1650</v>
      </c>
      <c r="F2541" s="1">
        <v>45929</v>
      </c>
      <c r="G2541" t="str">
        <f>IF(Table3[[#This Row],[Top Parent Account]]="",Table3[[#This Row],[Account Legal Name]],Table3[[#This Row],[Top Parent Account]])</f>
        <v>Hjb Química Internacional</v>
      </c>
      <c r="H2541" s="1"/>
    </row>
    <row r="2542" spans="1:8" x14ac:dyDescent="0.35">
      <c r="A2542" s="21"/>
      <c r="B2542" t="s">
        <v>116</v>
      </c>
      <c r="C2542" t="s">
        <v>22</v>
      </c>
      <c r="D2542" t="s">
        <v>978</v>
      </c>
      <c r="E2542" t="s">
        <v>979</v>
      </c>
      <c r="F2542" s="1">
        <v>45929</v>
      </c>
      <c r="G2542" t="str">
        <f>IF(Table3[[#This Row],[Top Parent Account]]="",Table3[[#This Row],[Account Legal Name]],Table3[[#This Row],[Top Parent Account]])</f>
        <v>Centro de Cirugía Avanzada Siglo XXI</v>
      </c>
      <c r="H2542" s="1"/>
    </row>
    <row r="2543" spans="1:8" x14ac:dyDescent="0.35">
      <c r="A2543" s="21"/>
      <c r="B2543" t="s">
        <v>28</v>
      </c>
      <c r="C2543" t="s">
        <v>6</v>
      </c>
      <c r="D2543" t="s">
        <v>3691</v>
      </c>
      <c r="F2543" s="1">
        <v>45926</v>
      </c>
      <c r="G2543" t="str">
        <f>IF(Table3[[#This Row],[Top Parent Account]]="",Table3[[#This Row],[Account Legal Name]],Table3[[#This Row],[Top Parent Account]])</f>
        <v>Empacadora De Carnes Rivas</v>
      </c>
      <c r="H2543" s="1"/>
    </row>
    <row r="2544" spans="1:8" x14ac:dyDescent="0.35">
      <c r="A2544" s="21"/>
      <c r="B2544" t="s">
        <v>18</v>
      </c>
      <c r="C2544" t="s">
        <v>6</v>
      </c>
      <c r="D2544" t="s">
        <v>2431</v>
      </c>
      <c r="F2544" s="1">
        <v>45926</v>
      </c>
      <c r="G2544" t="str">
        <f>IF(Table3[[#This Row],[Top Parent Account]]="",Table3[[#This Row],[Account Legal Name]],Table3[[#This Row],[Top Parent Account]])</f>
        <v>Servicios Empresariales 77</v>
      </c>
      <c r="H2544" s="1"/>
    </row>
    <row r="2545" spans="1:8" x14ac:dyDescent="0.35">
      <c r="A2545" s="21"/>
      <c r="B2545" t="s">
        <v>207</v>
      </c>
      <c r="C2545" t="s">
        <v>6</v>
      </c>
      <c r="D2545" t="s">
        <v>3692</v>
      </c>
      <c r="F2545" s="1">
        <v>45926</v>
      </c>
      <c r="G2545" t="str">
        <f>IF(Table3[[#This Row],[Top Parent Account]]="",Table3[[#This Row],[Account Legal Name]],Table3[[#This Row],[Top Parent Account]])</f>
        <v>MEXOCHEM CORPORATIVO</v>
      </c>
      <c r="H2545" s="1"/>
    </row>
    <row r="2546" spans="1:8" x14ac:dyDescent="0.35">
      <c r="A2546" s="21"/>
      <c r="B2546" t="s">
        <v>121</v>
      </c>
      <c r="C2546" t="s">
        <v>6</v>
      </c>
      <c r="D2546" t="s">
        <v>939</v>
      </c>
      <c r="F2546" s="1">
        <v>45926</v>
      </c>
      <c r="G2546" t="str">
        <f>IF(Table3[[#This Row],[Top Parent Account]]="",Table3[[#This Row],[Account Legal Name]],Table3[[#This Row],[Top Parent Account]])</f>
        <v>AGRO SOIL DE MEXICO</v>
      </c>
      <c r="H2546" s="1"/>
    </row>
    <row r="2547" spans="1:8" x14ac:dyDescent="0.35">
      <c r="A2547" s="21"/>
      <c r="B2547" t="s">
        <v>56</v>
      </c>
      <c r="C2547" t="s">
        <v>6</v>
      </c>
      <c r="D2547" t="s">
        <v>3693</v>
      </c>
      <c r="F2547" s="1">
        <v>45926</v>
      </c>
      <c r="G2547" t="str">
        <f>IF(Table3[[#This Row],[Top Parent Account]]="",Table3[[#This Row],[Account Legal Name]],Table3[[#This Row],[Top Parent Account]])</f>
        <v>Sofilab</v>
      </c>
      <c r="H2547" s="1"/>
    </row>
    <row r="2548" spans="1:8" x14ac:dyDescent="0.35">
      <c r="A2548" s="21"/>
      <c r="B2548" t="s">
        <v>116</v>
      </c>
      <c r="C2548" t="s">
        <v>22</v>
      </c>
      <c r="D2548" t="s">
        <v>1262</v>
      </c>
      <c r="F2548" s="1">
        <v>45926</v>
      </c>
      <c r="G2548" t="str">
        <f>IF(Table3[[#This Row],[Top Parent Account]]="",Table3[[#This Row],[Account Legal Name]],Table3[[#This Row],[Top Parent Account]])</f>
        <v>Tzinapu</v>
      </c>
      <c r="H2548" s="1"/>
    </row>
    <row r="2549" spans="1:8" x14ac:dyDescent="0.35">
      <c r="A2549" s="21"/>
      <c r="B2549" t="s">
        <v>116</v>
      </c>
      <c r="C2549" t="s">
        <v>6</v>
      </c>
      <c r="D2549" t="s">
        <v>536</v>
      </c>
      <c r="F2549" s="1">
        <v>45926</v>
      </c>
      <c r="G2549" t="str">
        <f>IF(Table3[[#This Row],[Top Parent Account]]="",Table3[[#This Row],[Account Legal Name]],Table3[[#This Row],[Top Parent Account]])</f>
        <v>Inox Market Messico</v>
      </c>
      <c r="H2549" s="1"/>
    </row>
    <row r="2550" spans="1:8" x14ac:dyDescent="0.35">
      <c r="A2550" s="21"/>
      <c r="B2550" t="s">
        <v>2884</v>
      </c>
      <c r="C2550" t="s">
        <v>6</v>
      </c>
      <c r="D2550" t="s">
        <v>3558</v>
      </c>
      <c r="F2550" s="1">
        <v>45926</v>
      </c>
      <c r="G2550" t="str">
        <f>IF(Table3[[#This Row],[Top Parent Account]]="",Table3[[#This Row],[Account Legal Name]],Table3[[#This Row],[Top Parent Account]])</f>
        <v>Pandener</v>
      </c>
      <c r="H2550" s="1"/>
    </row>
    <row r="2551" spans="1:8" x14ac:dyDescent="0.35">
      <c r="A2551" s="21"/>
      <c r="B2551" t="s">
        <v>969</v>
      </c>
      <c r="C2551" t="s">
        <v>6</v>
      </c>
      <c r="D2551" t="s">
        <v>3694</v>
      </c>
      <c r="F2551" s="1">
        <v>45926</v>
      </c>
      <c r="G2551" t="str">
        <f>IF(Table3[[#This Row],[Top Parent Account]]="",Table3[[#This Row],[Account Legal Name]],Table3[[#This Row],[Top Parent Account]])</f>
        <v>Transportes Unidos del Centro Tuc</v>
      </c>
      <c r="H2551" s="1"/>
    </row>
    <row r="2552" spans="1:8" x14ac:dyDescent="0.35">
      <c r="A2552" s="21"/>
      <c r="B2552" t="s">
        <v>3175</v>
      </c>
      <c r="C2552" t="s">
        <v>6</v>
      </c>
      <c r="D2552" t="s">
        <v>3695</v>
      </c>
      <c r="F2552" s="1">
        <v>45926</v>
      </c>
      <c r="G2552" t="str">
        <f>IF(Table3[[#This Row],[Top Parent Account]]="",Table3[[#This Row],[Account Legal Name]],Table3[[#This Row],[Top Parent Account]])</f>
        <v>Grupo Grafico Saasil</v>
      </c>
      <c r="H2552" s="1"/>
    </row>
    <row r="2553" spans="1:8" x14ac:dyDescent="0.35">
      <c r="A2553" s="21"/>
      <c r="B2553" t="s">
        <v>121</v>
      </c>
      <c r="C2553" t="s">
        <v>6</v>
      </c>
      <c r="D2553" t="s">
        <v>3608</v>
      </c>
      <c r="F2553" s="1">
        <v>45926</v>
      </c>
      <c r="G2553" t="str">
        <f>IF(Table3[[#This Row],[Top Parent Account]]="",Table3[[#This Row],[Account Legal Name]],Table3[[#This Row],[Top Parent Account]])</f>
        <v>AGRICOLA EL FEO</v>
      </c>
      <c r="H2553" s="1"/>
    </row>
    <row r="2554" spans="1:8" x14ac:dyDescent="0.35">
      <c r="A2554" s="21"/>
      <c r="B2554" t="s">
        <v>10</v>
      </c>
      <c r="C2554" t="s">
        <v>6</v>
      </c>
      <c r="D2554" t="s">
        <v>476</v>
      </c>
      <c r="F2554" s="1">
        <v>45926</v>
      </c>
      <c r="G2554" t="str">
        <f>IF(Table3[[#This Row],[Top Parent Account]]="",Table3[[#This Row],[Account Legal Name]],Table3[[#This Row],[Top Parent Account]])</f>
        <v>Litografía D Ortega</v>
      </c>
      <c r="H2554" s="1"/>
    </row>
    <row r="2555" spans="1:8" x14ac:dyDescent="0.35">
      <c r="A2555" s="21"/>
      <c r="B2555" t="s">
        <v>18</v>
      </c>
      <c r="C2555" t="s">
        <v>6</v>
      </c>
      <c r="D2555" t="s">
        <v>3696</v>
      </c>
      <c r="F2555" s="1">
        <v>45926</v>
      </c>
      <c r="G2555" t="str">
        <f>IF(Table3[[#This Row],[Top Parent Account]]="",Table3[[#This Row],[Account Legal Name]],Table3[[#This Row],[Top Parent Account]])</f>
        <v>Transportes Marher</v>
      </c>
      <c r="H2555" s="1"/>
    </row>
    <row r="2556" spans="1:8" x14ac:dyDescent="0.35">
      <c r="A2556" s="21"/>
      <c r="B2556" t="s">
        <v>1511</v>
      </c>
      <c r="C2556" t="s">
        <v>6</v>
      </c>
      <c r="D2556" t="s">
        <v>3697</v>
      </c>
      <c r="F2556" s="1">
        <v>45926</v>
      </c>
      <c r="G2556" t="str">
        <f>IF(Table3[[#This Row],[Top Parent Account]]="",Table3[[#This Row],[Account Legal Name]],Table3[[#This Row],[Top Parent Account]])</f>
        <v>Ecoquim</v>
      </c>
      <c r="H2556" s="1"/>
    </row>
    <row r="2557" spans="1:8" x14ac:dyDescent="0.35">
      <c r="A2557" s="21"/>
      <c r="B2557" t="s">
        <v>3092</v>
      </c>
      <c r="C2557" t="s">
        <v>6</v>
      </c>
      <c r="D2557" t="s">
        <v>3698</v>
      </c>
      <c r="F2557" s="1">
        <v>45926</v>
      </c>
      <c r="G2557" t="str">
        <f>IF(Table3[[#This Row],[Top Parent Account]]="",Table3[[#This Row],[Account Legal Name]],Table3[[#This Row],[Top Parent Account]])</f>
        <v>Trena</v>
      </c>
      <c r="H2557" s="1"/>
    </row>
    <row r="2558" spans="1:8" x14ac:dyDescent="0.35">
      <c r="A2558" s="21"/>
      <c r="B2558" t="s">
        <v>23</v>
      </c>
      <c r="C2558" t="s">
        <v>6</v>
      </c>
      <c r="D2558" t="s">
        <v>3699</v>
      </c>
      <c r="F2558" s="1">
        <v>45926</v>
      </c>
      <c r="G2558" t="str">
        <f>IF(Table3[[#This Row],[Top Parent Account]]="",Table3[[#This Row],[Account Legal Name]],Table3[[#This Row],[Top Parent Account]])</f>
        <v>Innovaciones Asfálticas ALTEA</v>
      </c>
      <c r="H2558" s="1"/>
    </row>
    <row r="2559" spans="1:8" x14ac:dyDescent="0.35">
      <c r="A2559" s="21"/>
      <c r="B2559" t="s">
        <v>23</v>
      </c>
      <c r="C2559" t="s">
        <v>6</v>
      </c>
      <c r="D2559" t="s">
        <v>199</v>
      </c>
      <c r="F2559" s="1">
        <v>45926</v>
      </c>
      <c r="G2559" t="str">
        <f>IF(Table3[[#This Row],[Top Parent Account]]="",Table3[[#This Row],[Account Legal Name]],Table3[[#This Row],[Top Parent Account]])</f>
        <v>United Barcode Systems</v>
      </c>
      <c r="H2559" s="1"/>
    </row>
    <row r="2560" spans="1:8" x14ac:dyDescent="0.35">
      <c r="A2560" s="21"/>
      <c r="B2560" t="s">
        <v>84</v>
      </c>
      <c r="C2560" t="s">
        <v>55</v>
      </c>
      <c r="D2560" t="s">
        <v>3700</v>
      </c>
      <c r="F2560" s="1">
        <v>45926</v>
      </c>
      <c r="G2560" t="str">
        <f>IF(Table3[[#This Row],[Top Parent Account]]="",Table3[[#This Row],[Account Legal Name]],Table3[[#This Row],[Top Parent Account]])</f>
        <v>industria y manufactura en acero GM</v>
      </c>
      <c r="H2560" s="1"/>
    </row>
    <row r="2561" spans="1:8" x14ac:dyDescent="0.35">
      <c r="A2561" s="21"/>
      <c r="B2561" t="s">
        <v>84</v>
      </c>
      <c r="C2561" t="s">
        <v>844</v>
      </c>
      <c r="D2561" t="s">
        <v>795</v>
      </c>
      <c r="F2561" s="1">
        <v>45926</v>
      </c>
      <c r="G2561" t="str">
        <f>IF(Table3[[#This Row],[Top Parent Account]]="",Table3[[#This Row],[Account Legal Name]],Table3[[#This Row],[Top Parent Account]])</f>
        <v>Hari Masa</v>
      </c>
      <c r="H2561" s="1"/>
    </row>
    <row r="2562" spans="1:8" x14ac:dyDescent="0.35">
      <c r="A2562" s="21"/>
      <c r="B2562" t="s">
        <v>25</v>
      </c>
      <c r="C2562" t="s">
        <v>6</v>
      </c>
      <c r="D2562" t="s">
        <v>3701</v>
      </c>
      <c r="F2562" s="1">
        <v>45926</v>
      </c>
      <c r="G2562" t="str">
        <f>IF(Table3[[#This Row],[Top Parent Account]]="",Table3[[#This Row],[Account Legal Name]],Table3[[#This Row],[Top Parent Account]])</f>
        <v>Sistemas de Corte CNC</v>
      </c>
      <c r="H2562" s="1"/>
    </row>
    <row r="2563" spans="1:8" x14ac:dyDescent="0.35">
      <c r="A2563" s="21"/>
      <c r="B2563" t="s">
        <v>84</v>
      </c>
      <c r="C2563" t="s">
        <v>3702</v>
      </c>
      <c r="D2563" t="s">
        <v>930</v>
      </c>
      <c r="F2563" s="1">
        <v>45926</v>
      </c>
      <c r="G2563" t="str">
        <f>IF(Table3[[#This Row],[Top Parent Account]]="",Table3[[#This Row],[Account Legal Name]],Table3[[#This Row],[Top Parent Account]])</f>
        <v>Regiocolor Impresores</v>
      </c>
      <c r="H2563" s="1"/>
    </row>
    <row r="2564" spans="1:8" x14ac:dyDescent="0.35">
      <c r="A2564" s="21"/>
      <c r="B2564" t="s">
        <v>84</v>
      </c>
      <c r="C2564" t="s">
        <v>1184</v>
      </c>
      <c r="D2564" t="s">
        <v>1026</v>
      </c>
      <c r="F2564" s="1">
        <v>45926</v>
      </c>
      <c r="G2564" t="str">
        <f>IF(Table3[[#This Row],[Top Parent Account]]="",Table3[[#This Row],[Account Legal Name]],Table3[[#This Row],[Top Parent Account]])</f>
        <v>Acumuladores Omega</v>
      </c>
      <c r="H2564" s="1"/>
    </row>
    <row r="2565" spans="1:8" x14ac:dyDescent="0.35">
      <c r="A2565" s="21"/>
      <c r="B2565" t="s">
        <v>23</v>
      </c>
      <c r="C2565" t="s">
        <v>6</v>
      </c>
      <c r="D2565" t="s">
        <v>3703</v>
      </c>
      <c r="F2565" s="1">
        <v>45926</v>
      </c>
      <c r="G2565" t="str">
        <f>IF(Table3[[#This Row],[Top Parent Account]]="",Table3[[#This Row],[Account Legal Name]],Table3[[#This Row],[Top Parent Account]])</f>
        <v>materiales GALINDO</v>
      </c>
      <c r="H2565" s="1"/>
    </row>
    <row r="2566" spans="1:8" x14ac:dyDescent="0.35">
      <c r="A2566" s="21"/>
      <c r="B2566" t="s">
        <v>37</v>
      </c>
      <c r="C2566" t="s">
        <v>6</v>
      </c>
      <c r="D2566" t="s">
        <v>3705</v>
      </c>
      <c r="F2566" s="1">
        <v>45925</v>
      </c>
      <c r="G2566" t="str">
        <f>IF(Table3[[#This Row],[Top Parent Account]]="",Table3[[#This Row],[Account Legal Name]],Table3[[#This Row],[Top Parent Account]])</f>
        <v>SERVICIOS AUBO</v>
      </c>
      <c r="H2566" s="1"/>
    </row>
    <row r="2567" spans="1:8" x14ac:dyDescent="0.35">
      <c r="A2567" s="21"/>
      <c r="B2567" t="s">
        <v>28</v>
      </c>
      <c r="C2567" t="s">
        <v>6</v>
      </c>
      <c r="D2567" t="s">
        <v>3706</v>
      </c>
      <c r="F2567" s="1">
        <v>45925</v>
      </c>
      <c r="G2567" t="str">
        <f>IF(Table3[[#This Row],[Top Parent Account]]="",Table3[[#This Row],[Account Legal Name]],Table3[[#This Row],[Top Parent Account]])</f>
        <v>Hortalizas De La Laguna</v>
      </c>
      <c r="H2567" s="1"/>
    </row>
    <row r="2568" spans="1:8" x14ac:dyDescent="0.35">
      <c r="A2568" s="21"/>
      <c r="B2568" t="s">
        <v>18</v>
      </c>
      <c r="C2568" t="s">
        <v>6</v>
      </c>
      <c r="D2568" t="s">
        <v>3704</v>
      </c>
      <c r="F2568" s="1">
        <v>45925</v>
      </c>
      <c r="G2568" t="str">
        <f>IF(Table3[[#This Row],[Top Parent Account]]="",Table3[[#This Row],[Account Legal Name]],Table3[[#This Row],[Top Parent Account]])</f>
        <v>Triturados y Premezclados Altamira</v>
      </c>
      <c r="H2568" s="1"/>
    </row>
    <row r="2569" spans="1:8" x14ac:dyDescent="0.35">
      <c r="A2569" s="21"/>
      <c r="B2569" t="s">
        <v>589</v>
      </c>
      <c r="C2569" t="s">
        <v>6</v>
      </c>
      <c r="D2569" t="s">
        <v>3088</v>
      </c>
      <c r="F2569" s="1">
        <v>45925</v>
      </c>
      <c r="G2569" t="str">
        <f>IF(Table3[[#This Row],[Top Parent Account]]="",Table3[[#This Row],[Account Legal Name]],Table3[[#This Row],[Top Parent Account]])</f>
        <v>HTR Infraestructura</v>
      </c>
      <c r="H2569" s="1"/>
    </row>
    <row r="2570" spans="1:8" x14ac:dyDescent="0.35">
      <c r="A2570" s="21"/>
      <c r="B2570" t="s">
        <v>925</v>
      </c>
      <c r="C2570" t="s">
        <v>6</v>
      </c>
      <c r="D2570" t="s">
        <v>3607</v>
      </c>
      <c r="F2570" s="1">
        <v>45925</v>
      </c>
      <c r="G2570" t="str">
        <f>IF(Table3[[#This Row],[Top Parent Account]]="",Table3[[#This Row],[Account Legal Name]],Table3[[#This Row],[Top Parent Account]])</f>
        <v>Olan de México</v>
      </c>
      <c r="H2570" s="1"/>
    </row>
    <row r="2571" spans="1:8" x14ac:dyDescent="0.35">
      <c r="A2571" s="21"/>
      <c r="B2571" t="s">
        <v>23</v>
      </c>
      <c r="C2571" t="s">
        <v>6</v>
      </c>
      <c r="D2571" t="s">
        <v>190</v>
      </c>
      <c r="F2571" s="1">
        <v>45925</v>
      </c>
      <c r="G2571" t="str">
        <f>IF(Table3[[#This Row],[Top Parent Account]]="",Table3[[#This Row],[Account Legal Name]],Table3[[#This Row],[Top Parent Account]])</f>
        <v>COMERCIALIZADORA ALOHER</v>
      </c>
      <c r="H2571" s="1"/>
    </row>
    <row r="2572" spans="1:8" x14ac:dyDescent="0.35">
      <c r="A2572" s="21"/>
      <c r="B2572" t="s">
        <v>2693</v>
      </c>
      <c r="C2572" t="s">
        <v>6</v>
      </c>
      <c r="D2572" t="s">
        <v>3707</v>
      </c>
      <c r="F2572" s="1">
        <v>45925</v>
      </c>
      <c r="G2572" t="str">
        <f>IF(Table3[[#This Row],[Top Parent Account]]="",Table3[[#This Row],[Account Legal Name]],Table3[[#This Row],[Top Parent Account]])</f>
        <v>Adhesivos Antiderrapantes Para Estibas</v>
      </c>
      <c r="H2572" s="1"/>
    </row>
    <row r="2573" spans="1:8" x14ac:dyDescent="0.35">
      <c r="A2573" s="21"/>
      <c r="B2573" t="s">
        <v>207</v>
      </c>
      <c r="C2573" t="s">
        <v>6</v>
      </c>
      <c r="D2573" t="s">
        <v>661</v>
      </c>
      <c r="F2573" s="1">
        <v>45925</v>
      </c>
      <c r="G2573" t="str">
        <f>IF(Table3[[#This Row],[Top Parent Account]]="",Table3[[#This Row],[Account Legal Name]],Table3[[#This Row],[Top Parent Account]])</f>
        <v>FLORES IXTAPAN</v>
      </c>
      <c r="H2573" s="1"/>
    </row>
    <row r="2574" spans="1:8" x14ac:dyDescent="0.35">
      <c r="A2574" s="21"/>
      <c r="B2574" t="s">
        <v>925</v>
      </c>
      <c r="C2574" t="s">
        <v>6</v>
      </c>
      <c r="D2574" t="s">
        <v>2957</v>
      </c>
      <c r="F2574" s="1">
        <v>45925</v>
      </c>
      <c r="G2574" t="str">
        <f>IF(Table3[[#This Row],[Top Parent Account]]="",Table3[[#This Row],[Account Legal Name]],Table3[[#This Row],[Top Parent Account]])</f>
        <v>Somaki de México</v>
      </c>
      <c r="H2574" s="1"/>
    </row>
    <row r="2575" spans="1:8" x14ac:dyDescent="0.35">
      <c r="A2575" s="21"/>
      <c r="B2575" t="s">
        <v>37</v>
      </c>
      <c r="C2575" t="s">
        <v>6</v>
      </c>
      <c r="D2575" t="s">
        <v>2650</v>
      </c>
      <c r="F2575" s="1">
        <v>45925</v>
      </c>
      <c r="G2575" t="str">
        <f>IF(Table3[[#This Row],[Top Parent Account]]="",Table3[[#This Row],[Account Legal Name]],Table3[[#This Row],[Top Parent Account]])</f>
        <v>Astral Del Pacifico</v>
      </c>
      <c r="H2575" s="1"/>
    </row>
    <row r="2576" spans="1:8" x14ac:dyDescent="0.35">
      <c r="A2576" s="21"/>
      <c r="B2576" t="s">
        <v>23</v>
      </c>
      <c r="C2576" t="s">
        <v>6</v>
      </c>
      <c r="D2576" t="s">
        <v>3708</v>
      </c>
      <c r="F2576" s="1">
        <v>45925</v>
      </c>
      <c r="G2576" t="str">
        <f>IF(Table3[[#This Row],[Top Parent Account]]="",Table3[[#This Row],[Account Legal Name]],Table3[[#This Row],[Top Parent Account]])</f>
        <v>COMPAÑIA CERVECERA HERCULES</v>
      </c>
      <c r="H2576" s="1"/>
    </row>
    <row r="2577" spans="1:8" x14ac:dyDescent="0.35">
      <c r="A2577" s="21"/>
      <c r="B2577" t="s">
        <v>28</v>
      </c>
      <c r="C2577" t="s">
        <v>6</v>
      </c>
      <c r="D2577" t="s">
        <v>1052</v>
      </c>
      <c r="F2577" s="1">
        <v>45925</v>
      </c>
      <c r="G2577" t="str">
        <f>IF(Table3[[#This Row],[Top Parent Account]]="",Table3[[#This Row],[Account Legal Name]],Table3[[#This Row],[Top Parent Account]])</f>
        <v>Agricenter zevilla</v>
      </c>
      <c r="H2577" s="1"/>
    </row>
    <row r="2578" spans="1:8" x14ac:dyDescent="0.35">
      <c r="A2578" s="21"/>
      <c r="B2578" t="s">
        <v>169</v>
      </c>
      <c r="C2578" t="s">
        <v>6</v>
      </c>
      <c r="D2578" t="s">
        <v>3709</v>
      </c>
      <c r="F2578" s="1">
        <v>45925</v>
      </c>
      <c r="G2578" t="str">
        <f>IF(Table3[[#This Row],[Top Parent Account]]="",Table3[[#This Row],[Account Legal Name]],Table3[[#This Row],[Top Parent Account]])</f>
        <v>Laminaciones Tecnicas Para Empaques</v>
      </c>
      <c r="H2578" s="1"/>
    </row>
    <row r="2579" spans="1:8" x14ac:dyDescent="0.35">
      <c r="A2579" s="21"/>
      <c r="B2579" t="s">
        <v>989</v>
      </c>
      <c r="C2579" t="s">
        <v>6</v>
      </c>
      <c r="D2579" t="s">
        <v>3446</v>
      </c>
      <c r="F2579" s="1">
        <v>45925</v>
      </c>
      <c r="G2579" t="str">
        <f>IF(Table3[[#This Row],[Top Parent Account]]="",Table3[[#This Row],[Account Legal Name]],Table3[[#This Row],[Top Parent Account]])</f>
        <v>United Lima Filter</v>
      </c>
      <c r="H2579" s="1"/>
    </row>
    <row r="2580" spans="1:8" x14ac:dyDescent="0.35">
      <c r="A2580" s="21"/>
      <c r="B2580" t="s">
        <v>25</v>
      </c>
      <c r="C2580" t="s">
        <v>6</v>
      </c>
      <c r="D2580" t="s">
        <v>3710</v>
      </c>
      <c r="F2580" s="1">
        <v>45925</v>
      </c>
      <c r="G2580" t="str">
        <f>IF(Table3[[#This Row],[Top Parent Account]]="",Table3[[#This Row],[Account Legal Name]],Table3[[#This Row],[Top Parent Account]])</f>
        <v>Audley Mexico</v>
      </c>
      <c r="H2580" s="1"/>
    </row>
    <row r="2581" spans="1:8" x14ac:dyDescent="0.35">
      <c r="A2581" s="21"/>
      <c r="B2581" t="s">
        <v>29</v>
      </c>
      <c r="C2581" t="s">
        <v>6</v>
      </c>
      <c r="D2581" t="s">
        <v>3711</v>
      </c>
      <c r="F2581" s="1">
        <v>45925</v>
      </c>
      <c r="G2581" t="str">
        <f>IF(Table3[[#This Row],[Top Parent Account]]="",Table3[[#This Row],[Account Legal Name]],Table3[[#This Row],[Top Parent Account]])</f>
        <v>Galber Ingenieria en Servicio</v>
      </c>
      <c r="H2581" s="1"/>
    </row>
    <row r="2582" spans="1:8" x14ac:dyDescent="0.35">
      <c r="A2582" s="21"/>
      <c r="B2582" t="s">
        <v>26</v>
      </c>
      <c r="C2582" t="s">
        <v>6</v>
      </c>
      <c r="D2582" t="s">
        <v>3712</v>
      </c>
      <c r="F2582" s="1">
        <v>45925</v>
      </c>
      <c r="G2582" t="str">
        <f>IF(Table3[[#This Row],[Top Parent Account]]="",Table3[[#This Row],[Account Legal Name]],Table3[[#This Row],[Top Parent Account]])</f>
        <v>SEÑOR PISTACHO</v>
      </c>
      <c r="H2582" s="1"/>
    </row>
    <row r="2583" spans="1:8" x14ac:dyDescent="0.35">
      <c r="A2583" s="21"/>
      <c r="B2583" t="s">
        <v>38</v>
      </c>
      <c r="C2583" t="s">
        <v>6</v>
      </c>
      <c r="D2583" t="s">
        <v>456</v>
      </c>
      <c r="F2583" s="1">
        <v>45925</v>
      </c>
      <c r="G2583" t="str">
        <f>IF(Table3[[#This Row],[Top Parent Account]]="",Table3[[#This Row],[Account Legal Name]],Table3[[#This Row],[Top Parent Account]])</f>
        <v>Corporación Dalton</v>
      </c>
      <c r="H2583" s="1"/>
    </row>
    <row r="2584" spans="1:8" x14ac:dyDescent="0.35">
      <c r="A2584" s="21"/>
      <c r="B2584" t="s">
        <v>3093</v>
      </c>
      <c r="C2584" t="s">
        <v>6</v>
      </c>
      <c r="D2584" t="s">
        <v>3551</v>
      </c>
      <c r="E2584" t="s">
        <v>3552</v>
      </c>
      <c r="F2584" s="1">
        <v>45925</v>
      </c>
      <c r="G2584" t="str">
        <f>IF(Table3[[#This Row],[Top Parent Account]]="",Table3[[#This Row],[Account Legal Name]],Table3[[#This Row],[Top Parent Account]])</f>
        <v>Grupo Idesa</v>
      </c>
      <c r="H2584" s="1"/>
    </row>
    <row r="2585" spans="1:8" x14ac:dyDescent="0.35">
      <c r="A2585" s="21"/>
      <c r="B2585" t="s">
        <v>2884</v>
      </c>
      <c r="C2585" t="s">
        <v>6</v>
      </c>
      <c r="D2585" t="s">
        <v>3713</v>
      </c>
      <c r="E2585" t="s">
        <v>313</v>
      </c>
      <c r="F2585" s="1">
        <v>45925</v>
      </c>
      <c r="G2585" t="str">
        <f>IF(Table3[[#This Row],[Top Parent Account]]="",Table3[[#This Row],[Account Legal Name]],Table3[[#This Row],[Top Parent Account]])</f>
        <v>Mitsui de México</v>
      </c>
      <c r="H2585" s="1"/>
    </row>
    <row r="2586" spans="1:8" x14ac:dyDescent="0.35">
      <c r="A2586" s="21"/>
      <c r="B2586" t="s">
        <v>2884</v>
      </c>
      <c r="C2586" t="s">
        <v>6</v>
      </c>
      <c r="D2586" t="s">
        <v>2013</v>
      </c>
      <c r="E2586" t="s">
        <v>313</v>
      </c>
      <c r="F2586" s="1">
        <v>45925</v>
      </c>
      <c r="G2586" t="str">
        <f>IF(Table3[[#This Row],[Top Parent Account]]="",Table3[[#This Row],[Account Legal Name]],Table3[[#This Row],[Top Parent Account]])</f>
        <v>Mitsui de México</v>
      </c>
      <c r="H2586" s="1"/>
    </row>
    <row r="2587" spans="1:8" x14ac:dyDescent="0.35">
      <c r="A2587" s="21"/>
      <c r="B2587" t="s">
        <v>172</v>
      </c>
      <c r="C2587" t="s">
        <v>6</v>
      </c>
      <c r="D2587" t="s">
        <v>3714</v>
      </c>
      <c r="F2587" s="1">
        <v>45925</v>
      </c>
      <c r="G2587" t="str">
        <f>IF(Table3[[#This Row],[Top Parent Account]]="",Table3[[#This Row],[Account Legal Name]],Table3[[#This Row],[Top Parent Account]])</f>
        <v>Pinturas Doal</v>
      </c>
      <c r="H2587" s="1"/>
    </row>
    <row r="2588" spans="1:8" x14ac:dyDescent="0.35">
      <c r="A2588" s="21"/>
      <c r="B2588" t="s">
        <v>84</v>
      </c>
      <c r="C2588" t="s">
        <v>22</v>
      </c>
      <c r="D2588" t="s">
        <v>384</v>
      </c>
      <c r="F2588" s="1">
        <v>45925</v>
      </c>
      <c r="G2588" t="str">
        <f>IF(Table3[[#This Row],[Top Parent Account]]="",Table3[[#This Row],[Account Legal Name]],Table3[[#This Row],[Top Parent Account]])</f>
        <v>Empacadora Rosarito</v>
      </c>
      <c r="H2588" s="1"/>
    </row>
    <row r="2589" spans="1:8" x14ac:dyDescent="0.35">
      <c r="A2589" s="21"/>
      <c r="B2589" t="s">
        <v>932</v>
      </c>
      <c r="C2589" t="s">
        <v>6</v>
      </c>
      <c r="D2589" t="s">
        <v>3715</v>
      </c>
      <c r="F2589" s="1">
        <v>45925</v>
      </c>
      <c r="G2589" t="str">
        <f>IF(Table3[[#This Row],[Top Parent Account]]="",Table3[[#This Row],[Account Legal Name]],Table3[[#This Row],[Top Parent Account]])</f>
        <v>Image Resources</v>
      </c>
      <c r="H2589" s="1"/>
    </row>
    <row r="2590" spans="1:8" x14ac:dyDescent="0.35">
      <c r="A2590" s="21"/>
      <c r="B2590" t="s">
        <v>969</v>
      </c>
      <c r="C2590" t="s">
        <v>6</v>
      </c>
      <c r="D2590" t="s">
        <v>732</v>
      </c>
      <c r="F2590" s="1">
        <v>45925</v>
      </c>
      <c r="G2590" t="str">
        <f>IF(Table3[[#This Row],[Top Parent Account]]="",Table3[[#This Row],[Account Legal Name]],Table3[[#This Row],[Top Parent Account]])</f>
        <v>Aura Proyectos Sustentables</v>
      </c>
      <c r="H2590" s="1"/>
    </row>
    <row r="2591" spans="1:8" x14ac:dyDescent="0.35">
      <c r="A2591" s="21"/>
      <c r="B2591" t="s">
        <v>32</v>
      </c>
      <c r="C2591" t="s">
        <v>6</v>
      </c>
      <c r="D2591" t="s">
        <v>425</v>
      </c>
      <c r="F2591" s="1">
        <v>45925</v>
      </c>
      <c r="G2591" t="str">
        <f>IF(Table3[[#This Row],[Top Parent Account]]="",Table3[[#This Row],[Account Legal Name]],Table3[[#This Row],[Top Parent Account]])</f>
        <v>Po Empaques Flexibles</v>
      </c>
      <c r="H2591" s="1"/>
    </row>
    <row r="2592" spans="1:8" x14ac:dyDescent="0.35">
      <c r="A2592" s="21"/>
      <c r="B2592" t="s">
        <v>589</v>
      </c>
      <c r="C2592" t="s">
        <v>6</v>
      </c>
      <c r="D2592" t="s">
        <v>3716</v>
      </c>
      <c r="F2592" s="1">
        <v>45925</v>
      </c>
      <c r="G2592" t="str">
        <f>IF(Table3[[#This Row],[Top Parent Account]]="",Table3[[#This Row],[Account Legal Name]],Table3[[#This Row],[Top Parent Account]])</f>
        <v>Moreno International</v>
      </c>
      <c r="H2592" s="1"/>
    </row>
    <row r="2593" spans="1:8" x14ac:dyDescent="0.35">
      <c r="A2593" s="21"/>
      <c r="B2593" t="s">
        <v>32</v>
      </c>
      <c r="C2593" t="s">
        <v>6</v>
      </c>
      <c r="D2593" t="s">
        <v>3717</v>
      </c>
      <c r="F2593" s="1">
        <v>45925</v>
      </c>
      <c r="G2593" t="str">
        <f>IF(Table3[[#This Row],[Top Parent Account]]="",Table3[[#This Row],[Account Legal Name]],Table3[[#This Row],[Top Parent Account]])</f>
        <v>Sanchez</v>
      </c>
      <c r="H2593" s="1"/>
    </row>
    <row r="2594" spans="1:8" x14ac:dyDescent="0.35">
      <c r="A2594" s="21"/>
      <c r="B2594" t="s">
        <v>32</v>
      </c>
      <c r="C2594" t="s">
        <v>6</v>
      </c>
      <c r="D2594" t="s">
        <v>3718</v>
      </c>
      <c r="F2594" s="1">
        <v>45925</v>
      </c>
      <c r="G2594" t="str">
        <f>IF(Table3[[#This Row],[Top Parent Account]]="",Table3[[#This Row],[Account Legal Name]],Table3[[#This Row],[Top Parent Account]])</f>
        <v>Ado</v>
      </c>
      <c r="H2594" s="1"/>
    </row>
    <row r="2595" spans="1:8" x14ac:dyDescent="0.35">
      <c r="A2595" s="21"/>
      <c r="B2595" t="s">
        <v>32</v>
      </c>
      <c r="C2595" t="s">
        <v>6</v>
      </c>
      <c r="D2595" t="s">
        <v>558</v>
      </c>
      <c r="E2595" t="s">
        <v>2508</v>
      </c>
      <c r="F2595" s="1">
        <v>45925</v>
      </c>
      <c r="G2595" t="str">
        <f>IF(Table3[[#This Row],[Top Parent Account]]="",Table3[[#This Row],[Account Legal Name]],Table3[[#This Row],[Top Parent Account]])</f>
        <v>Grupo Viva Aerobus</v>
      </c>
      <c r="H2595" s="1"/>
    </row>
    <row r="2596" spans="1:8" x14ac:dyDescent="0.35">
      <c r="A2596" s="21"/>
      <c r="B2596" t="s">
        <v>2345</v>
      </c>
      <c r="C2596" t="s">
        <v>6</v>
      </c>
      <c r="D2596" t="s">
        <v>2709</v>
      </c>
      <c r="F2596" s="1">
        <v>45925</v>
      </c>
      <c r="G2596" t="str">
        <f>IF(Table3[[#This Row],[Top Parent Account]]="",Table3[[#This Row],[Account Legal Name]],Table3[[#This Row],[Top Parent Account]])</f>
        <v>Sandvik Mining And Construction de México</v>
      </c>
      <c r="H2596" s="1"/>
    </row>
    <row r="2597" spans="1:8" x14ac:dyDescent="0.35">
      <c r="A2597" s="21"/>
      <c r="B2597" t="s">
        <v>207</v>
      </c>
      <c r="C2597" t="s">
        <v>6</v>
      </c>
      <c r="D2597" t="s">
        <v>3720</v>
      </c>
      <c r="F2597" s="1">
        <v>45925</v>
      </c>
      <c r="G2597" t="str">
        <f>IF(Table3[[#This Row],[Top Parent Account]]="",Table3[[#This Row],[Account Legal Name]],Table3[[#This Row],[Top Parent Account]])</f>
        <v>Ceva Salud Animal</v>
      </c>
      <c r="H2597" s="1"/>
    </row>
    <row r="2598" spans="1:8" x14ac:dyDescent="0.35">
      <c r="A2598" s="21"/>
      <c r="B2598" t="s">
        <v>2912</v>
      </c>
      <c r="C2598" t="s">
        <v>6</v>
      </c>
      <c r="D2598" t="s">
        <v>3719</v>
      </c>
      <c r="F2598" s="1">
        <v>45925</v>
      </c>
      <c r="G2598" t="str">
        <f>IF(Table3[[#This Row],[Top Parent Account]]="",Table3[[#This Row],[Account Legal Name]],Table3[[#This Row],[Top Parent Account]])</f>
        <v>Bonatti México</v>
      </c>
      <c r="H2598" s="1"/>
    </row>
    <row r="2599" spans="1:8" x14ac:dyDescent="0.35">
      <c r="A2599" s="21"/>
      <c r="B2599" t="s">
        <v>39</v>
      </c>
      <c r="C2599" t="s">
        <v>3721</v>
      </c>
      <c r="D2599" t="s">
        <v>520</v>
      </c>
      <c r="F2599" s="1">
        <v>45925</v>
      </c>
      <c r="G2599" t="str">
        <f>IF(Table3[[#This Row],[Top Parent Account]]="",Table3[[#This Row],[Account Legal Name]],Table3[[#This Row],[Top Parent Account]])</f>
        <v>Comercializadora de Alimentos Ochoa</v>
      </c>
      <c r="H2599" s="1"/>
    </row>
    <row r="2600" spans="1:8" x14ac:dyDescent="0.35">
      <c r="A2600" s="21"/>
      <c r="B2600" t="s">
        <v>739</v>
      </c>
      <c r="C2600" t="s">
        <v>6</v>
      </c>
      <c r="D2600" t="s">
        <v>3723</v>
      </c>
      <c r="F2600" s="1">
        <v>45925</v>
      </c>
      <c r="G2600" t="str">
        <f>IF(Table3[[#This Row],[Top Parent Account]]="",Table3[[#This Row],[Account Legal Name]],Table3[[#This Row],[Top Parent Account]])</f>
        <v>Wireco Mex</v>
      </c>
      <c r="H2600" s="1"/>
    </row>
    <row r="2601" spans="1:8" x14ac:dyDescent="0.35">
      <c r="A2601" s="21"/>
      <c r="B2601" t="s">
        <v>1899</v>
      </c>
      <c r="C2601" t="s">
        <v>6</v>
      </c>
      <c r="D2601" t="s">
        <v>3722</v>
      </c>
      <c r="F2601" s="1">
        <v>45925</v>
      </c>
      <c r="G2601" t="str">
        <f>IF(Table3[[#This Row],[Top Parent Account]]="",Table3[[#This Row],[Account Legal Name]],Table3[[#This Row],[Top Parent Account]])</f>
        <v>Rada Alimentos</v>
      </c>
      <c r="H2601" s="1"/>
    </row>
    <row r="2602" spans="1:8" x14ac:dyDescent="0.35">
      <c r="A2602" s="21"/>
      <c r="B2602" t="s">
        <v>37</v>
      </c>
      <c r="C2602" t="s">
        <v>6</v>
      </c>
      <c r="D2602" t="s">
        <v>3724</v>
      </c>
      <c r="F2602" s="1">
        <v>45924</v>
      </c>
      <c r="G2602" t="str">
        <f>IF(Table3[[#This Row],[Top Parent Account]]="",Table3[[#This Row],[Account Legal Name]],Table3[[#This Row],[Top Parent Account]])</f>
        <v>DAGO EXPORTADORA GLOBAL</v>
      </c>
      <c r="H2602" s="1"/>
    </row>
    <row r="2603" spans="1:8" x14ac:dyDescent="0.35">
      <c r="A2603" s="21"/>
      <c r="B2603" t="s">
        <v>43</v>
      </c>
      <c r="C2603" t="s">
        <v>22</v>
      </c>
      <c r="D2603" t="s">
        <v>233</v>
      </c>
      <c r="F2603" s="1">
        <v>45924</v>
      </c>
      <c r="G2603" t="str">
        <f>IF(Table3[[#This Row],[Top Parent Account]]="",Table3[[#This Row],[Account Legal Name]],Table3[[#This Row],[Top Parent Account]])</f>
        <v>NG RENTAL SOLUTION GROUP</v>
      </c>
      <c r="H2603" s="1"/>
    </row>
    <row r="2604" spans="1:8" x14ac:dyDescent="0.35">
      <c r="A2604" s="21"/>
      <c r="B2604" t="s">
        <v>969</v>
      </c>
      <c r="C2604" t="s">
        <v>6</v>
      </c>
      <c r="D2604" t="s">
        <v>1665</v>
      </c>
      <c r="F2604" s="1">
        <v>45924</v>
      </c>
      <c r="G2604" t="str">
        <f>IF(Table3[[#This Row],[Top Parent Account]]="",Table3[[#This Row],[Account Legal Name]],Table3[[#This Row],[Top Parent Account]])</f>
        <v>Ecap</v>
      </c>
      <c r="H2604" s="1"/>
    </row>
    <row r="2605" spans="1:8" x14ac:dyDescent="0.35">
      <c r="A2605" s="21"/>
      <c r="B2605" t="s">
        <v>26</v>
      </c>
      <c r="C2605" t="s">
        <v>6</v>
      </c>
      <c r="D2605" t="s">
        <v>2895</v>
      </c>
      <c r="F2605" s="1">
        <v>45924</v>
      </c>
      <c r="G2605" t="str">
        <f>IF(Table3[[#This Row],[Top Parent Account]]="",Table3[[#This Row],[Account Legal Name]],Table3[[#This Row],[Top Parent Account]])</f>
        <v>Quirmex</v>
      </c>
      <c r="H2605" s="1"/>
    </row>
    <row r="2606" spans="1:8" x14ac:dyDescent="0.35">
      <c r="A2606" s="21"/>
      <c r="B2606" t="s">
        <v>3182</v>
      </c>
      <c r="C2606" t="s">
        <v>22</v>
      </c>
      <c r="D2606" t="s">
        <v>1490</v>
      </c>
      <c r="F2606" s="1">
        <v>45924</v>
      </c>
      <c r="G2606" t="str">
        <f>IF(Table3[[#This Row],[Top Parent Account]]="",Table3[[#This Row],[Account Legal Name]],Table3[[#This Row],[Top Parent Account]])</f>
        <v>Transporte y Logistica Buzmyr de México</v>
      </c>
      <c r="H2606" s="1"/>
    </row>
    <row r="2607" spans="1:8" x14ac:dyDescent="0.35">
      <c r="A2607" s="21"/>
      <c r="B2607" t="s">
        <v>24</v>
      </c>
      <c r="C2607" t="s">
        <v>6</v>
      </c>
      <c r="D2607" t="s">
        <v>3725</v>
      </c>
      <c r="F2607" s="1">
        <v>45924</v>
      </c>
      <c r="G2607" t="str">
        <f>IF(Table3[[#This Row],[Top Parent Account]]="",Table3[[#This Row],[Account Legal Name]],Table3[[#This Row],[Top Parent Account]])</f>
        <v>Bio Cosechas</v>
      </c>
      <c r="H2607" s="1"/>
    </row>
    <row r="2608" spans="1:8" x14ac:dyDescent="0.35">
      <c r="A2608" s="21"/>
      <c r="B2608" t="s">
        <v>169</v>
      </c>
      <c r="C2608" t="s">
        <v>6</v>
      </c>
      <c r="D2608" t="s">
        <v>961</v>
      </c>
      <c r="F2608" s="1">
        <v>45924</v>
      </c>
      <c r="G2608" t="str">
        <f>IF(Table3[[#This Row],[Top Parent Account]]="",Table3[[#This Row],[Account Legal Name]],Table3[[#This Row],[Top Parent Account]])</f>
        <v>SPRAY PERFECT</v>
      </c>
      <c r="H2608" s="1"/>
    </row>
    <row r="2609" spans="1:8" x14ac:dyDescent="0.35">
      <c r="A2609" s="21"/>
      <c r="B2609" t="s">
        <v>932</v>
      </c>
      <c r="C2609" t="s">
        <v>1150</v>
      </c>
      <c r="D2609" t="s">
        <v>3727</v>
      </c>
      <c r="F2609" s="1">
        <v>45924</v>
      </c>
      <c r="G2609" t="str">
        <f>IF(Table3[[#This Row],[Top Parent Account]]="",Table3[[#This Row],[Account Legal Name]],Table3[[#This Row],[Top Parent Account]])</f>
        <v>Dampack Comercial Packaging</v>
      </c>
      <c r="H2609" s="1"/>
    </row>
    <row r="2610" spans="1:8" x14ac:dyDescent="0.35">
      <c r="A2610" s="21"/>
      <c r="B2610" t="s">
        <v>51</v>
      </c>
      <c r="C2610" t="s">
        <v>6</v>
      </c>
      <c r="D2610" t="s">
        <v>3726</v>
      </c>
      <c r="F2610" s="1">
        <v>45924</v>
      </c>
      <c r="G2610" t="str">
        <f>IF(Table3[[#This Row],[Top Parent Account]]="",Table3[[#This Row],[Account Legal Name]],Table3[[#This Row],[Top Parent Account]])</f>
        <v>Nutrimentos Acuicola Azteca</v>
      </c>
      <c r="H2610" s="1"/>
    </row>
    <row r="2611" spans="1:8" x14ac:dyDescent="0.35">
      <c r="A2611" s="21"/>
      <c r="B2611" t="s">
        <v>37</v>
      </c>
      <c r="C2611" t="s">
        <v>6</v>
      </c>
      <c r="D2611" t="s">
        <v>1795</v>
      </c>
      <c r="F2611" s="1">
        <v>45924</v>
      </c>
      <c r="G2611" t="str">
        <f>IF(Table3[[#This Row],[Top Parent Account]]="",Table3[[#This Row],[Account Legal Name]],Table3[[#This Row],[Top Parent Account]])</f>
        <v>ELECTRO METALIC SOLUTIONS</v>
      </c>
      <c r="H2611" s="1"/>
    </row>
    <row r="2612" spans="1:8" x14ac:dyDescent="0.35">
      <c r="A2612" s="21"/>
      <c r="B2612" t="s">
        <v>37</v>
      </c>
      <c r="C2612" t="s">
        <v>6</v>
      </c>
      <c r="D2612" t="s">
        <v>1151</v>
      </c>
      <c r="F2612" s="1">
        <v>45924</v>
      </c>
      <c r="G2612" t="str">
        <f>IF(Table3[[#This Row],[Top Parent Account]]="",Table3[[#This Row],[Account Legal Name]],Table3[[#This Row],[Top Parent Account]])</f>
        <v>H2e Mexico</v>
      </c>
      <c r="H2612" s="1"/>
    </row>
    <row r="2613" spans="1:8" x14ac:dyDescent="0.35">
      <c r="A2613" s="21"/>
      <c r="B2613" t="s">
        <v>26</v>
      </c>
      <c r="C2613" t="s">
        <v>6</v>
      </c>
      <c r="D2613" t="s">
        <v>490</v>
      </c>
      <c r="F2613" s="1">
        <v>45924</v>
      </c>
      <c r="G2613" t="str">
        <f>IF(Table3[[#This Row],[Top Parent Account]]="",Table3[[#This Row],[Account Legal Name]],Table3[[#This Row],[Top Parent Account]])</f>
        <v>GLM Components México</v>
      </c>
      <c r="H2613" s="1"/>
    </row>
    <row r="2614" spans="1:8" x14ac:dyDescent="0.35">
      <c r="A2614" s="21"/>
      <c r="B2614" t="s">
        <v>88</v>
      </c>
      <c r="C2614" t="s">
        <v>22</v>
      </c>
      <c r="D2614" t="s">
        <v>2740</v>
      </c>
      <c r="F2614" s="1">
        <v>45924</v>
      </c>
      <c r="G2614" t="str">
        <f>IF(Table3[[#This Row],[Top Parent Account]]="",Table3[[#This Row],[Account Legal Name]],Table3[[#This Row],[Top Parent Account]])</f>
        <v>David Antonio Plauchu</v>
      </c>
      <c r="H2614" s="1"/>
    </row>
    <row r="2615" spans="1:8" x14ac:dyDescent="0.35">
      <c r="A2615" s="21"/>
      <c r="B2615" t="s">
        <v>3175</v>
      </c>
      <c r="C2615" t="s">
        <v>6</v>
      </c>
      <c r="D2615" t="s">
        <v>3728</v>
      </c>
      <c r="F2615" s="1">
        <v>45924</v>
      </c>
      <c r="G2615" t="str">
        <f>IF(Table3[[#This Row],[Top Parent Account]]="",Table3[[#This Row],[Account Legal Name]],Table3[[#This Row],[Top Parent Account]])</f>
        <v>Mantenimiento Industrial de Polipastos</v>
      </c>
      <c r="H2615" s="1"/>
    </row>
    <row r="2616" spans="1:8" x14ac:dyDescent="0.35">
      <c r="A2616" s="21"/>
      <c r="B2616" t="s">
        <v>88</v>
      </c>
      <c r="C2616" t="s">
        <v>544</v>
      </c>
      <c r="D2616" t="s">
        <v>3541</v>
      </c>
      <c r="F2616" s="1">
        <v>45924</v>
      </c>
      <c r="G2616" t="str">
        <f>IF(Table3[[#This Row],[Top Parent Account]]="",Table3[[#This Row],[Account Legal Name]],Table3[[#This Row],[Top Parent Account]])</f>
        <v>A &amp; F PROYECTOS METALMECANICOS</v>
      </c>
      <c r="H2616" s="1"/>
    </row>
    <row r="2617" spans="1:8" x14ac:dyDescent="0.35">
      <c r="A2617" s="21"/>
      <c r="B2617" t="s">
        <v>3553</v>
      </c>
      <c r="C2617" t="s">
        <v>6</v>
      </c>
      <c r="D2617" t="s">
        <v>3729</v>
      </c>
      <c r="F2617" s="1">
        <v>45924</v>
      </c>
      <c r="G2617" t="str">
        <f>IF(Table3[[#This Row],[Top Parent Account]]="",Table3[[#This Row],[Account Legal Name]],Table3[[#This Row],[Top Parent Account]])</f>
        <v>SOLUCIONES INTEGRALES EN MATERIAL POP</v>
      </c>
      <c r="H2617" s="1"/>
    </row>
    <row r="2618" spans="1:8" x14ac:dyDescent="0.35">
      <c r="A2618" s="21"/>
      <c r="B2618" t="s">
        <v>3114</v>
      </c>
      <c r="C2618" t="s">
        <v>6</v>
      </c>
      <c r="D2618" t="s">
        <v>3730</v>
      </c>
      <c r="F2618" s="1">
        <v>45924</v>
      </c>
      <c r="G2618" t="str">
        <f>IF(Table3[[#This Row],[Top Parent Account]]="",Table3[[#This Row],[Account Legal Name]],Table3[[#This Row],[Top Parent Account]])</f>
        <v>Fabricaciones Especializadas</v>
      </c>
      <c r="H2618" s="1"/>
    </row>
    <row r="2619" spans="1:8" x14ac:dyDescent="0.35">
      <c r="A2619" s="21"/>
      <c r="B2619" t="s">
        <v>70</v>
      </c>
      <c r="C2619" t="s">
        <v>6</v>
      </c>
      <c r="D2619" t="s">
        <v>3731</v>
      </c>
      <c r="F2619" s="1">
        <v>45924</v>
      </c>
      <c r="G2619" t="str">
        <f>IF(Table3[[#This Row],[Top Parent Account]]="",Table3[[#This Row],[Account Legal Name]],Table3[[#This Row],[Top Parent Account]])</f>
        <v>Dilabim</v>
      </c>
      <c r="H2619" s="1"/>
    </row>
    <row r="2620" spans="1:8" x14ac:dyDescent="0.35">
      <c r="A2620" s="21"/>
      <c r="B2620" t="s">
        <v>39</v>
      </c>
      <c r="C2620" t="s">
        <v>57</v>
      </c>
      <c r="D2620" t="s">
        <v>3732</v>
      </c>
      <c r="F2620" s="1">
        <v>45924</v>
      </c>
      <c r="G2620" t="str">
        <f>IF(Table3[[#This Row],[Top Parent Account]]="",Table3[[#This Row],[Account Legal Name]],Table3[[#This Row],[Top Parent Account]])</f>
        <v>Fábrica Mexicana de Torres</v>
      </c>
      <c r="H2620" s="1"/>
    </row>
    <row r="2621" spans="1:8" x14ac:dyDescent="0.35">
      <c r="A2621" s="21"/>
      <c r="B2621" t="s">
        <v>3114</v>
      </c>
      <c r="C2621" t="s">
        <v>6</v>
      </c>
      <c r="D2621" t="s">
        <v>907</v>
      </c>
      <c r="F2621" s="1">
        <v>45924</v>
      </c>
      <c r="G2621" t="str">
        <f>IF(Table3[[#This Row],[Top Parent Account]]="",Table3[[#This Row],[Account Legal Name]],Table3[[#This Row],[Top Parent Account]])</f>
        <v>Corporación CLC Solutions</v>
      </c>
      <c r="H2621" s="1"/>
    </row>
    <row r="2622" spans="1:8" x14ac:dyDescent="0.35">
      <c r="A2622" s="21"/>
      <c r="B2622" t="s">
        <v>23</v>
      </c>
      <c r="C2622" t="s">
        <v>6</v>
      </c>
      <c r="D2622" t="s">
        <v>860</v>
      </c>
      <c r="F2622" s="1">
        <v>45924</v>
      </c>
      <c r="G2622" t="str">
        <f>IF(Table3[[#This Row],[Top Parent Account]]="",Table3[[#This Row],[Account Legal Name]],Table3[[#This Row],[Top Parent Account]])</f>
        <v>BRASIMEX MADERAS Y EMBALAJES</v>
      </c>
      <c r="H2622" s="1"/>
    </row>
    <row r="2623" spans="1:8" x14ac:dyDescent="0.35">
      <c r="A2623" s="21"/>
      <c r="B2623" t="s">
        <v>26</v>
      </c>
      <c r="C2623" t="s">
        <v>6</v>
      </c>
      <c r="D2623" t="s">
        <v>938</v>
      </c>
      <c r="F2623" s="1">
        <v>45924</v>
      </c>
      <c r="G2623" t="str">
        <f>IF(Table3[[#This Row],[Top Parent Account]]="",Table3[[#This Row],[Account Legal Name]],Table3[[#This Row],[Top Parent Account]])</f>
        <v>El Tomate de Oro</v>
      </c>
      <c r="H2623" s="1"/>
    </row>
    <row r="2624" spans="1:8" x14ac:dyDescent="0.35">
      <c r="A2624" s="21"/>
      <c r="B2624" t="s">
        <v>10</v>
      </c>
      <c r="C2624" t="s">
        <v>6</v>
      </c>
      <c r="D2624" t="s">
        <v>3733</v>
      </c>
      <c r="F2624" s="1">
        <v>45924</v>
      </c>
      <c r="G2624" t="str">
        <f>IF(Table3[[#This Row],[Top Parent Account]]="",Table3[[#This Row],[Account Legal Name]],Table3[[#This Row],[Top Parent Account]])</f>
        <v>Congeladora Nino</v>
      </c>
      <c r="H2624" s="1"/>
    </row>
    <row r="2625" spans="1:8" x14ac:dyDescent="0.35">
      <c r="A2625" s="21"/>
      <c r="B2625" t="s">
        <v>3092</v>
      </c>
      <c r="C2625" t="s">
        <v>6</v>
      </c>
      <c r="D2625" t="s">
        <v>3224</v>
      </c>
      <c r="F2625" s="1">
        <v>45924</v>
      </c>
      <c r="G2625" t="str">
        <f>IF(Table3[[#This Row],[Top Parent Account]]="",Table3[[#This Row],[Account Legal Name]],Table3[[#This Row],[Top Parent Account]])</f>
        <v>Cargatel</v>
      </c>
      <c r="H2625" s="1"/>
    </row>
    <row r="2626" spans="1:8" x14ac:dyDescent="0.35">
      <c r="A2626" s="21"/>
      <c r="B2626" t="s">
        <v>70</v>
      </c>
      <c r="C2626" t="s">
        <v>22</v>
      </c>
      <c r="D2626" t="s">
        <v>667</v>
      </c>
      <c r="F2626" s="1">
        <v>45924</v>
      </c>
      <c r="G2626" t="str">
        <f>IF(Table3[[#This Row],[Top Parent Account]]="",Table3[[#This Row],[Account Legal Name]],Table3[[#This Row],[Top Parent Account]])</f>
        <v>Medica Sur</v>
      </c>
      <c r="H2626" s="1"/>
    </row>
    <row r="2627" spans="1:8" x14ac:dyDescent="0.35">
      <c r="A2627" s="21"/>
      <c r="B2627" t="s">
        <v>43</v>
      </c>
      <c r="C2627" t="s">
        <v>6</v>
      </c>
      <c r="D2627" t="s">
        <v>3734</v>
      </c>
      <c r="E2627" t="s">
        <v>367</v>
      </c>
      <c r="F2627" s="1">
        <v>45924</v>
      </c>
      <c r="G2627" t="str">
        <f>IF(Table3[[#This Row],[Top Parent Account]]="",Table3[[#This Row],[Account Legal Name]],Table3[[#This Row],[Top Parent Account]])</f>
        <v>Metalat</v>
      </c>
      <c r="H2627" s="1"/>
    </row>
    <row r="2628" spans="1:8" x14ac:dyDescent="0.35">
      <c r="A2628" s="21"/>
      <c r="B2628" t="s">
        <v>56</v>
      </c>
      <c r="C2628" t="s">
        <v>3735</v>
      </c>
      <c r="D2628" t="s">
        <v>3227</v>
      </c>
      <c r="F2628" s="1">
        <v>45924</v>
      </c>
      <c r="G2628" t="str">
        <f>IF(Table3[[#This Row],[Top Parent Account]]="",Table3[[#This Row],[Account Legal Name]],Table3[[#This Row],[Top Parent Account]])</f>
        <v>Phoenix Packaging México</v>
      </c>
      <c r="H2628" s="1"/>
    </row>
    <row r="2629" spans="1:8" x14ac:dyDescent="0.35">
      <c r="A2629" s="21"/>
      <c r="B2629" t="s">
        <v>3114</v>
      </c>
      <c r="C2629" t="s">
        <v>6</v>
      </c>
      <c r="D2629" t="s">
        <v>2729</v>
      </c>
      <c r="F2629" s="1">
        <v>45924</v>
      </c>
      <c r="G2629" t="str">
        <f>IF(Table3[[#This Row],[Top Parent Account]]="",Table3[[#This Row],[Account Legal Name]],Table3[[#This Row],[Top Parent Account]])</f>
        <v>Avila Reyes Sucesores (Grupo LTM)</v>
      </c>
      <c r="H2629" s="1"/>
    </row>
    <row r="2630" spans="1:8" x14ac:dyDescent="0.35">
      <c r="A2630" s="21"/>
      <c r="B2630" t="s">
        <v>12</v>
      </c>
      <c r="C2630" t="s">
        <v>6</v>
      </c>
      <c r="D2630" t="s">
        <v>3736</v>
      </c>
      <c r="F2630" s="1">
        <v>45924</v>
      </c>
      <c r="G2630" t="str">
        <f>IF(Table3[[#This Row],[Top Parent Account]]="",Table3[[#This Row],[Account Legal Name]],Table3[[#This Row],[Top Parent Account]])</f>
        <v>CONTROL DE SECTOR Y RASTREO</v>
      </c>
      <c r="H2630" s="1"/>
    </row>
    <row r="2631" spans="1:8" x14ac:dyDescent="0.35">
      <c r="A2631" s="21"/>
      <c r="B2631" t="s">
        <v>2345</v>
      </c>
      <c r="C2631" t="s">
        <v>6</v>
      </c>
      <c r="D2631" t="s">
        <v>3737</v>
      </c>
      <c r="F2631" s="1">
        <v>45924</v>
      </c>
      <c r="G2631" t="str">
        <f>IF(Table3[[#This Row],[Top Parent Account]]="",Table3[[#This Row],[Account Legal Name]],Table3[[#This Row],[Top Parent Account]])</f>
        <v>Fresh Meat Market</v>
      </c>
      <c r="H2631" s="1"/>
    </row>
    <row r="2632" spans="1:8" x14ac:dyDescent="0.35">
      <c r="A2632" s="21"/>
      <c r="B2632" t="s">
        <v>39</v>
      </c>
      <c r="C2632" t="s">
        <v>3738</v>
      </c>
      <c r="D2632" t="s">
        <v>2537</v>
      </c>
      <c r="F2632" s="1">
        <v>45924</v>
      </c>
      <c r="G2632" t="str">
        <f>IF(Table3[[#This Row],[Top Parent Account]]="",Table3[[#This Row],[Account Legal Name]],Table3[[#This Row],[Top Parent Account]])</f>
        <v>Salsas Castillo</v>
      </c>
      <c r="H2632" s="1"/>
    </row>
    <row r="2633" spans="1:8" x14ac:dyDescent="0.35">
      <c r="A2633" s="21"/>
      <c r="B2633" t="s">
        <v>3182</v>
      </c>
      <c r="C2633" t="s">
        <v>22</v>
      </c>
      <c r="D2633" t="s">
        <v>480</v>
      </c>
      <c r="F2633" s="1">
        <v>45924</v>
      </c>
      <c r="G2633" t="str">
        <f>IF(Table3[[#This Row],[Top Parent Account]]="",Table3[[#This Row],[Account Legal Name]],Table3[[#This Row],[Top Parent Account]])</f>
        <v>Minera Media Luna</v>
      </c>
      <c r="H2633" s="1"/>
    </row>
    <row r="2634" spans="1:8" x14ac:dyDescent="0.35">
      <c r="A2634" s="21"/>
      <c r="B2634" t="s">
        <v>26</v>
      </c>
      <c r="C2634" t="s">
        <v>6</v>
      </c>
      <c r="D2634" t="s">
        <v>2177</v>
      </c>
      <c r="E2634" t="s">
        <v>72</v>
      </c>
      <c r="F2634" s="1">
        <v>45924</v>
      </c>
      <c r="G2634" t="str">
        <f>IF(Table3[[#This Row],[Top Parent Account]]="",Table3[[#This Row],[Account Legal Name]],Table3[[#This Row],[Top Parent Account]])</f>
        <v>Comercializadora Naremo</v>
      </c>
      <c r="H2634" s="1"/>
    </row>
    <row r="2635" spans="1:8" x14ac:dyDescent="0.35">
      <c r="A2635" s="21"/>
      <c r="B2635" t="s">
        <v>26</v>
      </c>
      <c r="C2635" t="s">
        <v>6</v>
      </c>
      <c r="D2635" t="s">
        <v>2185</v>
      </c>
      <c r="E2635" t="s">
        <v>2186</v>
      </c>
      <c r="F2635" s="1">
        <v>45924</v>
      </c>
      <c r="G2635" t="str">
        <f>IF(Table3[[#This Row],[Top Parent Account]]="",Table3[[#This Row],[Account Legal Name]],Table3[[#This Row],[Top Parent Account]])</f>
        <v>Unicar Mexicana</v>
      </c>
      <c r="H2635" s="1"/>
    </row>
    <row r="2636" spans="1:8" x14ac:dyDescent="0.35">
      <c r="A2636" s="21"/>
      <c r="B2636" t="s">
        <v>26</v>
      </c>
      <c r="C2636" t="s">
        <v>6</v>
      </c>
      <c r="D2636" t="s">
        <v>405</v>
      </c>
      <c r="F2636" s="1">
        <v>45923</v>
      </c>
      <c r="G2636" t="str">
        <f>IF(Table3[[#This Row],[Top Parent Account]]="",Table3[[#This Row],[Account Legal Name]],Table3[[#This Row],[Top Parent Account]])</f>
        <v>NUTRISERVICIOS PECUARIOS</v>
      </c>
      <c r="H2636" s="1"/>
    </row>
    <row r="2637" spans="1:8" x14ac:dyDescent="0.35">
      <c r="A2637" s="21"/>
      <c r="B2637" t="s">
        <v>37</v>
      </c>
      <c r="C2637" t="s">
        <v>6</v>
      </c>
      <c r="D2637" t="s">
        <v>3855</v>
      </c>
      <c r="F2637" s="1">
        <v>45923</v>
      </c>
      <c r="G2637" t="str">
        <f>IF(Table3[[#This Row],[Top Parent Account]]="",Table3[[#This Row],[Account Legal Name]],Table3[[#This Row],[Top Parent Account]])</f>
        <v>Constructora Sextin</v>
      </c>
      <c r="H2637" s="1"/>
    </row>
    <row r="2638" spans="1:8" x14ac:dyDescent="0.35">
      <c r="A2638" s="21"/>
      <c r="B2638" t="s">
        <v>3182</v>
      </c>
      <c r="C2638" t="s">
        <v>22</v>
      </c>
      <c r="D2638" t="s">
        <v>3739</v>
      </c>
      <c r="F2638" s="1">
        <v>45923</v>
      </c>
      <c r="G2638" t="str">
        <f>IF(Table3[[#This Row],[Top Parent Account]]="",Table3[[#This Row],[Account Legal Name]],Table3[[#This Row],[Top Parent Account]])</f>
        <v>Envases Papeleros de México</v>
      </c>
      <c r="H2638" s="1"/>
    </row>
    <row r="2639" spans="1:8" x14ac:dyDescent="0.35">
      <c r="A2639" s="21"/>
      <c r="B2639" t="s">
        <v>172</v>
      </c>
      <c r="C2639" t="s">
        <v>6</v>
      </c>
      <c r="D2639" t="s">
        <v>3560</v>
      </c>
      <c r="F2639" s="1">
        <v>45923</v>
      </c>
      <c r="G2639" t="str">
        <f>IF(Table3[[#This Row],[Top Parent Account]]="",Table3[[#This Row],[Account Legal Name]],Table3[[#This Row],[Top Parent Account]])</f>
        <v>CMT de la Laguna</v>
      </c>
      <c r="H2639" s="1"/>
    </row>
    <row r="2640" spans="1:8" x14ac:dyDescent="0.35">
      <c r="A2640" s="21"/>
      <c r="B2640" t="s">
        <v>169</v>
      </c>
      <c r="C2640" t="s">
        <v>6</v>
      </c>
      <c r="D2640" t="s">
        <v>3740</v>
      </c>
      <c r="F2640" s="1">
        <v>45923</v>
      </c>
      <c r="G2640" t="str">
        <f>IF(Table3[[#This Row],[Top Parent Account]]="",Table3[[#This Row],[Account Legal Name]],Table3[[#This Row],[Top Parent Account]])</f>
        <v>Gruppo Berlingo</v>
      </c>
      <c r="H2640" s="1"/>
    </row>
    <row r="2641" spans="1:8" x14ac:dyDescent="0.35">
      <c r="A2641" s="21"/>
      <c r="B2641" t="s">
        <v>26</v>
      </c>
      <c r="C2641" t="s">
        <v>6</v>
      </c>
      <c r="D2641" t="s">
        <v>3742</v>
      </c>
      <c r="F2641" s="1">
        <v>45923</v>
      </c>
      <c r="G2641" t="str">
        <f>IF(Table3[[#This Row],[Top Parent Account]]="",Table3[[#This Row],[Account Legal Name]],Table3[[#This Row],[Top Parent Account]])</f>
        <v>Envases Pet de Tehuacan</v>
      </c>
      <c r="H2641" s="1"/>
    </row>
    <row r="2642" spans="1:8" x14ac:dyDescent="0.35">
      <c r="A2642" s="21"/>
      <c r="B2642" t="s">
        <v>2693</v>
      </c>
      <c r="C2642" t="s">
        <v>6</v>
      </c>
      <c r="D2642" t="s">
        <v>3468</v>
      </c>
      <c r="F2642" s="1">
        <v>45923</v>
      </c>
      <c r="G2642" t="str">
        <f>IF(Table3[[#This Row],[Top Parent Account]]="",Table3[[#This Row],[Account Legal Name]],Table3[[#This Row],[Top Parent Account]])</f>
        <v>Distribucion Organica Campo Vivo</v>
      </c>
      <c r="H2642" s="1"/>
    </row>
    <row r="2643" spans="1:8" x14ac:dyDescent="0.35">
      <c r="A2643" s="21"/>
      <c r="B2643" t="s">
        <v>3114</v>
      </c>
      <c r="C2643" t="s">
        <v>52</v>
      </c>
      <c r="D2643" t="s">
        <v>3741</v>
      </c>
      <c r="F2643" s="1">
        <v>45923</v>
      </c>
      <c r="G2643" t="str">
        <f>IF(Table3[[#This Row],[Top Parent Account]]="",Table3[[#This Row],[Account Legal Name]],Table3[[#This Row],[Top Parent Account]])</f>
        <v>Filtros y Mallas Industriales</v>
      </c>
      <c r="H2643" s="1"/>
    </row>
    <row r="2644" spans="1:8" x14ac:dyDescent="0.35">
      <c r="A2644" s="21"/>
      <c r="B2644" t="s">
        <v>3092</v>
      </c>
      <c r="C2644" t="s">
        <v>6</v>
      </c>
      <c r="D2644" t="s">
        <v>891</v>
      </c>
      <c r="F2644" s="1">
        <v>45923</v>
      </c>
      <c r="G2644" t="str">
        <f>IF(Table3[[#This Row],[Top Parent Account]]="",Table3[[#This Row],[Account Legal Name]],Table3[[#This Row],[Top Parent Account]])</f>
        <v>Ricap</v>
      </c>
      <c r="H2644" s="1"/>
    </row>
    <row r="2645" spans="1:8" x14ac:dyDescent="0.35">
      <c r="A2645" s="21"/>
      <c r="B2645" t="s">
        <v>70</v>
      </c>
      <c r="C2645" t="s">
        <v>6</v>
      </c>
      <c r="D2645" t="s">
        <v>740</v>
      </c>
      <c r="F2645" s="1">
        <v>45923</v>
      </c>
      <c r="G2645" t="str">
        <f>IF(Table3[[#This Row],[Top Parent Account]]="",Table3[[#This Row],[Account Legal Name]],Table3[[#This Row],[Top Parent Account]])</f>
        <v>Hospital Almater</v>
      </c>
      <c r="H2645" s="1"/>
    </row>
    <row r="2646" spans="1:8" x14ac:dyDescent="0.35">
      <c r="A2646" s="21"/>
      <c r="B2646" t="s">
        <v>37</v>
      </c>
      <c r="C2646" t="s">
        <v>6</v>
      </c>
      <c r="D2646" t="s">
        <v>1058</v>
      </c>
      <c r="F2646" s="1">
        <v>45923</v>
      </c>
      <c r="G2646" t="str">
        <f>IF(Table3[[#This Row],[Top Parent Account]]="",Table3[[#This Row],[Account Legal Name]],Table3[[#This Row],[Top Parent Account]])</f>
        <v>Ingeniería y Construcciones Sabodepa</v>
      </c>
      <c r="H2646" s="1"/>
    </row>
    <row r="2647" spans="1:8" x14ac:dyDescent="0.35">
      <c r="A2647" s="21"/>
      <c r="B2647" t="s">
        <v>28</v>
      </c>
      <c r="C2647" t="s">
        <v>6</v>
      </c>
      <c r="D2647" t="s">
        <v>2054</v>
      </c>
      <c r="F2647" s="1">
        <v>45923</v>
      </c>
      <c r="G2647" t="str">
        <f>IF(Table3[[#This Row],[Top Parent Account]]="",Table3[[#This Row],[Account Legal Name]],Table3[[#This Row],[Top Parent Account]])</f>
        <v>Avícola Santo Madero</v>
      </c>
      <c r="H2647" s="1"/>
    </row>
    <row r="2648" spans="1:8" x14ac:dyDescent="0.35">
      <c r="A2648" s="21"/>
      <c r="B2648" t="s">
        <v>26</v>
      </c>
      <c r="C2648" t="s">
        <v>6</v>
      </c>
      <c r="D2648" t="s">
        <v>3743</v>
      </c>
      <c r="F2648" s="1">
        <v>45923</v>
      </c>
      <c r="G2648" t="str">
        <f>IF(Table3[[#This Row],[Top Parent Account]]="",Table3[[#This Row],[Account Legal Name]],Table3[[#This Row],[Top Parent Account]])</f>
        <v>2010 Inyección de Plastico</v>
      </c>
      <c r="H2648" s="1"/>
    </row>
    <row r="2649" spans="1:8" x14ac:dyDescent="0.35">
      <c r="A2649" s="21"/>
      <c r="B2649" t="s">
        <v>280</v>
      </c>
      <c r="C2649" t="s">
        <v>6</v>
      </c>
      <c r="D2649" t="s">
        <v>3744</v>
      </c>
      <c r="F2649" s="1">
        <v>45923</v>
      </c>
      <c r="G2649" t="str">
        <f>IF(Table3[[#This Row],[Top Parent Account]]="",Table3[[#This Row],[Account Legal Name]],Table3[[#This Row],[Top Parent Account]])</f>
        <v>Servicios Coordinados Tlajomulco TIMOS</v>
      </c>
      <c r="H2649" s="1"/>
    </row>
    <row r="2650" spans="1:8" x14ac:dyDescent="0.35">
      <c r="A2650" s="21"/>
      <c r="B2650" t="s">
        <v>375</v>
      </c>
      <c r="C2650" t="s">
        <v>6</v>
      </c>
      <c r="D2650" t="s">
        <v>3745</v>
      </c>
      <c r="F2650" s="1">
        <v>45923</v>
      </c>
      <c r="G2650" t="str">
        <f>IF(Table3[[#This Row],[Top Parent Account]]="",Table3[[#This Row],[Account Legal Name]],Table3[[#This Row],[Top Parent Account]])</f>
        <v>Edilar</v>
      </c>
      <c r="H2650" s="1"/>
    </row>
    <row r="2651" spans="1:8" x14ac:dyDescent="0.35">
      <c r="A2651" s="21"/>
      <c r="B2651" t="s">
        <v>969</v>
      </c>
      <c r="C2651" t="s">
        <v>6</v>
      </c>
      <c r="D2651" t="s">
        <v>3746</v>
      </c>
      <c r="F2651" s="1">
        <v>45923</v>
      </c>
      <c r="G2651" t="str">
        <f>IF(Table3[[#This Row],[Top Parent Account]]="",Table3[[#This Row],[Account Legal Name]],Table3[[#This Row],[Top Parent Account]])</f>
        <v>IMPRESOS SANTIAGO</v>
      </c>
      <c r="H2651" s="1"/>
    </row>
    <row r="2652" spans="1:8" x14ac:dyDescent="0.35">
      <c r="A2652" s="21"/>
      <c r="B2652" t="s">
        <v>14</v>
      </c>
      <c r="C2652" t="s">
        <v>6</v>
      </c>
      <c r="D2652" t="s">
        <v>3747</v>
      </c>
      <c r="F2652" s="1">
        <v>45923</v>
      </c>
      <c r="G2652" t="str">
        <f>IF(Table3[[#This Row],[Top Parent Account]]="",Table3[[#This Row],[Account Legal Name]],Table3[[#This Row],[Top Parent Account]])</f>
        <v>Precision Metal Stamping</v>
      </c>
      <c r="H2652" s="1"/>
    </row>
    <row r="2653" spans="1:8" x14ac:dyDescent="0.35">
      <c r="A2653" s="21"/>
      <c r="B2653" t="s">
        <v>3092</v>
      </c>
      <c r="C2653" t="s">
        <v>6</v>
      </c>
      <c r="D2653" t="s">
        <v>3326</v>
      </c>
      <c r="F2653" s="1">
        <v>45923</v>
      </c>
      <c r="G2653" t="str">
        <f>IF(Table3[[#This Row],[Top Parent Account]]="",Table3[[#This Row],[Account Legal Name]],Table3[[#This Row],[Top Parent Account]])</f>
        <v>Cortes Especializados de Papel</v>
      </c>
      <c r="H2653" s="1"/>
    </row>
    <row r="2654" spans="1:8" x14ac:dyDescent="0.35">
      <c r="A2654" s="21"/>
      <c r="B2654" t="s">
        <v>1899</v>
      </c>
      <c r="C2654" t="s">
        <v>6</v>
      </c>
      <c r="D2654" t="s">
        <v>3748</v>
      </c>
      <c r="F2654" s="1">
        <v>45923</v>
      </c>
      <c r="G2654" t="str">
        <f>IF(Table3[[#This Row],[Top Parent Account]]="",Table3[[#This Row],[Account Legal Name]],Table3[[#This Row],[Top Parent Account]])</f>
        <v>Empacadora De Naranjas México</v>
      </c>
      <c r="H2654" s="1"/>
    </row>
    <row r="2655" spans="1:8" x14ac:dyDescent="0.35">
      <c r="A2655" s="21"/>
      <c r="B2655" t="s">
        <v>27</v>
      </c>
      <c r="C2655" t="s">
        <v>22</v>
      </c>
      <c r="D2655" t="s">
        <v>1289</v>
      </c>
      <c r="F2655" s="1">
        <v>45923</v>
      </c>
      <c r="G2655" t="str">
        <f>IF(Table3[[#This Row],[Top Parent Account]]="",Table3[[#This Row],[Account Legal Name]],Table3[[#This Row],[Top Parent Account]])</f>
        <v>Miraclon</v>
      </c>
      <c r="H2655" s="1"/>
    </row>
    <row r="2656" spans="1:8" x14ac:dyDescent="0.35">
      <c r="A2656" s="21"/>
      <c r="B2656" t="s">
        <v>2345</v>
      </c>
      <c r="C2656" t="s">
        <v>6</v>
      </c>
      <c r="D2656" t="s">
        <v>3486</v>
      </c>
      <c r="F2656" s="1">
        <v>45923</v>
      </c>
      <c r="G2656" t="str">
        <f>IF(Table3[[#This Row],[Top Parent Account]]="",Table3[[#This Row],[Account Legal Name]],Table3[[#This Row],[Top Parent Account]])</f>
        <v>AGAVES LA PATRONA</v>
      </c>
      <c r="H2656" s="1"/>
    </row>
    <row r="2657" spans="1:8" x14ac:dyDescent="0.35">
      <c r="A2657" s="21"/>
      <c r="B2657" t="s">
        <v>70</v>
      </c>
      <c r="C2657" t="s">
        <v>22</v>
      </c>
      <c r="D2657" t="s">
        <v>460</v>
      </c>
      <c r="F2657" s="1">
        <v>45923</v>
      </c>
      <c r="G2657" t="str">
        <f>IF(Table3[[#This Row],[Top Parent Account]]="",Table3[[#This Row],[Account Legal Name]],Table3[[#This Row],[Top Parent Account]])</f>
        <v>PROTEINAS KOTT</v>
      </c>
      <c r="H2657" s="1"/>
    </row>
    <row r="2658" spans="1:8" x14ac:dyDescent="0.35">
      <c r="A2658" s="21"/>
      <c r="B2658" t="s">
        <v>169</v>
      </c>
      <c r="C2658" t="s">
        <v>6</v>
      </c>
      <c r="D2658" t="s">
        <v>3749</v>
      </c>
      <c r="F2658" s="1">
        <v>45923</v>
      </c>
      <c r="G2658" t="str">
        <f>IF(Table3[[#This Row],[Top Parent Account]]="",Table3[[#This Row],[Account Legal Name]],Table3[[#This Row],[Top Parent Account]])</f>
        <v>Canace Transportes</v>
      </c>
      <c r="H2658" s="1"/>
    </row>
    <row r="2659" spans="1:8" x14ac:dyDescent="0.35">
      <c r="A2659" s="21"/>
      <c r="B2659" t="s">
        <v>38</v>
      </c>
      <c r="C2659" t="s">
        <v>6</v>
      </c>
      <c r="D2659" t="s">
        <v>3750</v>
      </c>
      <c r="F2659" s="1">
        <v>45923</v>
      </c>
      <c r="G2659" t="str">
        <f>IF(Table3[[#This Row],[Top Parent Account]]="",Table3[[#This Row],[Account Legal Name]],Table3[[#This Row],[Top Parent Account]])</f>
        <v>Trabba Prefabricados Concretos</v>
      </c>
      <c r="H2659" s="1"/>
    </row>
    <row r="2660" spans="1:8" x14ac:dyDescent="0.35">
      <c r="A2660" s="21"/>
      <c r="B2660" t="s">
        <v>28</v>
      </c>
      <c r="C2660" t="s">
        <v>6</v>
      </c>
      <c r="D2660" t="s">
        <v>3751</v>
      </c>
      <c r="F2660" s="1">
        <v>45923</v>
      </c>
      <c r="G2660" t="str">
        <f>IF(Table3[[#This Row],[Top Parent Account]]="",Table3[[#This Row],[Account Legal Name]],Table3[[#This Row],[Top Parent Account]])</f>
        <v>CARLOS SALVADOR LEAL ESPINOZA</v>
      </c>
      <c r="H2660" s="1"/>
    </row>
    <row r="2661" spans="1:8" x14ac:dyDescent="0.35">
      <c r="A2661" s="21"/>
      <c r="B2661" t="s">
        <v>207</v>
      </c>
      <c r="C2661" t="s">
        <v>6</v>
      </c>
      <c r="D2661" t="s">
        <v>3348</v>
      </c>
      <c r="F2661" s="1">
        <v>45923</v>
      </c>
      <c r="G2661" t="str">
        <f>IF(Table3[[#This Row],[Top Parent Account]]="",Table3[[#This Row],[Account Legal Name]],Table3[[#This Row],[Top Parent Account]])</f>
        <v>Yukapioca</v>
      </c>
      <c r="H2661" s="1"/>
    </row>
    <row r="2662" spans="1:8" x14ac:dyDescent="0.35">
      <c r="A2662" s="21"/>
      <c r="B2662" t="s">
        <v>375</v>
      </c>
      <c r="C2662" t="s">
        <v>6</v>
      </c>
      <c r="D2662" t="s">
        <v>1279</v>
      </c>
      <c r="F2662" s="1">
        <v>45923</v>
      </c>
      <c r="G2662" t="str">
        <f>IF(Table3[[#This Row],[Top Parent Account]]="",Table3[[#This Row],[Account Legal Name]],Table3[[#This Row],[Top Parent Account]])</f>
        <v>Supervisión Técnica del Norte</v>
      </c>
      <c r="H2662" s="1"/>
    </row>
    <row r="2663" spans="1:8" x14ac:dyDescent="0.35">
      <c r="A2663" s="21"/>
      <c r="B2663" t="s">
        <v>3182</v>
      </c>
      <c r="C2663" t="s">
        <v>22</v>
      </c>
      <c r="D2663" t="s">
        <v>3752</v>
      </c>
      <c r="F2663" s="1">
        <v>45923</v>
      </c>
      <c r="G2663" t="str">
        <f>IF(Table3[[#This Row],[Top Parent Account]]="",Table3[[#This Row],[Account Legal Name]],Table3[[#This Row],[Top Parent Account]])</f>
        <v>Skytex México</v>
      </c>
      <c r="H2663" s="1"/>
    </row>
    <row r="2664" spans="1:8" x14ac:dyDescent="0.35">
      <c r="A2664" s="21"/>
      <c r="B2664" t="s">
        <v>2345</v>
      </c>
      <c r="C2664" t="s">
        <v>6</v>
      </c>
      <c r="D2664" t="s">
        <v>3153</v>
      </c>
      <c r="F2664" s="1">
        <v>45923</v>
      </c>
      <c r="G2664" t="str">
        <f>IF(Table3[[#This Row],[Top Parent Account]]="",Table3[[#This Row],[Account Legal Name]],Table3[[#This Row],[Top Parent Account]])</f>
        <v>Unidad De Radiologia Irm</v>
      </c>
      <c r="H2664" s="1"/>
    </row>
    <row r="2665" spans="1:8" x14ac:dyDescent="0.35">
      <c r="A2665" s="21"/>
      <c r="B2665" t="s">
        <v>39</v>
      </c>
      <c r="C2665" t="s">
        <v>3753</v>
      </c>
      <c r="D2665" t="s">
        <v>3754</v>
      </c>
      <c r="F2665" s="1">
        <v>45923</v>
      </c>
      <c r="G2665" t="str">
        <f>IF(Table3[[#This Row],[Top Parent Account]]="",Table3[[#This Row],[Account Legal Name]],Table3[[#This Row],[Top Parent Account]])</f>
        <v>Minera Autlan</v>
      </c>
      <c r="H2665" s="1"/>
    </row>
    <row r="2666" spans="1:8" x14ac:dyDescent="0.35">
      <c r="A2666" s="21"/>
      <c r="B2666" t="s">
        <v>169</v>
      </c>
      <c r="C2666" t="s">
        <v>6</v>
      </c>
      <c r="D2666" t="s">
        <v>2234</v>
      </c>
      <c r="F2666" s="1">
        <v>45923</v>
      </c>
      <c r="G2666" t="str">
        <f>IF(Table3[[#This Row],[Top Parent Account]]="",Table3[[#This Row],[Account Legal Name]],Table3[[#This Row],[Top Parent Account]])</f>
        <v>Modelos yasiro</v>
      </c>
      <c r="H2666" s="1"/>
    </row>
    <row r="2667" spans="1:8" x14ac:dyDescent="0.35">
      <c r="A2667" s="21"/>
      <c r="B2667" t="s">
        <v>3182</v>
      </c>
      <c r="C2667" t="s">
        <v>587</v>
      </c>
      <c r="D2667" t="s">
        <v>587</v>
      </c>
      <c r="F2667" s="1">
        <v>45923</v>
      </c>
      <c r="G2667" t="str">
        <f>IF(Table3[[#This Row],[Top Parent Account]]="",Table3[[#This Row],[Account Legal Name]],Table3[[#This Row],[Top Parent Account]])</f>
        <v>Mabe de México</v>
      </c>
      <c r="H2667" s="1"/>
    </row>
    <row r="2668" spans="1:8" x14ac:dyDescent="0.35">
      <c r="A2668" s="21"/>
      <c r="B2668" t="s">
        <v>925</v>
      </c>
      <c r="C2668" t="s">
        <v>6</v>
      </c>
      <c r="D2668" t="s">
        <v>3755</v>
      </c>
      <c r="F2668" s="1">
        <v>45923</v>
      </c>
      <c r="G2668" t="str">
        <f>IF(Table3[[#This Row],[Top Parent Account]]="",Table3[[#This Row],[Account Legal Name]],Table3[[#This Row],[Top Parent Account]])</f>
        <v>TEAMCORE DE MEXICO</v>
      </c>
      <c r="H2668" s="1"/>
    </row>
    <row r="2669" spans="1:8" x14ac:dyDescent="0.35">
      <c r="A2669" s="21"/>
      <c r="B2669" t="s">
        <v>375</v>
      </c>
      <c r="C2669" t="s">
        <v>6</v>
      </c>
      <c r="D2669" t="s">
        <v>2859</v>
      </c>
      <c r="F2669" s="1">
        <v>45923</v>
      </c>
      <c r="G2669" t="str">
        <f>IF(Table3[[#This Row],[Top Parent Account]]="",Table3[[#This Row],[Account Legal Name]],Table3[[#This Row],[Top Parent Account]])</f>
        <v>InConcert</v>
      </c>
      <c r="H2669" s="1"/>
    </row>
    <row r="2670" spans="1:8" x14ac:dyDescent="0.35">
      <c r="A2670" s="21"/>
      <c r="B2670" t="s">
        <v>12</v>
      </c>
      <c r="C2670" t="s">
        <v>6</v>
      </c>
      <c r="D2670" t="s">
        <v>3756</v>
      </c>
      <c r="F2670" s="1">
        <v>45922</v>
      </c>
      <c r="G2670" t="str">
        <f>IF(Table3[[#This Row],[Top Parent Account]]="",Table3[[#This Row],[Account Legal Name]],Table3[[#This Row],[Top Parent Account]])</f>
        <v>EGOMARKETING</v>
      </c>
      <c r="H2670" s="1"/>
    </row>
    <row r="2671" spans="1:8" x14ac:dyDescent="0.35">
      <c r="A2671" s="21"/>
      <c r="B2671" t="s">
        <v>969</v>
      </c>
      <c r="C2671" t="s">
        <v>6</v>
      </c>
      <c r="D2671" t="s">
        <v>3416</v>
      </c>
      <c r="F2671" s="1">
        <v>45922</v>
      </c>
      <c r="G2671" t="str">
        <f>IF(Table3[[#This Row],[Top Parent Account]]="",Table3[[#This Row],[Account Legal Name]],Table3[[#This Row],[Top Parent Account]])</f>
        <v>Dace Appliances north america</v>
      </c>
      <c r="H2671" s="1"/>
    </row>
    <row r="2672" spans="1:8" x14ac:dyDescent="0.35">
      <c r="A2672" s="21"/>
      <c r="B2672" t="s">
        <v>1899</v>
      </c>
      <c r="C2672" t="s">
        <v>6</v>
      </c>
      <c r="D2672" t="s">
        <v>3757</v>
      </c>
      <c r="F2672" s="1">
        <v>45922</v>
      </c>
      <c r="G2672" t="str">
        <f>IF(Table3[[#This Row],[Top Parent Account]]="",Table3[[#This Row],[Account Legal Name]],Table3[[#This Row],[Top Parent Account]])</f>
        <v>Distribuidora Mexicana De Cítricos</v>
      </c>
      <c r="H2672" s="1"/>
    </row>
    <row r="2673" spans="1:8" x14ac:dyDescent="0.35">
      <c r="A2673" s="21"/>
      <c r="B2673" t="s">
        <v>932</v>
      </c>
      <c r="C2673" t="s">
        <v>1150</v>
      </c>
      <c r="D2673" t="s">
        <v>3685</v>
      </c>
      <c r="E2673" t="s">
        <v>3686</v>
      </c>
      <c r="F2673" s="1">
        <v>45922</v>
      </c>
      <c r="G2673" t="str">
        <f>IF(Table3[[#This Row],[Top Parent Account]]="",Table3[[#This Row],[Account Legal Name]],Table3[[#This Row],[Top Parent Account]])</f>
        <v>Union Quimica</v>
      </c>
      <c r="H2673" s="1"/>
    </row>
    <row r="2674" spans="1:8" x14ac:dyDescent="0.35">
      <c r="A2674" s="21"/>
      <c r="B2674" t="s">
        <v>969</v>
      </c>
      <c r="C2674" t="s">
        <v>6</v>
      </c>
      <c r="D2674" t="s">
        <v>3555</v>
      </c>
      <c r="F2674" s="1">
        <v>45922</v>
      </c>
      <c r="G2674" t="str">
        <f>IF(Table3[[#This Row],[Top Parent Account]]="",Table3[[#This Row],[Account Legal Name]],Table3[[#This Row],[Top Parent Account]])</f>
        <v>Cajas y Empaques Plegadizas</v>
      </c>
      <c r="H2674" s="1"/>
    </row>
    <row r="2675" spans="1:8" x14ac:dyDescent="0.35">
      <c r="A2675" s="21"/>
      <c r="B2675" t="s">
        <v>2693</v>
      </c>
      <c r="C2675" t="s">
        <v>6</v>
      </c>
      <c r="D2675" t="s">
        <v>3157</v>
      </c>
      <c r="F2675" s="1">
        <v>45922</v>
      </c>
      <c r="G2675" t="str">
        <f>IF(Table3[[#This Row],[Top Parent Account]]="",Table3[[#This Row],[Account Legal Name]],Table3[[#This Row],[Top Parent Account]])</f>
        <v>Productora y Comercializadora Sphenarium</v>
      </c>
      <c r="H2675" s="1"/>
    </row>
    <row r="2676" spans="1:8" x14ac:dyDescent="0.35">
      <c r="A2676" s="21"/>
      <c r="B2676" t="s">
        <v>10</v>
      </c>
      <c r="C2676" t="s">
        <v>6</v>
      </c>
      <c r="D2676" t="s">
        <v>3758</v>
      </c>
      <c r="F2676" s="1">
        <v>45922</v>
      </c>
      <c r="G2676" t="str">
        <f>IF(Table3[[#This Row],[Top Parent Account]]="",Table3[[#This Row],[Account Legal Name]],Table3[[#This Row],[Top Parent Account]])</f>
        <v>Polimeros y Derivados</v>
      </c>
      <c r="H2676" s="1"/>
    </row>
    <row r="2677" spans="1:8" x14ac:dyDescent="0.35">
      <c r="A2677" s="21"/>
      <c r="B2677" t="s">
        <v>2693</v>
      </c>
      <c r="C2677" t="s">
        <v>6</v>
      </c>
      <c r="D2677" t="s">
        <v>3325</v>
      </c>
      <c r="F2677" s="1">
        <v>45922</v>
      </c>
      <c r="G2677" t="str">
        <f>IF(Table3[[#This Row],[Top Parent Account]]="",Table3[[#This Row],[Account Legal Name]],Table3[[#This Row],[Top Parent Account]])</f>
        <v>Productos Mora</v>
      </c>
      <c r="H2677" s="1"/>
    </row>
    <row r="2678" spans="1:8" x14ac:dyDescent="0.35">
      <c r="A2678" s="21"/>
      <c r="B2678" t="s">
        <v>32</v>
      </c>
      <c r="C2678" t="s">
        <v>6</v>
      </c>
      <c r="D2678" t="s">
        <v>4743</v>
      </c>
      <c r="F2678" s="1">
        <v>45922</v>
      </c>
      <c r="G2678" t="str">
        <f>IF(Table3[[#This Row],[Top Parent Account]]="",Table3[[#This Row],[Account Legal Name]],Table3[[#This Row],[Top Parent Account]])</f>
        <v>JCDecaux Out Of Home México</v>
      </c>
      <c r="H2678" s="1"/>
    </row>
    <row r="2679" spans="1:8" x14ac:dyDescent="0.35">
      <c r="A2679" s="21"/>
      <c r="B2679" t="s">
        <v>70</v>
      </c>
      <c r="C2679" t="s">
        <v>22</v>
      </c>
      <c r="D2679" t="s">
        <v>1068</v>
      </c>
      <c r="F2679" s="1">
        <v>45922</v>
      </c>
      <c r="G2679" t="str">
        <f>IF(Table3[[#This Row],[Top Parent Account]]="",Table3[[#This Row],[Account Legal Name]],Table3[[#This Row],[Top Parent Account]])</f>
        <v>Igsa</v>
      </c>
      <c r="H2679" s="1"/>
    </row>
    <row r="2680" spans="1:8" x14ac:dyDescent="0.35">
      <c r="A2680" s="21"/>
      <c r="B2680" t="s">
        <v>3093</v>
      </c>
      <c r="C2680" t="s">
        <v>6</v>
      </c>
      <c r="D2680" t="s">
        <v>1340</v>
      </c>
      <c r="F2680" s="1">
        <v>45922</v>
      </c>
      <c r="G2680" t="str">
        <f>IF(Table3[[#This Row],[Top Parent Account]]="",Table3[[#This Row],[Account Legal Name]],Table3[[#This Row],[Top Parent Account]])</f>
        <v>Grupo Frisa</v>
      </c>
      <c r="H2680" s="1"/>
    </row>
    <row r="2681" spans="1:8" x14ac:dyDescent="0.35">
      <c r="A2681" s="21"/>
      <c r="B2681" t="s">
        <v>3553</v>
      </c>
      <c r="C2681" t="s">
        <v>6</v>
      </c>
      <c r="D2681" t="s">
        <v>3759</v>
      </c>
      <c r="F2681" s="1">
        <v>45922</v>
      </c>
      <c r="G2681" t="str">
        <f>IF(Table3[[#This Row],[Top Parent Account]]="",Table3[[#This Row],[Account Legal Name]],Table3[[#This Row],[Top Parent Account]])</f>
        <v>Flexi Seals</v>
      </c>
      <c r="H2681" s="1"/>
    </row>
    <row r="2682" spans="1:8" x14ac:dyDescent="0.35">
      <c r="A2682" s="21"/>
      <c r="B2682" t="s">
        <v>10</v>
      </c>
      <c r="C2682" t="s">
        <v>6</v>
      </c>
      <c r="D2682" t="s">
        <v>389</v>
      </c>
      <c r="F2682" s="1">
        <v>45920</v>
      </c>
      <c r="G2682" t="str">
        <f>IF(Table3[[#This Row],[Top Parent Account]]="",Table3[[#This Row],[Account Legal Name]],Table3[[#This Row],[Top Parent Account]])</f>
        <v>SISTEMAS DE ECOLOGIA SOLAR</v>
      </c>
      <c r="H2682" s="1"/>
    </row>
    <row r="2683" spans="1:8" x14ac:dyDescent="0.35">
      <c r="A2683" s="21"/>
      <c r="B2683" t="s">
        <v>37</v>
      </c>
      <c r="C2683" t="s">
        <v>6</v>
      </c>
      <c r="D2683" t="s">
        <v>870</v>
      </c>
      <c r="F2683" s="1">
        <v>45920</v>
      </c>
      <c r="G2683" t="str">
        <f>IF(Table3[[#This Row],[Top Parent Account]]="",Table3[[#This Row],[Account Legal Name]],Table3[[#This Row],[Top Parent Account]])</f>
        <v>NNA DEVELOPMENTS</v>
      </c>
      <c r="H2683" s="1"/>
    </row>
    <row r="2684" spans="1:8" x14ac:dyDescent="0.35">
      <c r="A2684" s="21"/>
      <c r="B2684" t="s">
        <v>970</v>
      </c>
      <c r="C2684" t="s">
        <v>6</v>
      </c>
      <c r="D2684" t="s">
        <v>3539</v>
      </c>
      <c r="F2684" s="1">
        <v>45920</v>
      </c>
      <c r="G2684" t="str">
        <f>IF(Table3[[#This Row],[Top Parent Account]]="",Table3[[#This Row],[Account Legal Name]],Table3[[#This Row],[Top Parent Account]])</f>
        <v>Enel Green Power</v>
      </c>
      <c r="H2684" s="1"/>
    </row>
    <row r="2685" spans="1:8" x14ac:dyDescent="0.35">
      <c r="A2685" s="21"/>
      <c r="B2685" t="s">
        <v>26</v>
      </c>
      <c r="C2685" t="s">
        <v>6</v>
      </c>
      <c r="D2685" t="s">
        <v>459</v>
      </c>
      <c r="E2685" t="s">
        <v>34</v>
      </c>
      <c r="F2685" s="1">
        <v>45920</v>
      </c>
      <c r="G2685" t="str">
        <f>IF(Table3[[#This Row],[Top Parent Account]]="",Table3[[#This Row],[Account Legal Name]],Table3[[#This Row],[Top Parent Account]])</f>
        <v>Haas Machine Tools</v>
      </c>
      <c r="H2685" s="1"/>
    </row>
    <row r="2686" spans="1:8" x14ac:dyDescent="0.35">
      <c r="A2686" s="21"/>
      <c r="B2686" t="s">
        <v>28</v>
      </c>
      <c r="C2686" t="s">
        <v>6</v>
      </c>
      <c r="D2686" t="s">
        <v>2289</v>
      </c>
      <c r="F2686" s="1">
        <v>45919</v>
      </c>
      <c r="G2686" t="str">
        <f>IF(Table3[[#This Row],[Top Parent Account]]="",Table3[[#This Row],[Account Legal Name]],Table3[[#This Row],[Top Parent Account]])</f>
        <v>Hg Control Y Automatización</v>
      </c>
      <c r="H2686" s="1"/>
    </row>
    <row r="2687" spans="1:8" x14ac:dyDescent="0.35">
      <c r="A2687" s="21"/>
      <c r="B2687" t="s">
        <v>3095</v>
      </c>
      <c r="C2687" t="s">
        <v>6</v>
      </c>
      <c r="D2687" t="s">
        <v>3540</v>
      </c>
      <c r="F2687" s="1">
        <v>45919</v>
      </c>
      <c r="G2687" t="str">
        <f>IF(Table3[[#This Row],[Top Parent Account]]="",Table3[[#This Row],[Account Legal Name]],Table3[[#This Row],[Top Parent Account]])</f>
        <v>Grupo Logístico Mares del Sur</v>
      </c>
      <c r="H2687" s="1"/>
    </row>
    <row r="2688" spans="1:8" x14ac:dyDescent="0.35">
      <c r="A2688" s="21"/>
      <c r="B2688" t="s">
        <v>207</v>
      </c>
      <c r="C2688" t="s">
        <v>6</v>
      </c>
      <c r="D2688" t="s">
        <v>3513</v>
      </c>
      <c r="F2688" s="1">
        <v>45919</v>
      </c>
      <c r="G2688" t="str">
        <f>IF(Table3[[#This Row],[Top Parent Account]]="",Table3[[#This Row],[Account Legal Name]],Table3[[#This Row],[Top Parent Account]])</f>
        <v>Champs Superfoods</v>
      </c>
      <c r="H2688" s="1"/>
    </row>
    <row r="2689" spans="1:8" x14ac:dyDescent="0.35">
      <c r="A2689" s="21"/>
      <c r="B2689" t="s">
        <v>14</v>
      </c>
      <c r="C2689" t="s">
        <v>6</v>
      </c>
      <c r="D2689" t="s">
        <v>3541</v>
      </c>
      <c r="F2689" s="1">
        <v>45919</v>
      </c>
      <c r="G2689" t="str">
        <f>IF(Table3[[#This Row],[Top Parent Account]]="",Table3[[#This Row],[Account Legal Name]],Table3[[#This Row],[Top Parent Account]])</f>
        <v>A &amp; F PROYECTOS METALMECANICOS</v>
      </c>
      <c r="H2689" s="1"/>
    </row>
    <row r="2690" spans="1:8" x14ac:dyDescent="0.35">
      <c r="A2690" s="21"/>
      <c r="B2690" t="s">
        <v>37</v>
      </c>
      <c r="C2690" t="s">
        <v>6</v>
      </c>
      <c r="D2690" t="s">
        <v>3514</v>
      </c>
      <c r="F2690" s="1">
        <v>45919</v>
      </c>
      <c r="G2690" t="str">
        <f>IF(Table3[[#This Row],[Top Parent Account]]="",Table3[[#This Row],[Account Legal Name]],Table3[[#This Row],[Top Parent Account]])</f>
        <v>Vsh Vigilancia y Protección</v>
      </c>
      <c r="H2690" s="1"/>
    </row>
    <row r="2691" spans="1:8" x14ac:dyDescent="0.35">
      <c r="A2691" s="21"/>
      <c r="B2691" t="s">
        <v>1006</v>
      </c>
      <c r="C2691" t="s">
        <v>6</v>
      </c>
      <c r="D2691" t="s">
        <v>3515</v>
      </c>
      <c r="F2691" s="1">
        <v>45919</v>
      </c>
      <c r="G2691" t="str">
        <f>IF(Table3[[#This Row],[Top Parent Account]]="",Table3[[#This Row],[Account Legal Name]],Table3[[#This Row],[Top Parent Account]])</f>
        <v>Valentina Fruits</v>
      </c>
      <c r="H2691" s="1"/>
    </row>
    <row r="2692" spans="1:8" x14ac:dyDescent="0.35">
      <c r="A2692" s="21"/>
      <c r="B2692" t="s">
        <v>51</v>
      </c>
      <c r="C2692" t="s">
        <v>6</v>
      </c>
      <c r="D2692" t="s">
        <v>3516</v>
      </c>
      <c r="F2692" s="1">
        <v>45919</v>
      </c>
      <c r="G2692" t="str">
        <f>IF(Table3[[#This Row],[Top Parent Account]]="",Table3[[#This Row],[Account Legal Name]],Table3[[#This Row],[Top Parent Account]])</f>
        <v>Avexpress</v>
      </c>
      <c r="H2692" s="1"/>
    </row>
    <row r="2693" spans="1:8" x14ac:dyDescent="0.35">
      <c r="A2693" s="21"/>
      <c r="B2693" t="s">
        <v>10</v>
      </c>
      <c r="C2693" t="s">
        <v>6</v>
      </c>
      <c r="D2693" t="s">
        <v>3517</v>
      </c>
      <c r="F2693" s="1">
        <v>45919</v>
      </c>
      <c r="G2693" t="str">
        <f>IF(Table3[[#This Row],[Top Parent Account]]="",Table3[[#This Row],[Account Legal Name]],Table3[[#This Row],[Top Parent Account]])</f>
        <v>Curation Foods (antes Procesadora Tanok)</v>
      </c>
      <c r="H2693" s="1"/>
    </row>
    <row r="2694" spans="1:8" x14ac:dyDescent="0.35">
      <c r="A2694" s="21"/>
      <c r="B2694" t="s">
        <v>27</v>
      </c>
      <c r="C2694" t="s">
        <v>6</v>
      </c>
      <c r="D2694" t="s">
        <v>3520</v>
      </c>
      <c r="F2694" s="1">
        <v>45919</v>
      </c>
      <c r="G2694" t="str">
        <f>IF(Table3[[#This Row],[Top Parent Account]]="",Table3[[#This Row],[Account Legal Name]],Table3[[#This Row],[Top Parent Account]])</f>
        <v>Tensa Construcciones</v>
      </c>
      <c r="H2694" s="1"/>
    </row>
    <row r="2695" spans="1:8" x14ac:dyDescent="0.35">
      <c r="A2695" s="21"/>
      <c r="B2695" t="s">
        <v>25</v>
      </c>
      <c r="C2695" t="s">
        <v>6</v>
      </c>
      <c r="D2695" t="s">
        <v>3521</v>
      </c>
      <c r="F2695" s="1">
        <v>45919</v>
      </c>
      <c r="G2695" t="str">
        <f>IF(Table3[[#This Row],[Top Parent Account]]="",Table3[[#This Row],[Account Legal Name]],Table3[[#This Row],[Top Parent Account]])</f>
        <v>Productos Lacteos El Eden</v>
      </c>
      <c r="H2695" s="1"/>
    </row>
    <row r="2696" spans="1:8" x14ac:dyDescent="0.35">
      <c r="A2696" s="21"/>
      <c r="B2696" t="s">
        <v>589</v>
      </c>
      <c r="C2696" t="s">
        <v>6</v>
      </c>
      <c r="D2696" t="s">
        <v>3522</v>
      </c>
      <c r="F2696" s="1">
        <v>45919</v>
      </c>
      <c r="G2696" t="str">
        <f>IF(Table3[[#This Row],[Top Parent Account]]="",Table3[[#This Row],[Account Legal Name]],Table3[[#This Row],[Top Parent Account]])</f>
        <v>Atro motors</v>
      </c>
      <c r="H2696" s="1"/>
    </row>
    <row r="2697" spans="1:8" x14ac:dyDescent="0.35">
      <c r="A2697" s="21"/>
      <c r="B2697" t="s">
        <v>589</v>
      </c>
      <c r="C2697" t="s">
        <v>6</v>
      </c>
      <c r="D2697" t="s">
        <v>3518</v>
      </c>
      <c r="F2697" s="1">
        <v>45919</v>
      </c>
      <c r="G2697" t="str">
        <f>IF(Table3[[#This Row],[Top Parent Account]]="",Table3[[#This Row],[Account Legal Name]],Table3[[#This Row],[Top Parent Account]])</f>
        <v>Transportes Peñaloza</v>
      </c>
      <c r="H2697" s="1"/>
    </row>
    <row r="2698" spans="1:8" x14ac:dyDescent="0.35">
      <c r="A2698" s="21"/>
      <c r="B2698" t="s">
        <v>116</v>
      </c>
      <c r="C2698" t="s">
        <v>6</v>
      </c>
      <c r="D2698" t="s">
        <v>3542</v>
      </c>
      <c r="F2698" s="1">
        <v>45919</v>
      </c>
      <c r="G2698" t="str">
        <f>IF(Table3[[#This Row],[Top Parent Account]]="",Table3[[#This Row],[Account Legal Name]],Table3[[#This Row],[Top Parent Account]])</f>
        <v>Molinos Azteca y Juper</v>
      </c>
      <c r="H2698" s="1"/>
    </row>
    <row r="2699" spans="1:8" x14ac:dyDescent="0.35">
      <c r="A2699" s="21"/>
      <c r="B2699" t="s">
        <v>208</v>
      </c>
      <c r="C2699" t="s">
        <v>6</v>
      </c>
      <c r="D2699" t="s">
        <v>3519</v>
      </c>
      <c r="F2699" s="1">
        <v>45919</v>
      </c>
      <c r="G2699" t="str">
        <f>IF(Table3[[#This Row],[Top Parent Account]]="",Table3[[#This Row],[Account Legal Name]],Table3[[#This Row],[Top Parent Account]])</f>
        <v>Mina San Miguel</v>
      </c>
      <c r="H2699" s="1"/>
    </row>
    <row r="2700" spans="1:8" x14ac:dyDescent="0.35">
      <c r="A2700" s="21"/>
      <c r="B2700" t="s">
        <v>10</v>
      </c>
      <c r="C2700" t="s">
        <v>6</v>
      </c>
      <c r="D2700" t="s">
        <v>912</v>
      </c>
      <c r="E2700" t="s">
        <v>3554</v>
      </c>
      <c r="F2700" s="1">
        <v>45919</v>
      </c>
      <c r="G2700" t="str">
        <f>IF(Table3[[#This Row],[Top Parent Account]]="",Table3[[#This Row],[Account Legal Name]],Table3[[#This Row],[Top Parent Account]])</f>
        <v>Sesajal</v>
      </c>
      <c r="H2700" s="1"/>
    </row>
    <row r="2701" spans="1:8" x14ac:dyDescent="0.35">
      <c r="A2701" s="21"/>
      <c r="B2701" t="s">
        <v>1899</v>
      </c>
      <c r="C2701" t="s">
        <v>6</v>
      </c>
      <c r="D2701" t="s">
        <v>3483</v>
      </c>
      <c r="F2701" s="1">
        <v>45918</v>
      </c>
      <c r="G2701" t="str">
        <f>IF(Table3[[#This Row],[Top Parent Account]]="",Table3[[#This Row],[Account Legal Name]],Table3[[#This Row],[Top Parent Account]])</f>
        <v>Tractores y Maquinaria Real</v>
      </c>
      <c r="H2701" s="1"/>
    </row>
    <row r="2702" spans="1:8" x14ac:dyDescent="0.35">
      <c r="A2702" s="21"/>
      <c r="B2702" t="s">
        <v>970</v>
      </c>
      <c r="C2702" t="s">
        <v>6</v>
      </c>
      <c r="D2702" t="s">
        <v>3124</v>
      </c>
      <c r="F2702" s="1">
        <v>45918</v>
      </c>
      <c r="G2702" t="str">
        <f>IF(Table3[[#This Row],[Top Parent Account]]="",Table3[[#This Row],[Account Legal Name]],Table3[[#This Row],[Top Parent Account]])</f>
        <v>Corporación Zapata</v>
      </c>
      <c r="H2702" s="1"/>
    </row>
    <row r="2703" spans="1:8" x14ac:dyDescent="0.35">
      <c r="A2703" s="21"/>
      <c r="B2703" t="s">
        <v>208</v>
      </c>
      <c r="C2703" t="s">
        <v>6</v>
      </c>
      <c r="D2703" t="s">
        <v>3484</v>
      </c>
      <c r="F2703" s="1">
        <v>45918</v>
      </c>
      <c r="G2703" t="str">
        <f>IF(Table3[[#This Row],[Top Parent Account]]="",Table3[[#This Row],[Account Legal Name]],Table3[[#This Row],[Top Parent Account]])</f>
        <v>DCVMX VALVULAS DE CONTROL MEXICO</v>
      </c>
      <c r="H2703" s="1"/>
    </row>
    <row r="2704" spans="1:8" x14ac:dyDescent="0.35">
      <c r="A2704" s="21"/>
      <c r="B2704" t="s">
        <v>12</v>
      </c>
      <c r="C2704" t="s">
        <v>6</v>
      </c>
      <c r="D2704" t="s">
        <v>3543</v>
      </c>
      <c r="E2704" t="s">
        <v>3544</v>
      </c>
      <c r="F2704" s="1">
        <v>45918</v>
      </c>
      <c r="G2704" t="str">
        <f>IF(Table3[[#This Row],[Top Parent Account]]="",Table3[[#This Row],[Account Legal Name]],Table3[[#This Row],[Top Parent Account]])</f>
        <v>MEZCLAS Y EMULSIONES PROFESIONALES</v>
      </c>
      <c r="H2704" s="1"/>
    </row>
    <row r="2705" spans="1:8" x14ac:dyDescent="0.35">
      <c r="A2705" s="21"/>
      <c r="B2705" t="s">
        <v>23</v>
      </c>
      <c r="C2705" t="s">
        <v>6</v>
      </c>
      <c r="D2705" t="s">
        <v>3485</v>
      </c>
      <c r="F2705" s="1">
        <v>45918</v>
      </c>
      <c r="G2705" t="str">
        <f>IF(Table3[[#This Row],[Top Parent Account]]="",Table3[[#This Row],[Account Legal Name]],Table3[[#This Row],[Top Parent Account]])</f>
        <v>SODETT CONSTRUCCIONES</v>
      </c>
      <c r="H2705" s="1"/>
    </row>
    <row r="2706" spans="1:8" x14ac:dyDescent="0.35">
      <c r="A2706" s="21"/>
      <c r="B2706" t="s">
        <v>2884</v>
      </c>
      <c r="C2706" t="s">
        <v>6</v>
      </c>
      <c r="D2706" t="s">
        <v>3040</v>
      </c>
      <c r="F2706" s="1">
        <v>45918</v>
      </c>
      <c r="G2706" t="str">
        <f>IF(Table3[[#This Row],[Top Parent Account]]="",Table3[[#This Row],[Account Legal Name]],Table3[[#This Row],[Top Parent Account]])</f>
        <v>Aba</v>
      </c>
      <c r="H2706" s="1"/>
    </row>
    <row r="2707" spans="1:8" x14ac:dyDescent="0.35">
      <c r="A2707" s="21"/>
      <c r="B2707" t="s">
        <v>70</v>
      </c>
      <c r="C2707" t="s">
        <v>22</v>
      </c>
      <c r="D2707" t="s">
        <v>3523</v>
      </c>
      <c r="F2707" s="1">
        <v>45918</v>
      </c>
      <c r="G2707" t="str">
        <f>IF(Table3[[#This Row],[Top Parent Account]]="",Table3[[#This Row],[Account Legal Name]],Table3[[#This Row],[Top Parent Account]])</f>
        <v>Baxter</v>
      </c>
      <c r="H2707" s="1"/>
    </row>
    <row r="2708" spans="1:8" x14ac:dyDescent="0.35">
      <c r="A2708" s="21"/>
      <c r="B2708" t="s">
        <v>2345</v>
      </c>
      <c r="C2708" t="s">
        <v>6</v>
      </c>
      <c r="D2708" t="s">
        <v>3486</v>
      </c>
      <c r="F2708" s="1">
        <v>45918</v>
      </c>
      <c r="G2708" t="str">
        <f>IF(Table3[[#This Row],[Top Parent Account]]="",Table3[[#This Row],[Account Legal Name]],Table3[[#This Row],[Top Parent Account]])</f>
        <v>AGAVES LA PATRONA</v>
      </c>
      <c r="H2708" s="1"/>
    </row>
    <row r="2709" spans="1:8" x14ac:dyDescent="0.35">
      <c r="A2709" s="21"/>
      <c r="B2709" t="s">
        <v>37</v>
      </c>
      <c r="C2709" t="s">
        <v>6</v>
      </c>
      <c r="D2709" t="s">
        <v>3856</v>
      </c>
      <c r="F2709" s="1">
        <v>45918</v>
      </c>
      <c r="G2709" t="str">
        <f>IF(Table3[[#This Row],[Top Parent Account]]="",Table3[[#This Row],[Account Legal Name]],Table3[[#This Row],[Top Parent Account]])</f>
        <v>APCO</v>
      </c>
      <c r="H2709" s="1"/>
    </row>
    <row r="2710" spans="1:8" x14ac:dyDescent="0.35">
      <c r="A2710" s="21"/>
      <c r="B2710" t="s">
        <v>1511</v>
      </c>
      <c r="C2710" t="s">
        <v>6</v>
      </c>
      <c r="D2710" t="s">
        <v>3259</v>
      </c>
      <c r="F2710" s="1">
        <v>45918</v>
      </c>
      <c r="G2710" t="str">
        <f>IF(Table3[[#This Row],[Top Parent Account]]="",Table3[[#This Row],[Account Legal Name]],Table3[[#This Row],[Top Parent Account]])</f>
        <v>GREENBRICK</v>
      </c>
      <c r="H2710" s="1"/>
    </row>
    <row r="2711" spans="1:8" x14ac:dyDescent="0.35">
      <c r="A2711" s="21"/>
      <c r="B2711" t="s">
        <v>2912</v>
      </c>
      <c r="C2711" t="s">
        <v>6</v>
      </c>
      <c r="D2711" t="s">
        <v>3487</v>
      </c>
      <c r="F2711" s="1">
        <v>45918</v>
      </c>
      <c r="G2711" t="str">
        <f>IF(Table3[[#This Row],[Top Parent Account]]="",Table3[[#This Row],[Account Legal Name]],Table3[[#This Row],[Top Parent Account]])</f>
        <v>Pintacomex</v>
      </c>
      <c r="H2711" s="1"/>
    </row>
    <row r="2712" spans="1:8" x14ac:dyDescent="0.35">
      <c r="A2712" s="21"/>
      <c r="B2712" t="s">
        <v>739</v>
      </c>
      <c r="C2712" t="s">
        <v>6</v>
      </c>
      <c r="D2712" t="s">
        <v>3524</v>
      </c>
      <c r="F2712" s="1">
        <v>45918</v>
      </c>
      <c r="G2712" t="str">
        <f>IF(Table3[[#This Row],[Top Parent Account]]="",Table3[[#This Row],[Account Legal Name]],Table3[[#This Row],[Top Parent Account]])</f>
        <v>Agfa de México</v>
      </c>
      <c r="H2712" s="1"/>
    </row>
    <row r="2713" spans="1:8" x14ac:dyDescent="0.35">
      <c r="A2713" s="21"/>
      <c r="B2713" t="s">
        <v>3182</v>
      </c>
      <c r="C2713" t="s">
        <v>3525</v>
      </c>
      <c r="D2713" t="s">
        <v>1021</v>
      </c>
      <c r="F2713" s="1">
        <v>45918</v>
      </c>
      <c r="G2713" t="str">
        <f>IF(Table3[[#This Row],[Top Parent Account]]="",Table3[[#This Row],[Account Legal Name]],Table3[[#This Row],[Top Parent Account]])</f>
        <v>Puratos de México</v>
      </c>
      <c r="H2713" s="1"/>
    </row>
    <row r="2714" spans="1:8" x14ac:dyDescent="0.35">
      <c r="A2714" s="21"/>
      <c r="B2714" t="s">
        <v>10</v>
      </c>
      <c r="C2714" t="s">
        <v>6</v>
      </c>
      <c r="D2714" t="s">
        <v>455</v>
      </c>
      <c r="F2714" s="1">
        <v>45918</v>
      </c>
      <c r="G2714" t="str">
        <f>IF(Table3[[#This Row],[Top Parent Account]]="",Table3[[#This Row],[Account Legal Name]],Table3[[#This Row],[Top Parent Account]])</f>
        <v>Convertidora Gmv</v>
      </c>
      <c r="H2714" s="1"/>
    </row>
    <row r="2715" spans="1:8" x14ac:dyDescent="0.35">
      <c r="A2715" s="21"/>
      <c r="B2715" t="s">
        <v>14</v>
      </c>
      <c r="C2715" t="s">
        <v>6</v>
      </c>
      <c r="D2715" t="s">
        <v>3545</v>
      </c>
      <c r="F2715" s="1">
        <v>45918</v>
      </c>
      <c r="G2715" t="str">
        <f>IF(Table3[[#This Row],[Top Parent Account]]="",Table3[[#This Row],[Account Legal Name]],Table3[[#This Row],[Top Parent Account]])</f>
        <v>Transporte y Autocarga Mexicana</v>
      </c>
      <c r="H2715" s="1"/>
    </row>
    <row r="2716" spans="1:8" x14ac:dyDescent="0.35">
      <c r="A2716" s="21"/>
      <c r="B2716" t="s">
        <v>38</v>
      </c>
      <c r="C2716" t="s">
        <v>6</v>
      </c>
      <c r="D2716" t="s">
        <v>3526</v>
      </c>
      <c r="F2716" s="1">
        <v>45918</v>
      </c>
      <c r="G2716" t="str">
        <f>IF(Table3[[#This Row],[Top Parent Account]]="",Table3[[#This Row],[Account Legal Name]],Table3[[#This Row],[Top Parent Account]])</f>
        <v>GLN MÉXICO</v>
      </c>
      <c r="H2716" s="1"/>
    </row>
    <row r="2717" spans="1:8" x14ac:dyDescent="0.35">
      <c r="A2717" s="21"/>
      <c r="B2717" t="s">
        <v>26</v>
      </c>
      <c r="C2717" t="s">
        <v>6</v>
      </c>
      <c r="D2717" t="s">
        <v>490</v>
      </c>
      <c r="F2717" s="1">
        <v>45918</v>
      </c>
      <c r="G2717" t="str">
        <f>IF(Table3[[#This Row],[Top Parent Account]]="",Table3[[#This Row],[Account Legal Name]],Table3[[#This Row],[Top Parent Account]])</f>
        <v>GLM Components México</v>
      </c>
      <c r="H2717" s="1"/>
    </row>
    <row r="2718" spans="1:8" x14ac:dyDescent="0.35">
      <c r="A2718" s="21"/>
      <c r="B2718" t="s">
        <v>23</v>
      </c>
      <c r="C2718" t="s">
        <v>6</v>
      </c>
      <c r="D2718" t="s">
        <v>3488</v>
      </c>
      <c r="F2718" s="1">
        <v>45918</v>
      </c>
      <c r="G2718" t="str">
        <f>IF(Table3[[#This Row],[Top Parent Account]]="",Table3[[#This Row],[Account Legal Name]],Table3[[#This Row],[Top Parent Account]])</f>
        <v>TRANSPORTE ESPECIALIZADO Y MECANICA DEL BAJIO</v>
      </c>
      <c r="H2718" s="1"/>
    </row>
    <row r="2719" spans="1:8" x14ac:dyDescent="0.35">
      <c r="A2719" s="21"/>
      <c r="B2719" t="s">
        <v>70</v>
      </c>
      <c r="C2719" t="s">
        <v>6</v>
      </c>
      <c r="D2719" t="s">
        <v>690</v>
      </c>
      <c r="E2719" t="s">
        <v>1218</v>
      </c>
      <c r="F2719" s="1">
        <v>45918</v>
      </c>
      <c r="G2719" t="str">
        <f>IF(Table3[[#This Row],[Top Parent Account]]="",Table3[[#This Row],[Account Legal Name]],Table3[[#This Row],[Top Parent Account]])</f>
        <v>Grupo Vazol (Grupo Empresarial Angeles)</v>
      </c>
      <c r="H2719" s="1"/>
    </row>
    <row r="2720" spans="1:8" x14ac:dyDescent="0.35">
      <c r="A2720" s="21"/>
      <c r="B2720" t="s">
        <v>14</v>
      </c>
      <c r="C2720" t="s">
        <v>6</v>
      </c>
      <c r="D2720" t="s">
        <v>3546</v>
      </c>
      <c r="F2720" s="1">
        <v>45918</v>
      </c>
      <c r="G2720" t="str">
        <f>IF(Table3[[#This Row],[Top Parent Account]]="",Table3[[#This Row],[Account Legal Name]],Table3[[#This Row],[Top Parent Account]])</f>
        <v>Matra Construccion</v>
      </c>
      <c r="H2720" s="1"/>
    </row>
    <row r="2721" spans="1:8" x14ac:dyDescent="0.35">
      <c r="A2721" s="21"/>
      <c r="B2721" t="s">
        <v>84</v>
      </c>
      <c r="C2721" t="s">
        <v>49</v>
      </c>
      <c r="D2721" t="s">
        <v>3489</v>
      </c>
      <c r="F2721" s="1">
        <v>45918</v>
      </c>
      <c r="G2721" t="str">
        <f>IF(Table3[[#This Row],[Top Parent Account]]="",Table3[[#This Row],[Account Legal Name]],Table3[[#This Row],[Top Parent Account]])</f>
        <v>Óptima Energía</v>
      </c>
      <c r="H2721" s="1"/>
    </row>
    <row r="2722" spans="1:8" x14ac:dyDescent="0.35">
      <c r="A2722" s="21"/>
      <c r="B2722" t="s">
        <v>932</v>
      </c>
      <c r="C2722" t="s">
        <v>6</v>
      </c>
      <c r="D2722" t="s">
        <v>2403</v>
      </c>
      <c r="F2722" s="1">
        <v>45918</v>
      </c>
      <c r="G2722" t="str">
        <f>IF(Table3[[#This Row],[Top Parent Account]]="",Table3[[#This Row],[Account Legal Name]],Table3[[#This Row],[Top Parent Account]])</f>
        <v>SEGTEC VIDRIO</v>
      </c>
      <c r="H2722" s="1"/>
    </row>
    <row r="2723" spans="1:8" x14ac:dyDescent="0.35">
      <c r="A2723" s="21"/>
      <c r="B2723" t="s">
        <v>2345</v>
      </c>
      <c r="C2723" t="s">
        <v>6</v>
      </c>
      <c r="D2723" t="s">
        <v>1093</v>
      </c>
      <c r="F2723" s="1">
        <v>45918</v>
      </c>
      <c r="G2723" t="str">
        <f>IF(Table3[[#This Row],[Top Parent Account]]="",Table3[[#This Row],[Account Legal Name]],Table3[[#This Row],[Top Parent Account]])</f>
        <v>Nb Foods</v>
      </c>
      <c r="H2723" s="1"/>
    </row>
    <row r="2724" spans="1:8" x14ac:dyDescent="0.35">
      <c r="A2724" s="21"/>
      <c r="B2724" t="s">
        <v>14</v>
      </c>
      <c r="C2724" t="s">
        <v>6</v>
      </c>
      <c r="D2724" t="s">
        <v>3547</v>
      </c>
      <c r="F2724" s="1">
        <v>45918</v>
      </c>
      <c r="G2724" t="str">
        <f>IF(Table3[[#This Row],[Top Parent Account]]="",Table3[[#This Row],[Account Legal Name]],Table3[[#This Row],[Top Parent Account]])</f>
        <v>SOLINDA</v>
      </c>
      <c r="H2724" s="1"/>
    </row>
    <row r="2725" spans="1:8" x14ac:dyDescent="0.35">
      <c r="A2725" s="21"/>
      <c r="B2725" t="s">
        <v>27</v>
      </c>
      <c r="C2725" t="s">
        <v>22</v>
      </c>
      <c r="D2725" t="s">
        <v>1284</v>
      </c>
      <c r="F2725" s="1">
        <v>45918</v>
      </c>
      <c r="G2725" t="str">
        <f>IF(Table3[[#This Row],[Top Parent Account]]="",Table3[[#This Row],[Account Legal Name]],Table3[[#This Row],[Top Parent Account]])</f>
        <v>Asfaltos Guadalajara</v>
      </c>
      <c r="H2725" s="1"/>
    </row>
    <row r="2726" spans="1:8" x14ac:dyDescent="0.35">
      <c r="A2726" s="21"/>
      <c r="B2726" t="s">
        <v>27</v>
      </c>
      <c r="C2726" t="s">
        <v>22</v>
      </c>
      <c r="D2726" t="s">
        <v>36</v>
      </c>
      <c r="F2726" s="1">
        <v>45918</v>
      </c>
      <c r="G2726" t="str">
        <f>IF(Table3[[#This Row],[Top Parent Account]]="",Table3[[#This Row],[Account Legal Name]],Table3[[#This Row],[Top Parent Account]])</f>
        <v>Grupo TRACSA</v>
      </c>
      <c r="H2726" s="1"/>
    </row>
    <row r="2727" spans="1:8" x14ac:dyDescent="0.35">
      <c r="A2727" s="21"/>
      <c r="B2727" t="s">
        <v>2693</v>
      </c>
      <c r="C2727" t="s">
        <v>6</v>
      </c>
      <c r="D2727" t="s">
        <v>3490</v>
      </c>
      <c r="F2727" s="1">
        <v>45918</v>
      </c>
      <c r="G2727" t="str">
        <f>IF(Table3[[#This Row],[Top Parent Account]]="",Table3[[#This Row],[Account Legal Name]],Table3[[#This Row],[Top Parent Account]])</f>
        <v>DISTRIBUIDORA IMOSA</v>
      </c>
      <c r="H2727" s="1"/>
    </row>
    <row r="2728" spans="1:8" x14ac:dyDescent="0.35">
      <c r="A2728" s="21"/>
      <c r="B2728" t="s">
        <v>3114</v>
      </c>
      <c r="C2728" t="s">
        <v>6</v>
      </c>
      <c r="D2728" t="s">
        <v>3527</v>
      </c>
      <c r="F2728" s="1">
        <v>45918</v>
      </c>
      <c r="G2728" t="str">
        <f>IF(Table3[[#This Row],[Top Parent Account]]="",Table3[[#This Row],[Account Legal Name]],Table3[[#This Row],[Top Parent Account]])</f>
        <v>REYPACO MX</v>
      </c>
      <c r="H2728" s="1"/>
    </row>
    <row r="2729" spans="1:8" x14ac:dyDescent="0.35">
      <c r="A2729" s="21"/>
      <c r="B2729" t="s">
        <v>25</v>
      </c>
      <c r="C2729" t="s">
        <v>6</v>
      </c>
      <c r="D2729" t="s">
        <v>1043</v>
      </c>
      <c r="F2729" s="1">
        <v>45918</v>
      </c>
      <c r="G2729" t="str">
        <f>IF(Table3[[#This Row],[Top Parent Account]]="",Table3[[#This Row],[Account Legal Name]],Table3[[#This Row],[Top Parent Account]])</f>
        <v>Concretos MJ</v>
      </c>
      <c r="H2729" s="1"/>
    </row>
    <row r="2730" spans="1:8" x14ac:dyDescent="0.35">
      <c r="A2730" s="21"/>
      <c r="B2730" t="s">
        <v>38</v>
      </c>
      <c r="C2730" t="s">
        <v>6</v>
      </c>
      <c r="D2730" t="s">
        <v>775</v>
      </c>
      <c r="F2730" s="1">
        <v>45918</v>
      </c>
      <c r="G2730" t="str">
        <f>IF(Table3[[#This Row],[Top Parent Account]]="",Table3[[#This Row],[Account Legal Name]],Table3[[#This Row],[Top Parent Account]])</f>
        <v>Industria Lechera De San Juan Del Rio</v>
      </c>
      <c r="H2730" s="1"/>
    </row>
    <row r="2731" spans="1:8" x14ac:dyDescent="0.35">
      <c r="A2731" s="21"/>
      <c r="B2731" t="s">
        <v>20</v>
      </c>
      <c r="C2731" t="s">
        <v>6</v>
      </c>
      <c r="D2731" t="s">
        <v>2889</v>
      </c>
      <c r="F2731" s="1">
        <v>45918</v>
      </c>
      <c r="G2731" t="str">
        <f>IF(Table3[[#This Row],[Top Parent Account]]="",Table3[[#This Row],[Account Legal Name]],Table3[[#This Row],[Top Parent Account]])</f>
        <v>GRUPO GONORMA DE MEXICO</v>
      </c>
      <c r="H2731" s="1"/>
    </row>
    <row r="2732" spans="1:8" x14ac:dyDescent="0.35">
      <c r="A2732" s="21"/>
      <c r="B2732" t="s">
        <v>3182</v>
      </c>
      <c r="C2732" t="s">
        <v>6</v>
      </c>
      <c r="D2732" t="s">
        <v>797</v>
      </c>
      <c r="F2732" s="1">
        <v>45918</v>
      </c>
      <c r="G2732" t="str">
        <f>IF(Table3[[#This Row],[Top Parent Account]]="",Table3[[#This Row],[Account Legal Name]],Table3[[#This Row],[Top Parent Account]])</f>
        <v>Chazki</v>
      </c>
      <c r="H2732" s="1"/>
    </row>
    <row r="2733" spans="1:8" x14ac:dyDescent="0.35">
      <c r="A2733" s="21"/>
      <c r="B2733" t="s">
        <v>12</v>
      </c>
      <c r="C2733" t="s">
        <v>6</v>
      </c>
      <c r="D2733" t="s">
        <v>3548</v>
      </c>
      <c r="F2733" s="1">
        <v>45917</v>
      </c>
      <c r="G2733" t="str">
        <f>IF(Table3[[#This Row],[Top Parent Account]]="",Table3[[#This Row],[Account Legal Name]],Table3[[#This Row],[Top Parent Account]])</f>
        <v>REDES ANTICAIDAS</v>
      </c>
      <c r="H2733" s="1"/>
    </row>
    <row r="2734" spans="1:8" x14ac:dyDescent="0.35">
      <c r="A2734" s="21"/>
      <c r="B2734" t="s">
        <v>3182</v>
      </c>
      <c r="C2734" t="s">
        <v>3491</v>
      </c>
      <c r="D2734" t="s">
        <v>1345</v>
      </c>
      <c r="F2734" s="1">
        <v>45917</v>
      </c>
      <c r="G2734" t="str">
        <f>IF(Table3[[#This Row],[Top Parent Account]]="",Table3[[#This Row],[Account Legal Name]],Table3[[#This Row],[Top Parent Account]])</f>
        <v>Productora y Comercializadora Internacional Mexicana</v>
      </c>
      <c r="H2734" s="1"/>
    </row>
    <row r="2735" spans="1:8" x14ac:dyDescent="0.35">
      <c r="A2735" s="21"/>
      <c r="B2735" t="s">
        <v>60</v>
      </c>
      <c r="C2735" t="s">
        <v>6</v>
      </c>
      <c r="D2735" t="s">
        <v>3492</v>
      </c>
      <c r="F2735" s="1">
        <v>45917</v>
      </c>
      <c r="G2735" t="str">
        <f>IF(Table3[[#This Row],[Top Parent Account]]="",Table3[[#This Row],[Account Legal Name]],Table3[[#This Row],[Top Parent Account]])</f>
        <v>AMERICAN INDUSTRIES GROUP</v>
      </c>
      <c r="H2735" s="1"/>
    </row>
    <row r="2736" spans="1:8" x14ac:dyDescent="0.35">
      <c r="A2736" s="21"/>
      <c r="B2736" t="s">
        <v>1511</v>
      </c>
      <c r="C2736" t="s">
        <v>6</v>
      </c>
      <c r="D2736" t="s">
        <v>3528</v>
      </c>
      <c r="F2736" s="1">
        <v>45917</v>
      </c>
      <c r="G2736" t="str">
        <f>IF(Table3[[#This Row],[Top Parent Account]]="",Table3[[#This Row],[Account Legal Name]],Table3[[#This Row],[Top Parent Account]])</f>
        <v>Transportes Orta</v>
      </c>
      <c r="H2736" s="1"/>
    </row>
    <row r="2737" spans="1:8" x14ac:dyDescent="0.35">
      <c r="A2737" s="21"/>
      <c r="B2737" t="s">
        <v>1511</v>
      </c>
      <c r="C2737" t="s">
        <v>6</v>
      </c>
      <c r="D2737" t="s">
        <v>3271</v>
      </c>
      <c r="F2737" s="1">
        <v>45917</v>
      </c>
      <c r="G2737" t="str">
        <f>IF(Table3[[#This Row],[Top Parent Account]]="",Table3[[#This Row],[Account Legal Name]],Table3[[#This Row],[Top Parent Account]])</f>
        <v>Vina Inmobiliaria</v>
      </c>
      <c r="H2737" s="1"/>
    </row>
    <row r="2738" spans="1:8" x14ac:dyDescent="0.35">
      <c r="A2738" s="21"/>
      <c r="B2738" t="s">
        <v>3129</v>
      </c>
      <c r="C2738" t="s">
        <v>6</v>
      </c>
      <c r="D2738" t="s">
        <v>3493</v>
      </c>
      <c r="F2738" s="1">
        <v>45917</v>
      </c>
      <c r="G2738" t="str">
        <f>IF(Table3[[#This Row],[Top Parent Account]]="",Table3[[#This Row],[Account Legal Name]],Table3[[#This Row],[Top Parent Account]])</f>
        <v>E6PR</v>
      </c>
      <c r="H2738" s="1"/>
    </row>
    <row r="2739" spans="1:8" x14ac:dyDescent="0.35">
      <c r="A2739" s="21"/>
      <c r="B2739" t="s">
        <v>14</v>
      </c>
      <c r="C2739" t="s">
        <v>6</v>
      </c>
      <c r="D2739" t="s">
        <v>575</v>
      </c>
      <c r="F2739" s="1">
        <v>45917</v>
      </c>
      <c r="G2739" t="str">
        <f>IF(Table3[[#This Row],[Top Parent Account]]="",Table3[[#This Row],[Account Legal Name]],Table3[[#This Row],[Top Parent Account]])</f>
        <v>Metalistik</v>
      </c>
      <c r="H2739" s="1"/>
    </row>
    <row r="2740" spans="1:8" x14ac:dyDescent="0.35">
      <c r="A2740" s="21"/>
      <c r="B2740" t="s">
        <v>37</v>
      </c>
      <c r="C2740" t="s">
        <v>6</v>
      </c>
      <c r="D2740" t="s">
        <v>1055</v>
      </c>
      <c r="F2740" s="1">
        <v>45917</v>
      </c>
      <c r="G2740" t="str">
        <f>IF(Table3[[#This Row],[Top Parent Account]]="",Table3[[#This Row],[Account Legal Name]],Table3[[#This Row],[Top Parent Account]])</f>
        <v>Proautomation</v>
      </c>
      <c r="H2740" s="1"/>
    </row>
    <row r="2741" spans="1:8" x14ac:dyDescent="0.35">
      <c r="A2741" s="21"/>
      <c r="B2741" t="s">
        <v>37</v>
      </c>
      <c r="C2741" t="s">
        <v>6</v>
      </c>
      <c r="D2741" t="s">
        <v>859</v>
      </c>
      <c r="F2741" s="1">
        <v>45917</v>
      </c>
      <c r="G2741" t="str">
        <f>IF(Table3[[#This Row],[Top Parent Account]]="",Table3[[#This Row],[Account Legal Name]],Table3[[#This Row],[Top Parent Account]])</f>
        <v>Montacargas y Equipamiento Industrial FIVI</v>
      </c>
      <c r="H2741" s="1"/>
    </row>
    <row r="2742" spans="1:8" x14ac:dyDescent="0.35">
      <c r="A2742" s="21"/>
      <c r="B2742" t="s">
        <v>932</v>
      </c>
      <c r="C2742" t="s">
        <v>2126</v>
      </c>
      <c r="D2742" t="s">
        <v>3549</v>
      </c>
      <c r="F2742" s="1">
        <v>45917</v>
      </c>
      <c r="G2742" t="str">
        <f>IF(Table3[[#This Row],[Top Parent Account]]="",Table3[[#This Row],[Account Legal Name]],Table3[[#This Row],[Top Parent Account]])</f>
        <v>Reactivos y Marcas de México</v>
      </c>
      <c r="H2742" s="1"/>
    </row>
    <row r="2743" spans="1:8" x14ac:dyDescent="0.35">
      <c r="A2743" s="21"/>
      <c r="B2743" t="s">
        <v>37</v>
      </c>
      <c r="C2743" t="s">
        <v>6</v>
      </c>
      <c r="D2743" t="s">
        <v>1473</v>
      </c>
      <c r="F2743" s="1">
        <v>45917</v>
      </c>
      <c r="G2743" t="str">
        <f>IF(Table3[[#This Row],[Top Parent Account]]="",Table3[[#This Row],[Account Legal Name]],Table3[[#This Row],[Top Parent Account]])</f>
        <v>GRUPO CASTAL TRANSPORTE Y LOGISTICA</v>
      </c>
      <c r="H2743" s="1"/>
    </row>
    <row r="2744" spans="1:8" x14ac:dyDescent="0.35">
      <c r="A2744" s="21"/>
      <c r="B2744" t="s">
        <v>3182</v>
      </c>
      <c r="C2744" t="s">
        <v>3529</v>
      </c>
      <c r="D2744" t="s">
        <v>3530</v>
      </c>
      <c r="F2744" s="1">
        <v>45917</v>
      </c>
      <c r="G2744" t="str">
        <f>IF(Table3[[#This Row],[Top Parent Account]]="",Table3[[#This Row],[Account Legal Name]],Table3[[#This Row],[Top Parent Account]])</f>
        <v>Bioproducts GT</v>
      </c>
      <c r="H2744" s="1"/>
    </row>
    <row r="2745" spans="1:8" x14ac:dyDescent="0.35">
      <c r="A2745" s="21"/>
      <c r="B2745" t="s">
        <v>14</v>
      </c>
      <c r="C2745" t="s">
        <v>6</v>
      </c>
      <c r="D2745" t="s">
        <v>872</v>
      </c>
      <c r="F2745" s="1">
        <v>45917</v>
      </c>
      <c r="G2745" t="str">
        <f>IF(Table3[[#This Row],[Top Parent Account]]="",Table3[[#This Row],[Account Legal Name]],Table3[[#This Row],[Top Parent Account]])</f>
        <v>Fastpack Industrial</v>
      </c>
      <c r="H2745" s="1"/>
    </row>
    <row r="2746" spans="1:8" x14ac:dyDescent="0.35">
      <c r="A2746" s="21"/>
      <c r="B2746" t="s">
        <v>60</v>
      </c>
      <c r="C2746" t="s">
        <v>6</v>
      </c>
      <c r="D2746" t="s">
        <v>3494</v>
      </c>
      <c r="F2746" s="1">
        <v>45917</v>
      </c>
      <c r="G2746" t="str">
        <f>IF(Table3[[#This Row],[Top Parent Account]]="",Table3[[#This Row],[Account Legal Name]],Table3[[#This Row],[Top Parent Account]])</f>
        <v>Médica Santa Carmen</v>
      </c>
      <c r="H2746" s="1"/>
    </row>
    <row r="2747" spans="1:8" x14ac:dyDescent="0.35">
      <c r="A2747" s="21"/>
      <c r="B2747" t="s">
        <v>88</v>
      </c>
      <c r="C2747" t="s">
        <v>6</v>
      </c>
      <c r="D2747" t="s">
        <v>839</v>
      </c>
      <c r="F2747" s="1">
        <v>45917</v>
      </c>
      <c r="G2747" t="str">
        <f>IF(Table3[[#This Row],[Top Parent Account]]="",Table3[[#This Row],[Account Legal Name]],Table3[[#This Row],[Top Parent Account]])</f>
        <v>Hacienda de Oro</v>
      </c>
      <c r="H2747" s="1"/>
    </row>
    <row r="2748" spans="1:8" x14ac:dyDescent="0.35">
      <c r="A2748" s="21"/>
      <c r="B2748" t="s">
        <v>70</v>
      </c>
      <c r="C2748" t="s">
        <v>22</v>
      </c>
      <c r="D2748" t="s">
        <v>981</v>
      </c>
      <c r="F2748" s="1">
        <v>45917</v>
      </c>
      <c r="G2748" t="str">
        <f>IF(Table3[[#This Row],[Top Parent Account]]="",Table3[[#This Row],[Account Legal Name]],Table3[[#This Row],[Top Parent Account]])</f>
        <v>Medical Scope</v>
      </c>
      <c r="H2748" s="1"/>
    </row>
    <row r="2749" spans="1:8" x14ac:dyDescent="0.35">
      <c r="A2749" s="21"/>
      <c r="B2749" t="s">
        <v>207</v>
      </c>
      <c r="C2749" t="s">
        <v>6</v>
      </c>
      <c r="D2749" t="s">
        <v>3495</v>
      </c>
      <c r="F2749" s="1">
        <v>45917</v>
      </c>
      <c r="G2749" t="str">
        <f>IF(Table3[[#This Row],[Top Parent Account]]="",Table3[[#This Row],[Account Legal Name]],Table3[[#This Row],[Top Parent Account]])</f>
        <v>Ormco de Mexico</v>
      </c>
      <c r="H2749" s="1"/>
    </row>
    <row r="2750" spans="1:8" x14ac:dyDescent="0.35">
      <c r="A2750" s="21"/>
      <c r="B2750" t="s">
        <v>28</v>
      </c>
      <c r="C2750" t="s">
        <v>6</v>
      </c>
      <c r="D2750" t="s">
        <v>2137</v>
      </c>
      <c r="F2750" s="1">
        <v>45917</v>
      </c>
      <c r="G2750" t="str">
        <f>IF(Table3[[#This Row],[Top Parent Account]]="",Table3[[#This Row],[Account Legal Name]],Table3[[#This Row],[Top Parent Account]])</f>
        <v>Autosistemas De Torreon</v>
      </c>
      <c r="H2750" s="1"/>
    </row>
    <row r="2751" spans="1:8" x14ac:dyDescent="0.35">
      <c r="A2751" s="21"/>
      <c r="B2751" t="s">
        <v>116</v>
      </c>
      <c r="C2751" t="s">
        <v>22</v>
      </c>
      <c r="D2751" t="s">
        <v>638</v>
      </c>
      <c r="F2751" s="1">
        <v>45917</v>
      </c>
      <c r="G2751" t="str">
        <f>IF(Table3[[#This Row],[Top Parent Account]]="",Table3[[#This Row],[Account Legal Name]],Table3[[#This Row],[Top Parent Account]])</f>
        <v>Natural de Alimentos</v>
      </c>
      <c r="H2751" s="1"/>
    </row>
    <row r="2752" spans="1:8" x14ac:dyDescent="0.35">
      <c r="A2752" s="21"/>
      <c r="B2752" t="s">
        <v>208</v>
      </c>
      <c r="C2752" t="s">
        <v>6</v>
      </c>
      <c r="D2752" t="s">
        <v>396</v>
      </c>
      <c r="F2752" s="1">
        <v>45917</v>
      </c>
      <c r="G2752" t="str">
        <f>IF(Table3[[#This Row],[Top Parent Account]]="",Table3[[#This Row],[Account Legal Name]],Table3[[#This Row],[Top Parent Account]])</f>
        <v>Fletes y Transportes Ruiz</v>
      </c>
      <c r="H2752" s="1"/>
    </row>
    <row r="2753" spans="1:8" x14ac:dyDescent="0.35">
      <c r="A2753" s="21"/>
      <c r="B2753" t="s">
        <v>3182</v>
      </c>
      <c r="C2753" t="s">
        <v>3496</v>
      </c>
      <c r="D2753" t="s">
        <v>3497</v>
      </c>
      <c r="F2753" s="1">
        <v>45917</v>
      </c>
      <c r="G2753" t="str">
        <f>IF(Table3[[#This Row],[Top Parent Account]]="",Table3[[#This Row],[Account Legal Name]],Table3[[#This Row],[Top Parent Account]])</f>
        <v>Possehl México</v>
      </c>
      <c r="H2753" s="1"/>
    </row>
    <row r="2754" spans="1:8" x14ac:dyDescent="0.35">
      <c r="A2754" s="21"/>
      <c r="B2754" t="s">
        <v>14</v>
      </c>
      <c r="C2754" t="s">
        <v>6</v>
      </c>
      <c r="D2754" t="s">
        <v>3550</v>
      </c>
      <c r="F2754" s="1">
        <v>45917</v>
      </c>
      <c r="G2754" t="str">
        <f>IF(Table3[[#This Row],[Top Parent Account]]="",Table3[[#This Row],[Account Legal Name]],Table3[[#This Row],[Top Parent Account]])</f>
        <v>Enlaces Mapa</v>
      </c>
      <c r="H2754" s="1"/>
    </row>
    <row r="2755" spans="1:8" x14ac:dyDescent="0.35">
      <c r="A2755" s="21"/>
      <c r="B2755" t="s">
        <v>32</v>
      </c>
      <c r="C2755" t="s">
        <v>6</v>
      </c>
      <c r="D2755" t="s">
        <v>495</v>
      </c>
      <c r="F2755" s="1">
        <v>45917</v>
      </c>
      <c r="G2755" t="str">
        <f>IF(Table3[[#This Row],[Top Parent Account]]="",Table3[[#This Row],[Account Legal Name]],Table3[[#This Row],[Top Parent Account]])</f>
        <v>Mota-Engil México</v>
      </c>
      <c r="H2755" s="1"/>
    </row>
    <row r="2756" spans="1:8" x14ac:dyDescent="0.35">
      <c r="A2756" s="21"/>
      <c r="B2756" t="s">
        <v>60</v>
      </c>
      <c r="C2756" t="s">
        <v>6</v>
      </c>
      <c r="D2756" t="s">
        <v>3498</v>
      </c>
      <c r="F2756" s="1">
        <v>45917</v>
      </c>
      <c r="G2756" t="str">
        <f>IF(Table3[[#This Row],[Top Parent Account]]="",Table3[[#This Row],[Account Legal Name]],Table3[[#This Row],[Top Parent Account]])</f>
        <v>Reiner Nafta</v>
      </c>
      <c r="H2756" s="1"/>
    </row>
    <row r="2757" spans="1:8" x14ac:dyDescent="0.35">
      <c r="A2757" s="21"/>
      <c r="B2757" t="s">
        <v>3093</v>
      </c>
      <c r="C2757" t="s">
        <v>6</v>
      </c>
      <c r="D2757" t="s">
        <v>3499</v>
      </c>
      <c r="F2757" s="1">
        <v>45917</v>
      </c>
      <c r="G2757" t="str">
        <f>IF(Table3[[#This Row],[Top Parent Account]]="",Table3[[#This Row],[Account Legal Name]],Table3[[#This Row],[Top Parent Account]])</f>
        <v>Altopro</v>
      </c>
      <c r="H2757" s="1"/>
    </row>
    <row r="2758" spans="1:8" x14ac:dyDescent="0.35">
      <c r="A2758" s="21"/>
      <c r="B2758" t="s">
        <v>10</v>
      </c>
      <c r="C2758" t="s">
        <v>6</v>
      </c>
      <c r="D2758" t="s">
        <v>593</v>
      </c>
      <c r="F2758" s="1">
        <v>45917</v>
      </c>
      <c r="G2758" t="str">
        <f>IF(Table3[[#This Row],[Top Parent Account]]="",Table3[[#This Row],[Account Legal Name]],Table3[[#This Row],[Top Parent Account]])</f>
        <v>Armasel</v>
      </c>
      <c r="H2758" s="1"/>
    </row>
    <row r="2759" spans="1:8" x14ac:dyDescent="0.35">
      <c r="A2759" s="21"/>
      <c r="B2759" t="s">
        <v>2884</v>
      </c>
      <c r="C2759" t="s">
        <v>6</v>
      </c>
      <c r="D2759" t="s">
        <v>3531</v>
      </c>
      <c r="F2759" s="1">
        <v>45917</v>
      </c>
      <c r="G2759" t="str">
        <f>IF(Table3[[#This Row],[Top Parent Account]]="",Table3[[#This Row],[Account Legal Name]],Table3[[#This Row],[Top Parent Account]])</f>
        <v>AGROPECUARIA FINANCIERA</v>
      </c>
      <c r="H2759" s="1"/>
    </row>
    <row r="2760" spans="1:8" x14ac:dyDescent="0.35">
      <c r="A2760" s="21"/>
      <c r="B2760" t="s">
        <v>70</v>
      </c>
      <c r="C2760" t="s">
        <v>6</v>
      </c>
      <c r="D2760" t="s">
        <v>3532</v>
      </c>
      <c r="F2760" s="1">
        <v>45917</v>
      </c>
      <c r="G2760" t="str">
        <f>IF(Table3[[#This Row],[Top Parent Account]]="",Table3[[#This Row],[Account Legal Name]],Table3[[#This Row],[Top Parent Account]])</f>
        <v>Hospital HR Regiomontano</v>
      </c>
      <c r="H2760" s="1"/>
    </row>
    <row r="2761" spans="1:8" x14ac:dyDescent="0.35">
      <c r="A2761" s="21"/>
      <c r="B2761" t="s">
        <v>3182</v>
      </c>
      <c r="C2761" t="s">
        <v>6</v>
      </c>
      <c r="D2761" t="s">
        <v>402</v>
      </c>
      <c r="F2761" s="1">
        <v>45917</v>
      </c>
      <c r="G2761" t="str">
        <f>IF(Table3[[#This Row],[Top Parent Account]]="",Table3[[#This Row],[Account Legal Name]],Table3[[#This Row],[Top Parent Account]])</f>
        <v>Bocar</v>
      </c>
      <c r="H2761" s="1"/>
    </row>
    <row r="2762" spans="1:8" x14ac:dyDescent="0.35">
      <c r="A2762" s="21"/>
      <c r="B2762" t="s">
        <v>39</v>
      </c>
      <c r="C2762" t="s">
        <v>3501</v>
      </c>
      <c r="D2762" t="s">
        <v>2537</v>
      </c>
      <c r="F2762" s="1">
        <v>45917</v>
      </c>
      <c r="G2762" t="str">
        <f>IF(Table3[[#This Row],[Top Parent Account]]="",Table3[[#This Row],[Account Legal Name]],Table3[[#This Row],[Top Parent Account]])</f>
        <v>Salsas Castillo</v>
      </c>
      <c r="H2762" s="1"/>
    </row>
    <row r="2763" spans="1:8" x14ac:dyDescent="0.35">
      <c r="A2763" s="21"/>
      <c r="B2763" t="s">
        <v>25</v>
      </c>
      <c r="C2763" t="s">
        <v>6</v>
      </c>
      <c r="D2763" t="s">
        <v>3533</v>
      </c>
      <c r="F2763" s="1">
        <v>45917</v>
      </c>
      <c r="G2763" t="str">
        <f>IF(Table3[[#This Row],[Top Parent Account]]="",Table3[[#This Row],[Account Legal Name]],Table3[[#This Row],[Top Parent Account]])</f>
        <v>MARTIN SPROCKET &amp; GEAR DE MEXICO</v>
      </c>
      <c r="H2763" s="1"/>
    </row>
    <row r="2764" spans="1:8" x14ac:dyDescent="0.35">
      <c r="A2764" s="21"/>
      <c r="B2764" t="s">
        <v>925</v>
      </c>
      <c r="C2764" t="s">
        <v>6</v>
      </c>
      <c r="D2764" t="s">
        <v>3500</v>
      </c>
      <c r="F2764" s="1">
        <v>45917</v>
      </c>
      <c r="G2764" t="str">
        <f>IF(Table3[[#This Row],[Top Parent Account]]="",Table3[[#This Row],[Account Legal Name]],Table3[[#This Row],[Top Parent Account]])</f>
        <v>EMINIC INDUSTRIAS</v>
      </c>
      <c r="H2764" s="1"/>
    </row>
    <row r="2765" spans="1:8" x14ac:dyDescent="0.35">
      <c r="A2765" s="21"/>
      <c r="B2765" t="s">
        <v>2693</v>
      </c>
      <c r="C2765" t="s">
        <v>6</v>
      </c>
      <c r="D2765" t="s">
        <v>3502</v>
      </c>
      <c r="E2765" t="s">
        <v>3503</v>
      </c>
      <c r="F2765" s="1">
        <v>45917</v>
      </c>
      <c r="G2765" t="str">
        <f>IF(Table3[[#This Row],[Top Parent Account]]="",Table3[[#This Row],[Account Legal Name]],Table3[[#This Row],[Top Parent Account]])</f>
        <v>ARG-PALMAR AGRONEGOCIOS</v>
      </c>
      <c r="H2765" s="1"/>
    </row>
    <row r="2766" spans="1:8" x14ac:dyDescent="0.35">
      <c r="A2766" s="21"/>
      <c r="B2766" t="s">
        <v>3114</v>
      </c>
      <c r="C2766" t="s">
        <v>52</v>
      </c>
      <c r="D2766" t="s">
        <v>3116</v>
      </c>
      <c r="E2766" t="s">
        <v>4110</v>
      </c>
      <c r="F2766" s="1">
        <v>45917</v>
      </c>
      <c r="G2766" t="str">
        <f>IF(Table3[[#This Row],[Top Parent Account]]="",Table3[[#This Row],[Account Legal Name]],Table3[[#This Row],[Top Parent Account]])</f>
        <v>Aleciones Y Metales Industriales</v>
      </c>
      <c r="H2766" s="1"/>
    </row>
    <row r="2767" spans="1:8" x14ac:dyDescent="0.35">
      <c r="A2767" s="21"/>
      <c r="B2767" t="s">
        <v>60</v>
      </c>
      <c r="C2767" t="s">
        <v>6</v>
      </c>
      <c r="D2767" t="s">
        <v>3504</v>
      </c>
      <c r="F2767" s="1">
        <v>45917</v>
      </c>
      <c r="G2767" t="str">
        <f>IF(Table3[[#This Row],[Top Parent Account]]="",Table3[[#This Row],[Account Legal Name]],Table3[[#This Row],[Top Parent Account]])</f>
        <v>Mankiewicz México y Compañía</v>
      </c>
      <c r="H2767" s="1"/>
    </row>
    <row r="2768" spans="1:8" x14ac:dyDescent="0.35">
      <c r="A2768" s="21"/>
      <c r="B2768" t="s">
        <v>2912</v>
      </c>
      <c r="C2768" t="s">
        <v>6</v>
      </c>
      <c r="D2768" t="s">
        <v>3505</v>
      </c>
      <c r="F2768" s="1">
        <v>45917</v>
      </c>
      <c r="G2768" t="str">
        <f>IF(Table3[[#This Row],[Top Parent Account]]="",Table3[[#This Row],[Account Legal Name]],Table3[[#This Row],[Top Parent Account]])</f>
        <v>Kua Mex Foods</v>
      </c>
      <c r="H2768" s="1"/>
    </row>
    <row r="2769" spans="1:8" x14ac:dyDescent="0.35">
      <c r="A2769" s="21"/>
      <c r="B2769" t="s">
        <v>172</v>
      </c>
      <c r="C2769" t="s">
        <v>6</v>
      </c>
      <c r="D2769" t="s">
        <v>3534</v>
      </c>
      <c r="F2769" s="1">
        <v>45916</v>
      </c>
      <c r="G2769" t="str">
        <f>IF(Table3[[#This Row],[Top Parent Account]]="",Table3[[#This Row],[Account Legal Name]],Table3[[#This Row],[Top Parent Account]])</f>
        <v>Imprenta Perches</v>
      </c>
      <c r="H2769" s="1"/>
    </row>
    <row r="2770" spans="1:8" x14ac:dyDescent="0.35">
      <c r="A2770" s="21"/>
      <c r="B2770" t="s">
        <v>77</v>
      </c>
      <c r="C2770" t="s">
        <v>6</v>
      </c>
      <c r="D2770" t="s">
        <v>3535</v>
      </c>
      <c r="F2770" s="1">
        <v>45916</v>
      </c>
      <c r="G2770" t="str">
        <f>IF(Table3[[#This Row],[Top Parent Account]]="",Table3[[#This Row],[Account Legal Name]],Table3[[#This Row],[Top Parent Account]])</f>
        <v>Aeropuerto Del Sur de Chihuahua</v>
      </c>
      <c r="H2770" s="1"/>
    </row>
    <row r="2771" spans="1:8" x14ac:dyDescent="0.35">
      <c r="A2771" s="21"/>
      <c r="B2771" t="s">
        <v>375</v>
      </c>
      <c r="C2771" t="s">
        <v>6</v>
      </c>
      <c r="D2771" t="s">
        <v>1426</v>
      </c>
      <c r="F2771" s="1">
        <v>45915</v>
      </c>
      <c r="G2771" t="str">
        <f>IF(Table3[[#This Row],[Top Parent Account]]="",Table3[[#This Row],[Account Legal Name]],Table3[[#This Row],[Top Parent Account]])</f>
        <v>Silodisa Servicio Integral De Logística y Distribución</v>
      </c>
      <c r="H2771" s="1"/>
    </row>
    <row r="2772" spans="1:8" x14ac:dyDescent="0.35">
      <c r="A2772" s="21"/>
      <c r="B2772" t="s">
        <v>29</v>
      </c>
      <c r="C2772" t="s">
        <v>6</v>
      </c>
      <c r="D2772" t="s">
        <v>122</v>
      </c>
      <c r="F2772" s="1">
        <v>45915</v>
      </c>
      <c r="G2772" t="str">
        <f>IF(Table3[[#This Row],[Top Parent Account]]="",Table3[[#This Row],[Account Legal Name]],Table3[[#This Row],[Top Parent Account]])</f>
        <v>Etiquetas Electronicas de Occidente</v>
      </c>
      <c r="H2772" s="1"/>
    </row>
    <row r="2773" spans="1:8" x14ac:dyDescent="0.35">
      <c r="A2773" s="21"/>
      <c r="B2773" t="s">
        <v>375</v>
      </c>
      <c r="C2773" t="s">
        <v>6</v>
      </c>
      <c r="D2773" t="s">
        <v>1234</v>
      </c>
      <c r="E2773" t="s">
        <v>1280</v>
      </c>
      <c r="F2773" s="1">
        <v>45915</v>
      </c>
      <c r="G2773" t="str">
        <f>IF(Table3[[#This Row],[Top Parent Account]]="",Table3[[#This Row],[Account Legal Name]],Table3[[#This Row],[Top Parent Account]])</f>
        <v>Saint Gobain Sekurit Servicios</v>
      </c>
      <c r="H2773" s="1"/>
    </row>
    <row r="2774" spans="1:8" x14ac:dyDescent="0.35">
      <c r="A2774" s="21"/>
      <c r="B2774" t="s">
        <v>280</v>
      </c>
      <c r="C2774" t="s">
        <v>6</v>
      </c>
      <c r="D2774" t="s">
        <v>3506</v>
      </c>
      <c r="E2774" t="s">
        <v>3536</v>
      </c>
      <c r="F2774" s="1">
        <v>45915</v>
      </c>
      <c r="G2774" t="str">
        <f>IF(Table3[[#This Row],[Top Parent Account]]="",Table3[[#This Row],[Account Legal Name]],Table3[[#This Row],[Top Parent Account]])</f>
        <v>AVI G SERCOM</v>
      </c>
      <c r="H2774" s="1"/>
    </row>
    <row r="2775" spans="1:8" x14ac:dyDescent="0.35">
      <c r="A2775" s="21"/>
      <c r="B2775" t="s">
        <v>739</v>
      </c>
      <c r="C2775" t="s">
        <v>6</v>
      </c>
      <c r="D2775" t="s">
        <v>3507</v>
      </c>
      <c r="F2775" s="1">
        <v>45915</v>
      </c>
      <c r="G2775" t="str">
        <f>IF(Table3[[#This Row],[Top Parent Account]]="",Table3[[#This Row],[Account Legal Name]],Table3[[#This Row],[Top Parent Account]])</f>
        <v>SISTEMAS TECNICOS DE INFORMACION Y AVANCE</v>
      </c>
      <c r="H2775" s="1"/>
    </row>
    <row r="2776" spans="1:8" x14ac:dyDescent="0.35">
      <c r="A2776" s="21"/>
      <c r="B2776" t="s">
        <v>32</v>
      </c>
      <c r="C2776" t="s">
        <v>6</v>
      </c>
      <c r="D2776" t="s">
        <v>426</v>
      </c>
      <c r="F2776" s="1">
        <v>45915</v>
      </c>
      <c r="G2776" t="str">
        <f>IF(Table3[[#This Row],[Top Parent Account]]="",Table3[[#This Row],[Account Legal Name]],Table3[[#This Row],[Top Parent Account]])</f>
        <v>Aaacesa Almacenes Fiscalizados</v>
      </c>
      <c r="H2776" s="1"/>
    </row>
    <row r="2777" spans="1:8" x14ac:dyDescent="0.35">
      <c r="A2777" s="21"/>
      <c r="B2777" t="s">
        <v>70</v>
      </c>
      <c r="C2777" t="s">
        <v>22</v>
      </c>
      <c r="D2777" t="s">
        <v>555</v>
      </c>
      <c r="F2777" s="1">
        <v>45915</v>
      </c>
      <c r="G2777" t="str">
        <f>IF(Table3[[#This Row],[Top Parent Account]]="",Table3[[#This Row],[Account Legal Name]],Table3[[#This Row],[Top Parent Account]])</f>
        <v>Hospital Ingles</v>
      </c>
      <c r="H2777" s="1"/>
    </row>
    <row r="2778" spans="1:8" x14ac:dyDescent="0.35">
      <c r="A2778" s="21"/>
      <c r="B2778" t="s">
        <v>3175</v>
      </c>
      <c r="C2778" t="s">
        <v>6</v>
      </c>
      <c r="D2778" t="s">
        <v>3508</v>
      </c>
      <c r="F2778" s="1">
        <v>45915</v>
      </c>
      <c r="G2778" t="str">
        <f>IF(Table3[[#This Row],[Top Parent Account]]="",Table3[[#This Row],[Account Legal Name]],Table3[[#This Row],[Top Parent Account]])</f>
        <v>Dragon Cargo</v>
      </c>
      <c r="H2778" s="1"/>
    </row>
    <row r="2779" spans="1:8" x14ac:dyDescent="0.35">
      <c r="A2779" s="21"/>
      <c r="B2779" t="s">
        <v>25</v>
      </c>
      <c r="C2779" t="s">
        <v>6</v>
      </c>
      <c r="D2779" t="s">
        <v>3509</v>
      </c>
      <c r="F2779" s="1">
        <v>45915</v>
      </c>
      <c r="G2779" t="str">
        <f>IF(Table3[[#This Row],[Top Parent Account]]="",Table3[[#This Row],[Account Legal Name]],Table3[[#This Row],[Top Parent Account]])</f>
        <v>Entia de México</v>
      </c>
      <c r="H2779" s="1"/>
    </row>
    <row r="2780" spans="1:8" x14ac:dyDescent="0.35">
      <c r="A2780" s="21"/>
      <c r="B2780" t="s">
        <v>3114</v>
      </c>
      <c r="C2780" t="s">
        <v>3537</v>
      </c>
      <c r="D2780" t="s">
        <v>3538</v>
      </c>
      <c r="F2780" s="1">
        <v>45915</v>
      </c>
      <c r="G2780" t="str">
        <f>IF(Table3[[#This Row],[Top Parent Account]]="",Table3[[#This Row],[Account Legal Name]],Table3[[#This Row],[Top Parent Account]])</f>
        <v>Quick Shine Cleaning Service</v>
      </c>
      <c r="H2780" s="1"/>
    </row>
    <row r="2781" spans="1:8" x14ac:dyDescent="0.35">
      <c r="A2781" s="21"/>
      <c r="B2781" t="s">
        <v>60</v>
      </c>
      <c r="C2781" t="s">
        <v>6</v>
      </c>
      <c r="D2781" t="s">
        <v>3510</v>
      </c>
      <c r="F2781" s="1">
        <v>45915</v>
      </c>
      <c r="G2781" t="str">
        <f>IF(Table3[[#This Row],[Top Parent Account]]="",Table3[[#This Row],[Account Legal Name]],Table3[[#This Row],[Top Parent Account]])</f>
        <v>Garmo Industrial</v>
      </c>
      <c r="H2781" s="1"/>
    </row>
    <row r="2782" spans="1:8" x14ac:dyDescent="0.35">
      <c r="A2782" s="21"/>
      <c r="B2782" t="s">
        <v>32</v>
      </c>
      <c r="C2782" t="s">
        <v>6</v>
      </c>
      <c r="D2782" t="s">
        <v>953</v>
      </c>
      <c r="F2782" s="1">
        <v>45915</v>
      </c>
      <c r="G2782" t="str">
        <f>IF(Table3[[#This Row],[Top Parent Account]]="",Table3[[#This Row],[Account Legal Name]],Table3[[#This Row],[Top Parent Account]])</f>
        <v>Kensa Logistics México</v>
      </c>
      <c r="H2782" s="1"/>
    </row>
    <row r="2783" spans="1:8" x14ac:dyDescent="0.35">
      <c r="A2783" s="21"/>
      <c r="B2783" t="s">
        <v>1511</v>
      </c>
      <c r="C2783" t="s">
        <v>6</v>
      </c>
      <c r="D2783" t="s">
        <v>3444</v>
      </c>
      <c r="F2783" s="1">
        <v>45912</v>
      </c>
      <c r="G2783" t="str">
        <f>IF(Table3[[#This Row],[Top Parent Account]]="",Table3[[#This Row],[Account Legal Name]],Table3[[#This Row],[Top Parent Account]])</f>
        <v>Madero Equipos De Ordeño</v>
      </c>
      <c r="H2783" s="1"/>
    </row>
    <row r="2784" spans="1:8" x14ac:dyDescent="0.35">
      <c r="A2784" s="21"/>
      <c r="B2784" t="s">
        <v>7</v>
      </c>
      <c r="C2784" t="s">
        <v>3511</v>
      </c>
      <c r="D2784" t="s">
        <v>3445</v>
      </c>
      <c r="F2784" s="1">
        <v>45912</v>
      </c>
      <c r="G2784" t="str">
        <f>IF(Table3[[#This Row],[Top Parent Account]]="",Table3[[#This Row],[Account Legal Name]],Table3[[#This Row],[Top Parent Account]])</f>
        <v>Copachisa</v>
      </c>
      <c r="H2784" s="1"/>
    </row>
    <row r="2785" spans="1:8" x14ac:dyDescent="0.35">
      <c r="A2785" s="21"/>
      <c r="B2785" t="s">
        <v>1511</v>
      </c>
      <c r="C2785" t="s">
        <v>6</v>
      </c>
      <c r="D2785" t="s">
        <v>3444</v>
      </c>
      <c r="F2785" s="1">
        <v>45912</v>
      </c>
      <c r="G2785" t="str">
        <f>IF(Table3[[#This Row],[Top Parent Account]]="",Table3[[#This Row],[Account Legal Name]],Table3[[#This Row],[Top Parent Account]])</f>
        <v>Madero Equipos De Ordeño</v>
      </c>
      <c r="H2785" s="1"/>
    </row>
    <row r="2786" spans="1:8" x14ac:dyDescent="0.35">
      <c r="A2786" s="21"/>
      <c r="B2786" t="s">
        <v>207</v>
      </c>
      <c r="C2786" t="s">
        <v>6</v>
      </c>
      <c r="D2786" t="s">
        <v>3250</v>
      </c>
      <c r="E2786" t="s">
        <v>224</v>
      </c>
      <c r="F2786" s="1">
        <v>45912</v>
      </c>
      <c r="G2786" t="str">
        <f>IF(Table3[[#This Row],[Top Parent Account]]="",Table3[[#This Row],[Account Legal Name]],Table3[[#This Row],[Top Parent Account]])</f>
        <v>Atelier Post CO</v>
      </c>
      <c r="H2786" s="1"/>
    </row>
    <row r="2787" spans="1:8" x14ac:dyDescent="0.35">
      <c r="A2787" s="21"/>
      <c r="B2787" t="s">
        <v>3093</v>
      </c>
      <c r="C2787" t="s">
        <v>6</v>
      </c>
      <c r="D2787" t="s">
        <v>399</v>
      </c>
      <c r="F2787" s="1">
        <v>45912</v>
      </c>
      <c r="G2787" t="str">
        <f>IF(Table3[[#This Row],[Top Parent Account]]="",Table3[[#This Row],[Account Legal Name]],Table3[[#This Row],[Top Parent Account]])</f>
        <v>Grupo Corporativo Papelera</v>
      </c>
      <c r="H2787" s="1"/>
    </row>
    <row r="2788" spans="1:8" x14ac:dyDescent="0.35">
      <c r="A2788" s="21"/>
      <c r="B2788" t="s">
        <v>3182</v>
      </c>
      <c r="C2788" t="s">
        <v>22</v>
      </c>
      <c r="D2788" t="s">
        <v>901</v>
      </c>
      <c r="F2788" s="1">
        <v>45912</v>
      </c>
      <c r="G2788" t="str">
        <f>IF(Table3[[#This Row],[Top Parent Account]]="",Table3[[#This Row],[Account Legal Name]],Table3[[#This Row],[Top Parent Account]])</f>
        <v>Criogas</v>
      </c>
      <c r="H2788" s="1"/>
    </row>
    <row r="2789" spans="1:8" x14ac:dyDescent="0.35">
      <c r="A2789" s="21"/>
      <c r="B2789" t="s">
        <v>27</v>
      </c>
      <c r="C2789" t="s">
        <v>6</v>
      </c>
      <c r="D2789" t="s">
        <v>1286</v>
      </c>
      <c r="F2789" s="1">
        <v>45912</v>
      </c>
      <c r="G2789" t="str">
        <f>IF(Table3[[#This Row],[Top Parent Account]]="",Table3[[#This Row],[Account Legal Name]],Table3[[#This Row],[Top Parent Account]])</f>
        <v>Coliman Frutas Finas</v>
      </c>
      <c r="H2789" s="1"/>
    </row>
    <row r="2790" spans="1:8" x14ac:dyDescent="0.35">
      <c r="A2790" s="21"/>
      <c r="B2790" t="s">
        <v>116</v>
      </c>
      <c r="C2790" t="s">
        <v>6</v>
      </c>
      <c r="D2790" t="s">
        <v>1061</v>
      </c>
      <c r="F2790" s="1">
        <v>45912</v>
      </c>
      <c r="G2790" t="str">
        <f>IF(Table3[[#This Row],[Top Parent Account]]="",Table3[[#This Row],[Account Legal Name]],Table3[[#This Row],[Top Parent Account]])</f>
        <v>Lácteos Mojica</v>
      </c>
      <c r="H2790" s="1"/>
    </row>
    <row r="2791" spans="1:8" x14ac:dyDescent="0.35">
      <c r="A2791" s="21"/>
      <c r="B2791" t="s">
        <v>3182</v>
      </c>
      <c r="C2791" t="s">
        <v>22</v>
      </c>
      <c r="D2791" t="s">
        <v>3480</v>
      </c>
      <c r="F2791" s="1">
        <v>45912</v>
      </c>
      <c r="G2791" t="str">
        <f>IF(Table3[[#This Row],[Top Parent Account]]="",Table3[[#This Row],[Account Legal Name]],Table3[[#This Row],[Top Parent Account]])</f>
        <v>ADM Bio-Productos</v>
      </c>
      <c r="H2791" s="1"/>
    </row>
    <row r="2792" spans="1:8" x14ac:dyDescent="0.35">
      <c r="A2792" s="21"/>
      <c r="B2792" t="s">
        <v>18</v>
      </c>
      <c r="C2792" t="s">
        <v>6</v>
      </c>
      <c r="D2792" t="s">
        <v>3447</v>
      </c>
      <c r="F2792" s="1">
        <v>45912</v>
      </c>
      <c r="G2792" t="str">
        <f>IF(Table3[[#This Row],[Top Parent Account]]="",Table3[[#This Row],[Account Legal Name]],Table3[[#This Row],[Top Parent Account]])</f>
        <v>Gentor</v>
      </c>
      <c r="H2792" s="1"/>
    </row>
    <row r="2793" spans="1:8" x14ac:dyDescent="0.35">
      <c r="A2793" s="21"/>
      <c r="B2793" t="s">
        <v>18</v>
      </c>
      <c r="C2793" t="s">
        <v>6</v>
      </c>
      <c r="D2793" t="s">
        <v>3448</v>
      </c>
      <c r="F2793" s="1">
        <v>45912</v>
      </c>
      <c r="G2793" t="str">
        <f>IF(Table3[[#This Row],[Top Parent Account]]="",Table3[[#This Row],[Account Legal Name]],Table3[[#This Row],[Top Parent Account]])</f>
        <v>Fletes y Materiales Forsis</v>
      </c>
      <c r="H2793" s="1"/>
    </row>
    <row r="2794" spans="1:8" x14ac:dyDescent="0.35">
      <c r="A2794" s="21"/>
      <c r="B2794" t="s">
        <v>18</v>
      </c>
      <c r="C2794" t="s">
        <v>3449</v>
      </c>
      <c r="D2794" t="s">
        <v>3450</v>
      </c>
      <c r="F2794" s="1">
        <v>45912</v>
      </c>
      <c r="G2794" t="str">
        <f>IF(Table3[[#This Row],[Top Parent Account]]="",Table3[[#This Row],[Account Legal Name]],Table3[[#This Row],[Top Parent Account]])</f>
        <v>HMD SUMINISTRO INDUSTRIAL</v>
      </c>
      <c r="H2794" s="1"/>
    </row>
    <row r="2795" spans="1:8" x14ac:dyDescent="0.35">
      <c r="A2795" s="21"/>
      <c r="B2795" t="s">
        <v>38</v>
      </c>
      <c r="C2795" t="s">
        <v>6</v>
      </c>
      <c r="D2795" t="s">
        <v>513</v>
      </c>
      <c r="F2795" s="1">
        <v>45912</v>
      </c>
      <c r="G2795" t="str">
        <f>IF(Table3[[#This Row],[Top Parent Account]]="",Table3[[#This Row],[Account Legal Name]],Table3[[#This Row],[Top Parent Account]])</f>
        <v>Oleofinos</v>
      </c>
      <c r="H2795" s="1"/>
    </row>
    <row r="2796" spans="1:8" x14ac:dyDescent="0.35">
      <c r="A2796" s="21"/>
      <c r="B2796" t="s">
        <v>3175</v>
      </c>
      <c r="C2796" t="s">
        <v>6</v>
      </c>
      <c r="D2796" t="s">
        <v>3451</v>
      </c>
      <c r="F2796" s="1">
        <v>45912</v>
      </c>
      <c r="G2796" t="str">
        <f>IF(Table3[[#This Row],[Top Parent Account]]="",Table3[[#This Row],[Account Legal Name]],Table3[[#This Row],[Top Parent Account]])</f>
        <v>Víctor Bañuelos Romero</v>
      </c>
      <c r="H2796" s="1"/>
    </row>
    <row r="2797" spans="1:8" x14ac:dyDescent="0.35">
      <c r="A2797" s="21"/>
      <c r="B2797" t="s">
        <v>969</v>
      </c>
      <c r="C2797" t="s">
        <v>6</v>
      </c>
      <c r="D2797" t="s">
        <v>3452</v>
      </c>
      <c r="F2797" s="1">
        <v>45912</v>
      </c>
      <c r="G2797" t="str">
        <f>IF(Table3[[#This Row],[Top Parent Account]]="",Table3[[#This Row],[Account Legal Name]],Table3[[#This Row],[Top Parent Account]])</f>
        <v>LUBRICANTES MOTUL</v>
      </c>
      <c r="H2797" s="1"/>
    </row>
    <row r="2798" spans="1:8" x14ac:dyDescent="0.35">
      <c r="A2798" s="21"/>
      <c r="B2798" t="s">
        <v>38</v>
      </c>
      <c r="C2798" t="s">
        <v>6</v>
      </c>
      <c r="D2798" t="s">
        <v>278</v>
      </c>
      <c r="F2798" s="1">
        <v>45912</v>
      </c>
      <c r="G2798" t="str">
        <f>IF(Table3[[#This Row],[Top Parent Account]]="",Table3[[#This Row],[Account Legal Name]],Table3[[#This Row],[Top Parent Account]])</f>
        <v>Kaeser Compresores de México</v>
      </c>
      <c r="H2798" s="1"/>
    </row>
    <row r="2799" spans="1:8" x14ac:dyDescent="0.35">
      <c r="A2799" s="21"/>
      <c r="B2799" t="s">
        <v>12</v>
      </c>
      <c r="C2799" t="s">
        <v>6</v>
      </c>
      <c r="D2799" t="s">
        <v>416</v>
      </c>
      <c r="F2799" s="1">
        <v>45912</v>
      </c>
      <c r="G2799" t="str">
        <f>IF(Table3[[#This Row],[Top Parent Account]]="",Table3[[#This Row],[Account Legal Name]],Table3[[#This Row],[Top Parent Account]])</f>
        <v>Promotora Mexicana de Vehículos</v>
      </c>
      <c r="H2799" s="1"/>
    </row>
    <row r="2800" spans="1:8" x14ac:dyDescent="0.35">
      <c r="A2800" s="21"/>
      <c r="B2800" t="s">
        <v>12</v>
      </c>
      <c r="C2800" t="s">
        <v>6</v>
      </c>
      <c r="D2800" t="s">
        <v>3454</v>
      </c>
      <c r="F2800" s="1">
        <v>45912</v>
      </c>
      <c r="G2800" t="str">
        <f>IF(Table3[[#This Row],[Top Parent Account]]="",Table3[[#This Row],[Account Legal Name]],Table3[[#This Row],[Top Parent Account]])</f>
        <v>Taurus MG</v>
      </c>
      <c r="H2800" s="1"/>
    </row>
    <row r="2801" spans="1:8" x14ac:dyDescent="0.35">
      <c r="A2801" s="21"/>
      <c r="B2801" t="s">
        <v>12</v>
      </c>
      <c r="C2801" t="s">
        <v>6</v>
      </c>
      <c r="D2801" t="s">
        <v>3275</v>
      </c>
      <c r="F2801" s="1">
        <v>45912</v>
      </c>
      <c r="G2801" t="str">
        <f>IF(Table3[[#This Row],[Top Parent Account]]="",Table3[[#This Row],[Account Legal Name]],Table3[[#This Row],[Top Parent Account]])</f>
        <v>CATCH OF THE DAY</v>
      </c>
      <c r="H2801" s="1"/>
    </row>
    <row r="2802" spans="1:8" x14ac:dyDescent="0.35">
      <c r="A2802" s="21"/>
      <c r="B2802" t="s">
        <v>7</v>
      </c>
      <c r="C2802" t="s">
        <v>6</v>
      </c>
      <c r="D2802" t="s">
        <v>3445</v>
      </c>
      <c r="F2802" s="1">
        <v>45912</v>
      </c>
      <c r="G2802" t="str">
        <f>IF(Table3[[#This Row],[Top Parent Account]]="",Table3[[#This Row],[Account Legal Name]],Table3[[#This Row],[Top Parent Account]])</f>
        <v>Copachisa</v>
      </c>
      <c r="H2802" s="1"/>
    </row>
    <row r="2803" spans="1:8" x14ac:dyDescent="0.35">
      <c r="A2803" s="21"/>
      <c r="B2803" t="s">
        <v>12</v>
      </c>
      <c r="C2803" t="s">
        <v>6</v>
      </c>
      <c r="D2803" t="s">
        <v>2183</v>
      </c>
      <c r="F2803" s="1">
        <v>45912</v>
      </c>
      <c r="G2803" t="str">
        <f>IF(Table3[[#This Row],[Top Parent Account]]="",Table3[[#This Row],[Account Legal Name]],Table3[[#This Row],[Top Parent Account]])</f>
        <v>Bodegas Yucatan</v>
      </c>
      <c r="H2803" s="1"/>
    </row>
    <row r="2804" spans="1:8" x14ac:dyDescent="0.35">
      <c r="A2804" s="21"/>
      <c r="B2804" t="s">
        <v>1511</v>
      </c>
      <c r="C2804" t="s">
        <v>6</v>
      </c>
      <c r="D2804" t="s">
        <v>3453</v>
      </c>
      <c r="F2804" s="1">
        <v>45912</v>
      </c>
      <c r="G2804" t="str">
        <f>IF(Table3[[#This Row],[Top Parent Account]]="",Table3[[#This Row],[Account Legal Name]],Table3[[#This Row],[Top Parent Account]])</f>
        <v>Conveyors Mx</v>
      </c>
      <c r="H2804" s="1"/>
    </row>
    <row r="2805" spans="1:8" x14ac:dyDescent="0.35">
      <c r="A2805" s="21"/>
      <c r="B2805" t="s">
        <v>21</v>
      </c>
      <c r="C2805" t="s">
        <v>6</v>
      </c>
      <c r="D2805" t="s">
        <v>3512</v>
      </c>
      <c r="F2805" s="1">
        <v>45912</v>
      </c>
      <c r="G2805" t="str">
        <f>IF(Table3[[#This Row],[Top Parent Account]]="",Table3[[#This Row],[Account Legal Name]],Table3[[#This Row],[Top Parent Account]])</f>
        <v>Grupo Industrial Vértice del Sureste</v>
      </c>
      <c r="H2805" s="1"/>
    </row>
    <row r="2806" spans="1:8" x14ac:dyDescent="0.35">
      <c r="A2806" s="21"/>
      <c r="B2806" t="s">
        <v>84</v>
      </c>
      <c r="C2806" t="s">
        <v>1184</v>
      </c>
      <c r="D2806" t="s">
        <v>3455</v>
      </c>
      <c r="F2806" s="1">
        <v>45911</v>
      </c>
      <c r="G2806" t="str">
        <f>IF(Table3[[#This Row],[Top Parent Account]]="",Table3[[#This Row],[Account Legal Name]],Table3[[#This Row],[Top Parent Account]])</f>
        <v>Grupo Maresa</v>
      </c>
      <c r="H2806" s="1"/>
    </row>
    <row r="2807" spans="1:8" x14ac:dyDescent="0.35">
      <c r="A2807" s="21"/>
      <c r="B2807" t="s">
        <v>3095</v>
      </c>
      <c r="C2807" t="s">
        <v>6</v>
      </c>
      <c r="D2807" t="s">
        <v>3184</v>
      </c>
      <c r="F2807" s="1">
        <v>45911</v>
      </c>
      <c r="G2807" t="str">
        <f>IF(Table3[[#This Row],[Top Parent Account]]="",Table3[[#This Row],[Account Legal Name]],Table3[[#This Row],[Top Parent Account]])</f>
        <v>ANA ROSA CHAVEZ PELAYO</v>
      </c>
      <c r="H2807" s="1"/>
    </row>
    <row r="2808" spans="1:8" x14ac:dyDescent="0.35">
      <c r="A2808" s="21"/>
      <c r="B2808" t="s">
        <v>7</v>
      </c>
      <c r="C2808" t="s">
        <v>6</v>
      </c>
      <c r="D2808" t="s">
        <v>3185</v>
      </c>
      <c r="F2808" s="1">
        <v>45911</v>
      </c>
      <c r="G2808" t="str">
        <f>IF(Table3[[#This Row],[Top Parent Account]]="",Table3[[#This Row],[Account Legal Name]],Table3[[#This Row],[Top Parent Account]])</f>
        <v>Orfrutas del Noreste</v>
      </c>
      <c r="H2808" s="1"/>
    </row>
    <row r="2809" spans="1:8" x14ac:dyDescent="0.35">
      <c r="A2809" s="21"/>
      <c r="B2809" t="s">
        <v>12</v>
      </c>
      <c r="C2809" t="s">
        <v>6</v>
      </c>
      <c r="D2809" t="s">
        <v>3186</v>
      </c>
      <c r="F2809" s="1">
        <v>45911</v>
      </c>
      <c r="G2809" t="str">
        <f>IF(Table3[[#This Row],[Top Parent Account]]="",Table3[[#This Row],[Account Legal Name]],Table3[[#This Row],[Top Parent Account]])</f>
        <v>Agencia Naviera Consignataria Marine Continental Offshore</v>
      </c>
      <c r="H2809" s="1"/>
    </row>
    <row r="2810" spans="1:8" x14ac:dyDescent="0.35">
      <c r="A2810" s="21"/>
      <c r="B2810" t="s">
        <v>116</v>
      </c>
      <c r="C2810" t="s">
        <v>6</v>
      </c>
      <c r="D2810" t="s">
        <v>3187</v>
      </c>
      <c r="F2810" s="1">
        <v>45911</v>
      </c>
      <c r="G2810" t="str">
        <f>IF(Table3[[#This Row],[Top Parent Account]]="",Table3[[#This Row],[Account Legal Name]],Table3[[#This Row],[Top Parent Account]])</f>
        <v>Traddex</v>
      </c>
      <c r="H2810" s="1"/>
    </row>
    <row r="2811" spans="1:8" x14ac:dyDescent="0.35">
      <c r="A2811" s="21"/>
      <c r="B2811" t="s">
        <v>969</v>
      </c>
      <c r="C2811" t="s">
        <v>6</v>
      </c>
      <c r="D2811" t="s">
        <v>3456</v>
      </c>
      <c r="F2811" s="1">
        <v>45911</v>
      </c>
      <c r="G2811" t="str">
        <f>IF(Table3[[#This Row],[Top Parent Account]]="",Table3[[#This Row],[Account Legal Name]],Table3[[#This Row],[Top Parent Account]])</f>
        <v>Asociación Mexicana de Laboratorios Farmacéuticos</v>
      </c>
      <c r="H2811" s="1"/>
    </row>
    <row r="2812" spans="1:8" x14ac:dyDescent="0.35">
      <c r="A2812" s="21"/>
      <c r="B2812" t="s">
        <v>23</v>
      </c>
      <c r="C2812" t="s">
        <v>6</v>
      </c>
      <c r="D2812" t="s">
        <v>3188</v>
      </c>
      <c r="F2812" s="1">
        <v>45911</v>
      </c>
      <c r="G2812" t="str">
        <f>IF(Table3[[#This Row],[Top Parent Account]]="",Table3[[#This Row],[Account Legal Name]],Table3[[#This Row],[Top Parent Account]])</f>
        <v>Rancho el Manantial</v>
      </c>
      <c r="H2812" s="1"/>
    </row>
    <row r="2813" spans="1:8" x14ac:dyDescent="0.35">
      <c r="A2813" s="21"/>
      <c r="B2813" t="s">
        <v>1006</v>
      </c>
      <c r="C2813" t="s">
        <v>6</v>
      </c>
      <c r="D2813" t="s">
        <v>3039</v>
      </c>
      <c r="F2813" s="1">
        <v>45911</v>
      </c>
      <c r="G2813" t="str">
        <f>IF(Table3[[#This Row],[Top Parent Account]]="",Table3[[#This Row],[Account Legal Name]],Table3[[#This Row],[Top Parent Account]])</f>
        <v>Hospital San José Zamora</v>
      </c>
      <c r="H2813" s="1"/>
    </row>
    <row r="2814" spans="1:8" x14ac:dyDescent="0.35">
      <c r="A2814" s="21"/>
      <c r="B2814" t="s">
        <v>88</v>
      </c>
      <c r="C2814" t="s">
        <v>6</v>
      </c>
      <c r="D2814" t="s">
        <v>3189</v>
      </c>
      <c r="F2814" s="1">
        <v>45911</v>
      </c>
      <c r="G2814" t="str">
        <f>IF(Table3[[#This Row],[Top Parent Account]]="",Table3[[#This Row],[Account Legal Name]],Table3[[#This Row],[Top Parent Account]])</f>
        <v>Dixmat Negocios</v>
      </c>
      <c r="H2814" s="1"/>
    </row>
    <row r="2815" spans="1:8" x14ac:dyDescent="0.35">
      <c r="A2815" s="21"/>
      <c r="B2815" t="s">
        <v>23</v>
      </c>
      <c r="C2815" t="s">
        <v>6</v>
      </c>
      <c r="D2815" t="s">
        <v>3190</v>
      </c>
      <c r="F2815" s="1">
        <v>45911</v>
      </c>
      <c r="G2815" t="str">
        <f>IF(Table3[[#This Row],[Top Parent Account]]="",Table3[[#This Row],[Account Legal Name]],Table3[[#This Row],[Top Parent Account]])</f>
        <v>Terrenos y Bodegas de Queretaro</v>
      </c>
      <c r="H2815" s="1"/>
    </row>
    <row r="2816" spans="1:8" x14ac:dyDescent="0.35">
      <c r="A2816" s="21"/>
      <c r="B2816" t="s">
        <v>2693</v>
      </c>
      <c r="C2816" t="s">
        <v>6</v>
      </c>
      <c r="D2816" t="s">
        <v>3457</v>
      </c>
      <c r="F2816" s="1">
        <v>45911</v>
      </c>
      <c r="G2816" t="str">
        <f>IF(Table3[[#This Row],[Top Parent Account]]="",Table3[[#This Row],[Account Legal Name]],Table3[[#This Row],[Top Parent Account]])</f>
        <v>Antextextil</v>
      </c>
      <c r="H2816" s="1"/>
    </row>
    <row r="2817" spans="1:8" x14ac:dyDescent="0.35">
      <c r="A2817" s="21"/>
      <c r="B2817" t="s">
        <v>116</v>
      </c>
      <c r="C2817" t="s">
        <v>22</v>
      </c>
      <c r="D2817" t="s">
        <v>3760</v>
      </c>
      <c r="F2817" s="1">
        <v>45911</v>
      </c>
      <c r="G2817" t="str">
        <f>IF(Table3[[#This Row],[Top Parent Account]]="",Table3[[#This Row],[Account Legal Name]],Table3[[#This Row],[Top Parent Account]])</f>
        <v>Bienes de Equipo Ligero Construcción y Asesoramiento</v>
      </c>
      <c r="H2817" s="1"/>
    </row>
    <row r="2818" spans="1:8" x14ac:dyDescent="0.35">
      <c r="A2818" s="21"/>
      <c r="B2818" t="s">
        <v>70</v>
      </c>
      <c r="C2818" t="s">
        <v>22</v>
      </c>
      <c r="D2818" t="s">
        <v>412</v>
      </c>
      <c r="E2818" t="s">
        <v>35</v>
      </c>
      <c r="F2818" s="1">
        <v>45911</v>
      </c>
      <c r="G2818" t="str">
        <f>IF(Table3[[#This Row],[Top Parent Account]]="",Table3[[#This Row],[Account Legal Name]],Table3[[#This Row],[Top Parent Account]])</f>
        <v>Bayer de México</v>
      </c>
      <c r="H2818" s="1"/>
    </row>
    <row r="2819" spans="1:8" x14ac:dyDescent="0.35">
      <c r="A2819" s="21"/>
      <c r="B2819" t="s">
        <v>1511</v>
      </c>
      <c r="C2819" t="s">
        <v>6</v>
      </c>
      <c r="D2819" t="s">
        <v>1249</v>
      </c>
      <c r="F2819" s="1">
        <v>45911</v>
      </c>
      <c r="G2819" t="str">
        <f>IF(Table3[[#This Row],[Top Parent Account]]="",Table3[[#This Row],[Account Legal Name]],Table3[[#This Row],[Top Parent Account]])</f>
        <v>Grupo Regional Santa Fé</v>
      </c>
      <c r="H2819" s="1"/>
    </row>
    <row r="2820" spans="1:8" x14ac:dyDescent="0.35">
      <c r="A2820" s="21"/>
      <c r="B2820" t="s">
        <v>26</v>
      </c>
      <c r="C2820" t="s">
        <v>6</v>
      </c>
      <c r="D2820" t="s">
        <v>490</v>
      </c>
      <c r="F2820" s="1">
        <v>45911</v>
      </c>
      <c r="G2820" t="str">
        <f>IF(Table3[[#This Row],[Top Parent Account]]="",Table3[[#This Row],[Account Legal Name]],Table3[[#This Row],[Top Parent Account]])</f>
        <v>GLM Components México</v>
      </c>
      <c r="H2820" s="1"/>
    </row>
    <row r="2821" spans="1:8" x14ac:dyDescent="0.35">
      <c r="A2821" s="21"/>
      <c r="B2821" t="s">
        <v>589</v>
      </c>
      <c r="C2821" t="s">
        <v>6</v>
      </c>
      <c r="D2821" t="s">
        <v>3191</v>
      </c>
      <c r="F2821" s="1">
        <v>45911</v>
      </c>
      <c r="G2821" t="str">
        <f>IF(Table3[[#This Row],[Top Parent Account]]="",Table3[[#This Row],[Account Legal Name]],Table3[[#This Row],[Top Parent Account]])</f>
        <v>Vaconsa Productos Industriales</v>
      </c>
      <c r="H2821" s="1"/>
    </row>
    <row r="2822" spans="1:8" x14ac:dyDescent="0.35">
      <c r="A2822" s="21"/>
      <c r="B2822" t="s">
        <v>589</v>
      </c>
      <c r="C2822" t="s">
        <v>6</v>
      </c>
      <c r="D2822" t="s">
        <v>3192</v>
      </c>
      <c r="F2822" s="1">
        <v>45911</v>
      </c>
      <c r="G2822" t="str">
        <f>IF(Table3[[#This Row],[Top Parent Account]]="",Table3[[#This Row],[Account Legal Name]],Table3[[#This Row],[Top Parent Account]])</f>
        <v>Texlamp</v>
      </c>
      <c r="H2822" s="1"/>
    </row>
    <row r="2823" spans="1:8" x14ac:dyDescent="0.35">
      <c r="A2823" s="21"/>
      <c r="B2823" t="s">
        <v>88</v>
      </c>
      <c r="C2823" t="s">
        <v>6</v>
      </c>
      <c r="D2823" t="s">
        <v>3193</v>
      </c>
      <c r="F2823" s="1">
        <v>45911</v>
      </c>
      <c r="G2823" t="str">
        <f>IF(Table3[[#This Row],[Top Parent Account]]="",Table3[[#This Row],[Account Legal Name]],Table3[[#This Row],[Top Parent Account]])</f>
        <v>Aurora Power</v>
      </c>
      <c r="H2823" s="1"/>
    </row>
    <row r="2824" spans="1:8" x14ac:dyDescent="0.35">
      <c r="A2824" s="21"/>
      <c r="B2824" t="s">
        <v>32</v>
      </c>
      <c r="C2824" t="s">
        <v>6</v>
      </c>
      <c r="D2824" t="s">
        <v>3458</v>
      </c>
      <c r="F2824" s="1">
        <v>45911</v>
      </c>
      <c r="G2824" t="str">
        <f>IF(Table3[[#This Row],[Top Parent Account]]="",Table3[[#This Row],[Account Legal Name]],Table3[[#This Row],[Top Parent Account]])</f>
        <v>Arcos Sercal de México</v>
      </c>
      <c r="H2824" s="1"/>
    </row>
    <row r="2825" spans="1:8" x14ac:dyDescent="0.35">
      <c r="A2825" s="21"/>
      <c r="B2825" t="s">
        <v>32</v>
      </c>
      <c r="C2825" t="s">
        <v>6</v>
      </c>
      <c r="D2825" t="s">
        <v>104</v>
      </c>
      <c r="F2825" s="1">
        <v>45911</v>
      </c>
      <c r="G2825" t="str">
        <f>IF(Table3[[#This Row],[Top Parent Account]]="",Table3[[#This Row],[Account Legal Name]],Table3[[#This Row],[Top Parent Account]])</f>
        <v>Holcim Apasco</v>
      </c>
      <c r="H2825" s="1"/>
    </row>
    <row r="2826" spans="1:8" x14ac:dyDescent="0.35">
      <c r="A2826" s="21"/>
      <c r="B2826" t="s">
        <v>3114</v>
      </c>
      <c r="C2826" t="s">
        <v>52</v>
      </c>
      <c r="D2826" t="s">
        <v>3194</v>
      </c>
      <c r="F2826" s="1">
        <v>45911</v>
      </c>
      <c r="G2826" t="str">
        <f>IF(Table3[[#This Row],[Top Parent Account]]="",Table3[[#This Row],[Account Legal Name]],Table3[[#This Row],[Top Parent Account]])</f>
        <v>Star Del Norte</v>
      </c>
      <c r="H2826" s="1"/>
    </row>
    <row r="2827" spans="1:8" x14ac:dyDescent="0.35">
      <c r="A2827" s="21"/>
      <c r="B2827" t="s">
        <v>280</v>
      </c>
      <c r="C2827" t="s">
        <v>6</v>
      </c>
      <c r="D2827" t="s">
        <v>3459</v>
      </c>
      <c r="F2827" s="1">
        <v>45911</v>
      </c>
      <c r="G2827" t="str">
        <f>IF(Table3[[#This Row],[Top Parent Account]]="",Table3[[#This Row],[Account Legal Name]],Table3[[#This Row],[Top Parent Account]])</f>
        <v>Aspersoras Agricolas de Colima</v>
      </c>
      <c r="H2827" s="1"/>
    </row>
    <row r="2828" spans="1:8" x14ac:dyDescent="0.35">
      <c r="A2828" s="21"/>
      <c r="B2828" t="s">
        <v>3175</v>
      </c>
      <c r="C2828" t="s">
        <v>6</v>
      </c>
      <c r="D2828" t="s">
        <v>3195</v>
      </c>
      <c r="F2828" s="1">
        <v>45911</v>
      </c>
      <c r="G2828" t="str">
        <f>IF(Table3[[#This Row],[Top Parent Account]]="",Table3[[#This Row],[Account Legal Name]],Table3[[#This Row],[Top Parent Account]])</f>
        <v>Eslabon Logistico</v>
      </c>
      <c r="H2828" s="1"/>
    </row>
    <row r="2829" spans="1:8" x14ac:dyDescent="0.35">
      <c r="A2829" s="21"/>
      <c r="B2829" t="s">
        <v>739</v>
      </c>
      <c r="C2829" t="s">
        <v>6</v>
      </c>
      <c r="D2829" t="s">
        <v>3196</v>
      </c>
      <c r="F2829" s="1">
        <v>45911</v>
      </c>
      <c r="G2829" t="str">
        <f>IF(Table3[[#This Row],[Top Parent Account]]="",Table3[[#This Row],[Account Legal Name]],Table3[[#This Row],[Top Parent Account]])</f>
        <v>Grupo La Moderna</v>
      </c>
      <c r="H2829" s="1"/>
    </row>
    <row r="2830" spans="1:8" x14ac:dyDescent="0.35">
      <c r="A2830" s="21"/>
      <c r="B2830" t="s">
        <v>10</v>
      </c>
      <c r="C2830" t="s">
        <v>6</v>
      </c>
      <c r="D2830" t="s">
        <v>269</v>
      </c>
      <c r="F2830" s="1">
        <v>45911</v>
      </c>
      <c r="G2830" t="str">
        <f>IF(Table3[[#This Row],[Top Parent Account]]="",Table3[[#This Row],[Account Legal Name]],Table3[[#This Row],[Top Parent Account]])</f>
        <v>Grupo Logístico de la Cuenca del Pacífico</v>
      </c>
      <c r="H2830" s="1"/>
    </row>
    <row r="2831" spans="1:8" x14ac:dyDescent="0.35">
      <c r="A2831" s="21"/>
      <c r="B2831" t="s">
        <v>12</v>
      </c>
      <c r="C2831" t="s">
        <v>6</v>
      </c>
      <c r="D2831" t="s">
        <v>3460</v>
      </c>
      <c r="F2831" s="1">
        <v>45911</v>
      </c>
      <c r="G2831" t="str">
        <f>IF(Table3[[#This Row],[Top Parent Account]]="",Table3[[#This Row],[Account Legal Name]],Table3[[#This Row],[Top Parent Account]])</f>
        <v>Cocofrut de Cancun</v>
      </c>
      <c r="H2831" s="1"/>
    </row>
    <row r="2832" spans="1:8" x14ac:dyDescent="0.35">
      <c r="A2832" s="21"/>
      <c r="B2832" t="s">
        <v>37</v>
      </c>
      <c r="C2832" t="s">
        <v>6</v>
      </c>
      <c r="D2832" t="s">
        <v>3461</v>
      </c>
      <c r="F2832" s="1">
        <v>45911</v>
      </c>
      <c r="G2832" t="str">
        <f>IF(Table3[[#This Row],[Top Parent Account]]="",Table3[[#This Row],[Account Legal Name]],Table3[[#This Row],[Top Parent Account]])</f>
        <v>Desarrolladora Imper</v>
      </c>
      <c r="H2832" s="1"/>
    </row>
    <row r="2833" spans="1:8" x14ac:dyDescent="0.35">
      <c r="A2833" s="21"/>
      <c r="B2833" t="s">
        <v>38</v>
      </c>
      <c r="C2833" t="s">
        <v>6</v>
      </c>
      <c r="D2833" t="s">
        <v>3462</v>
      </c>
      <c r="F2833" s="1">
        <v>45911</v>
      </c>
      <c r="G2833" t="str">
        <f>IF(Table3[[#This Row],[Top Parent Account]]="",Table3[[#This Row],[Account Legal Name]],Table3[[#This Row],[Top Parent Account]])</f>
        <v>Productos Alimenticios Dieteticos Relampago</v>
      </c>
      <c r="H2833" s="1"/>
    </row>
    <row r="2834" spans="1:8" x14ac:dyDescent="0.35">
      <c r="A2834" s="21"/>
      <c r="B2834" t="s">
        <v>28</v>
      </c>
      <c r="C2834" t="s">
        <v>6</v>
      </c>
      <c r="D2834" t="s">
        <v>2331</v>
      </c>
      <c r="F2834" s="1">
        <v>45911</v>
      </c>
      <c r="G2834" t="str">
        <f>IF(Table3[[#This Row],[Top Parent Account]]="",Table3[[#This Row],[Account Legal Name]],Table3[[#This Row],[Top Parent Account]])</f>
        <v>CORELA</v>
      </c>
      <c r="H2834" s="1"/>
    </row>
    <row r="2835" spans="1:8" x14ac:dyDescent="0.35">
      <c r="A2835" s="21"/>
      <c r="B2835" t="s">
        <v>1006</v>
      </c>
      <c r="C2835" t="s">
        <v>6</v>
      </c>
      <c r="D2835" t="s">
        <v>1007</v>
      </c>
      <c r="F2835" s="1">
        <v>45911</v>
      </c>
      <c r="G2835" t="str">
        <f>IF(Table3[[#This Row],[Top Parent Account]]="",Table3[[#This Row],[Account Legal Name]],Table3[[#This Row],[Top Parent Account]])</f>
        <v>INDAMEX Industrializadora de Alimentos Mexicanos</v>
      </c>
      <c r="H2835" s="1"/>
    </row>
    <row r="2836" spans="1:8" x14ac:dyDescent="0.35">
      <c r="A2836" s="21"/>
      <c r="B2836" t="s">
        <v>1899</v>
      </c>
      <c r="C2836" t="s">
        <v>6</v>
      </c>
      <c r="D2836" t="s">
        <v>3463</v>
      </c>
      <c r="F2836" s="1">
        <v>45911</v>
      </c>
      <c r="G2836" t="str">
        <f>IF(Table3[[#This Row],[Top Parent Account]]="",Table3[[#This Row],[Account Legal Name]],Table3[[#This Row],[Top Parent Account]])</f>
        <v>CHEMISETTE</v>
      </c>
      <c r="H2836" s="1"/>
    </row>
    <row r="2837" spans="1:8" x14ac:dyDescent="0.35">
      <c r="A2837" s="21"/>
      <c r="B2837" t="s">
        <v>3182</v>
      </c>
      <c r="C2837" t="s">
        <v>6</v>
      </c>
      <c r="D2837" t="s">
        <v>3197</v>
      </c>
      <c r="F2837" s="1">
        <v>45911</v>
      </c>
      <c r="G2837" t="str">
        <f>IF(Table3[[#This Row],[Top Parent Account]]="",Table3[[#This Row],[Account Legal Name]],Table3[[#This Row],[Top Parent Account]])</f>
        <v>Aparatos Electromecanicos Von Haucke</v>
      </c>
      <c r="H2837" s="1"/>
    </row>
    <row r="2838" spans="1:8" x14ac:dyDescent="0.35">
      <c r="A2838" s="21"/>
      <c r="B2838" t="s">
        <v>2884</v>
      </c>
      <c r="C2838" t="s">
        <v>6</v>
      </c>
      <c r="D2838" t="s">
        <v>308</v>
      </c>
      <c r="F2838" s="1">
        <v>45911</v>
      </c>
      <c r="G2838" t="str">
        <f>IF(Table3[[#This Row],[Top Parent Account]]="",Table3[[#This Row],[Account Legal Name]],Table3[[#This Row],[Top Parent Account]])</f>
        <v>Hyundai Corporation</v>
      </c>
      <c r="H2838" s="1"/>
    </row>
    <row r="2839" spans="1:8" x14ac:dyDescent="0.35">
      <c r="A2839" s="21"/>
      <c r="B2839" t="s">
        <v>12</v>
      </c>
      <c r="C2839" t="s">
        <v>6</v>
      </c>
      <c r="D2839" t="s">
        <v>3464</v>
      </c>
      <c r="F2839" s="1">
        <v>45911</v>
      </c>
      <c r="G2839" t="str">
        <f>IF(Table3[[#This Row],[Top Parent Account]]="",Table3[[#This Row],[Account Legal Name]],Table3[[#This Row],[Top Parent Account]])</f>
        <v>Gute Idee</v>
      </c>
      <c r="H2839" s="1"/>
    </row>
    <row r="2840" spans="1:8" x14ac:dyDescent="0.35">
      <c r="A2840" s="21"/>
      <c r="B2840" t="s">
        <v>12</v>
      </c>
      <c r="C2840" t="s">
        <v>6</v>
      </c>
      <c r="D2840" t="s">
        <v>3465</v>
      </c>
      <c r="F2840" s="1">
        <v>45911</v>
      </c>
      <c r="G2840" t="str">
        <f>IF(Table3[[#This Row],[Top Parent Account]]="",Table3[[#This Row],[Account Legal Name]],Table3[[#This Row],[Top Parent Account]])</f>
        <v>Universidad Tecnológica de Cancún</v>
      </c>
      <c r="H2840" s="1"/>
    </row>
    <row r="2841" spans="1:8" x14ac:dyDescent="0.35">
      <c r="A2841" s="21"/>
      <c r="B2841" t="s">
        <v>2693</v>
      </c>
      <c r="C2841" t="s">
        <v>6</v>
      </c>
      <c r="D2841" t="s">
        <v>3466</v>
      </c>
      <c r="F2841" s="1">
        <v>45911</v>
      </c>
      <c r="G2841" t="str">
        <f>IF(Table3[[#This Row],[Top Parent Account]]="",Table3[[#This Row],[Account Legal Name]],Table3[[#This Row],[Top Parent Account]])</f>
        <v>Ermo Industrial</v>
      </c>
      <c r="H2841" s="1"/>
    </row>
    <row r="2842" spans="1:8" x14ac:dyDescent="0.35">
      <c r="A2842" s="21"/>
      <c r="B2842" t="s">
        <v>10</v>
      </c>
      <c r="C2842" t="s">
        <v>6</v>
      </c>
      <c r="D2842" t="s">
        <v>3198</v>
      </c>
      <c r="F2842" s="1">
        <v>45911</v>
      </c>
      <c r="G2842" t="str">
        <f>IF(Table3[[#This Row],[Top Parent Account]]="",Table3[[#This Row],[Account Legal Name]],Table3[[#This Row],[Top Parent Account]])</f>
        <v>Productos Selectos de Agave</v>
      </c>
      <c r="H2842" s="1"/>
    </row>
    <row r="2843" spans="1:8" x14ac:dyDescent="0.35">
      <c r="A2843" s="21"/>
      <c r="B2843" t="s">
        <v>280</v>
      </c>
      <c r="C2843" t="s">
        <v>6</v>
      </c>
      <c r="D2843" t="s">
        <v>1220</v>
      </c>
      <c r="F2843" s="1">
        <v>45911</v>
      </c>
      <c r="G2843" t="str">
        <f>IF(Table3[[#This Row],[Top Parent Account]]="",Table3[[#This Row],[Account Legal Name]],Table3[[#This Row],[Top Parent Account]])</f>
        <v>Industrializadora De Prod. Lácteos Y Derivados Los Cuates</v>
      </c>
      <c r="H2843" s="1"/>
    </row>
    <row r="2844" spans="1:8" x14ac:dyDescent="0.35">
      <c r="A2844" s="21"/>
      <c r="B2844" t="s">
        <v>28</v>
      </c>
      <c r="C2844" t="s">
        <v>6</v>
      </c>
      <c r="D2844" t="s">
        <v>394</v>
      </c>
      <c r="F2844" s="1">
        <v>45911</v>
      </c>
      <c r="G2844" t="str">
        <f>IF(Table3[[#This Row],[Top Parent Account]]="",Table3[[#This Row],[Account Legal Name]],Table3[[#This Row],[Top Parent Account]])</f>
        <v>Coda Logistica Y Transportes</v>
      </c>
      <c r="H2844" s="1"/>
    </row>
    <row r="2845" spans="1:8" x14ac:dyDescent="0.35">
      <c r="A2845" s="21"/>
      <c r="B2845" t="s">
        <v>38</v>
      </c>
      <c r="C2845" t="s">
        <v>6</v>
      </c>
      <c r="D2845" t="s">
        <v>643</v>
      </c>
      <c r="F2845" s="1">
        <v>45911</v>
      </c>
      <c r="G2845" t="str">
        <f>IF(Table3[[#This Row],[Top Parent Account]]="",Table3[[#This Row],[Account Legal Name]],Table3[[#This Row],[Top Parent Account]])</f>
        <v>Watlow de México</v>
      </c>
      <c r="H2845" s="1"/>
    </row>
    <row r="2846" spans="1:8" x14ac:dyDescent="0.35">
      <c r="A2846" s="21"/>
      <c r="B2846" t="s">
        <v>12</v>
      </c>
      <c r="C2846" t="s">
        <v>6</v>
      </c>
      <c r="D2846" t="s">
        <v>776</v>
      </c>
      <c r="F2846" s="1">
        <v>45911</v>
      </c>
      <c r="G2846" t="str">
        <f>IF(Table3[[#This Row],[Top Parent Account]]="",Table3[[#This Row],[Account Legal Name]],Table3[[#This Row],[Top Parent Account]])</f>
        <v>Grupo Goyeo</v>
      </c>
      <c r="H2846" s="1"/>
    </row>
    <row r="2847" spans="1:8" x14ac:dyDescent="0.35">
      <c r="A2847" s="21"/>
      <c r="B2847" t="s">
        <v>12</v>
      </c>
      <c r="C2847" t="s">
        <v>6</v>
      </c>
      <c r="D2847" t="s">
        <v>3467</v>
      </c>
      <c r="F2847" s="1">
        <v>45911</v>
      </c>
      <c r="G2847" t="str">
        <f>IF(Table3[[#This Row],[Top Parent Account]]="",Table3[[#This Row],[Account Legal Name]],Table3[[#This Row],[Top Parent Account]])</f>
        <v>Membresia Puerto Cancun</v>
      </c>
      <c r="H2847" s="1"/>
    </row>
    <row r="2848" spans="1:8" x14ac:dyDescent="0.35">
      <c r="A2848" s="21"/>
      <c r="B2848" t="s">
        <v>70</v>
      </c>
      <c r="C2848" t="s">
        <v>6</v>
      </c>
      <c r="D2848" t="s">
        <v>3200</v>
      </c>
      <c r="F2848" s="1">
        <v>45910</v>
      </c>
      <c r="G2848" t="str">
        <f>IF(Table3[[#This Row],[Top Parent Account]]="",Table3[[#This Row],[Account Legal Name]],Table3[[#This Row],[Top Parent Account]])</f>
        <v>Mindray Medical México</v>
      </c>
      <c r="H2848" s="1"/>
    </row>
    <row r="2849" spans="1:8" x14ac:dyDescent="0.35">
      <c r="A2849" s="21"/>
      <c r="B2849" t="s">
        <v>88</v>
      </c>
      <c r="C2849" t="s">
        <v>6</v>
      </c>
      <c r="D2849" t="s">
        <v>3199</v>
      </c>
      <c r="F2849" s="1">
        <v>45910</v>
      </c>
      <c r="G2849" t="str">
        <f>IF(Table3[[#This Row],[Top Parent Account]]="",Table3[[#This Row],[Account Legal Name]],Table3[[#This Row],[Top Parent Account]])</f>
        <v>Une Medica Servicios Médicos Integrales y Abastecimiento Hospitalario</v>
      </c>
      <c r="H2849" s="1"/>
    </row>
    <row r="2850" spans="1:8" x14ac:dyDescent="0.35">
      <c r="A2850" s="21"/>
      <c r="B2850" t="s">
        <v>14</v>
      </c>
      <c r="C2850" t="s">
        <v>6</v>
      </c>
      <c r="D2850" t="s">
        <v>3099</v>
      </c>
      <c r="F2850" s="1">
        <v>45910</v>
      </c>
      <c r="G2850" t="str">
        <f>IF(Table3[[#This Row],[Top Parent Account]]="",Table3[[#This Row],[Account Legal Name]],Table3[[#This Row],[Top Parent Account]])</f>
        <v>Hidroponica Sustentable</v>
      </c>
      <c r="H2850" s="1"/>
    </row>
    <row r="2851" spans="1:8" x14ac:dyDescent="0.35">
      <c r="A2851" s="21"/>
      <c r="B2851" t="s">
        <v>2693</v>
      </c>
      <c r="C2851" t="s">
        <v>6</v>
      </c>
      <c r="D2851" t="s">
        <v>3468</v>
      </c>
      <c r="F2851" s="1">
        <v>45910</v>
      </c>
      <c r="G2851" t="str">
        <f>IF(Table3[[#This Row],[Top Parent Account]]="",Table3[[#This Row],[Account Legal Name]],Table3[[#This Row],[Top Parent Account]])</f>
        <v>Distribucion Organica Campo Vivo</v>
      </c>
      <c r="H2851" s="1"/>
    </row>
    <row r="2852" spans="1:8" x14ac:dyDescent="0.35">
      <c r="A2852" s="21"/>
      <c r="B2852" t="s">
        <v>2912</v>
      </c>
      <c r="C2852" t="s">
        <v>6</v>
      </c>
      <c r="D2852" t="s">
        <v>3134</v>
      </c>
      <c r="F2852" s="1">
        <v>45910</v>
      </c>
      <c r="G2852" t="str">
        <f>IF(Table3[[#This Row],[Top Parent Account]]="",Table3[[#This Row],[Account Legal Name]],Table3[[#This Row],[Top Parent Account]])</f>
        <v>Alianza Eléctrica</v>
      </c>
      <c r="H2852" s="1"/>
    </row>
    <row r="2853" spans="1:8" x14ac:dyDescent="0.35">
      <c r="A2853" s="21"/>
      <c r="B2853" t="s">
        <v>2884</v>
      </c>
      <c r="C2853" t="s">
        <v>6</v>
      </c>
      <c r="D2853" t="s">
        <v>3469</v>
      </c>
      <c r="E2853" t="s">
        <v>3470</v>
      </c>
      <c r="F2853" s="1">
        <v>45910</v>
      </c>
      <c r="G2853" t="str">
        <f>IF(Table3[[#This Row],[Top Parent Account]]="",Table3[[#This Row],[Account Legal Name]],Table3[[#This Row],[Top Parent Account]])</f>
        <v>Grupo Bal</v>
      </c>
      <c r="H2853" s="1"/>
    </row>
    <row r="2854" spans="1:8" x14ac:dyDescent="0.35">
      <c r="A2854" s="21"/>
      <c r="B2854" t="s">
        <v>3095</v>
      </c>
      <c r="C2854" t="s">
        <v>6</v>
      </c>
      <c r="D2854" t="s">
        <v>3201</v>
      </c>
      <c r="F2854" s="1">
        <v>45910</v>
      </c>
      <c r="G2854" t="str">
        <f>IF(Table3[[#This Row],[Top Parent Account]]="",Table3[[#This Row],[Account Legal Name]],Table3[[#This Row],[Top Parent Account]])</f>
        <v>ML LOGISTICA PORTUARIA</v>
      </c>
      <c r="H2854" s="1"/>
    </row>
    <row r="2855" spans="1:8" x14ac:dyDescent="0.35">
      <c r="A2855" s="21"/>
      <c r="B2855" t="s">
        <v>169</v>
      </c>
      <c r="C2855" t="s">
        <v>6</v>
      </c>
      <c r="D2855" t="s">
        <v>3202</v>
      </c>
      <c r="F2855" s="1">
        <v>45910</v>
      </c>
      <c r="G2855" t="str">
        <f>IF(Table3[[#This Row],[Top Parent Account]]="",Table3[[#This Row],[Account Legal Name]],Table3[[#This Row],[Top Parent Account]])</f>
        <v>SABOR Y CALIDAD</v>
      </c>
      <c r="H2855" s="1"/>
    </row>
    <row r="2856" spans="1:8" x14ac:dyDescent="0.35">
      <c r="A2856" s="21"/>
      <c r="B2856" t="s">
        <v>28</v>
      </c>
      <c r="C2856" t="s">
        <v>6</v>
      </c>
      <c r="D2856" t="s">
        <v>3481</v>
      </c>
      <c r="F2856" s="1">
        <v>45910</v>
      </c>
      <c r="G2856" t="str">
        <f>IF(Table3[[#This Row],[Top Parent Account]]="",Table3[[#This Row],[Account Legal Name]],Table3[[#This Row],[Top Parent Account]])</f>
        <v>CONSTRUCTORA QUETZAL</v>
      </c>
      <c r="H2856" s="1"/>
    </row>
    <row r="2857" spans="1:8" x14ac:dyDescent="0.35">
      <c r="A2857" s="21"/>
      <c r="B2857" t="s">
        <v>280</v>
      </c>
      <c r="C2857" t="s">
        <v>6</v>
      </c>
      <c r="D2857" t="s">
        <v>3471</v>
      </c>
      <c r="F2857" s="1">
        <v>45910</v>
      </c>
      <c r="G2857" t="str">
        <f>IF(Table3[[#This Row],[Top Parent Account]]="",Table3[[#This Row],[Account Legal Name]],Table3[[#This Row],[Top Parent Account]])</f>
        <v>GRUPO INDUSTRIAL PROAVICOL</v>
      </c>
      <c r="H2857" s="1"/>
    </row>
    <row r="2858" spans="1:8" x14ac:dyDescent="0.35">
      <c r="A2858" s="21"/>
      <c r="B2858" t="s">
        <v>280</v>
      </c>
      <c r="C2858" t="s">
        <v>6</v>
      </c>
      <c r="D2858" t="s">
        <v>3472</v>
      </c>
      <c r="F2858" s="1">
        <v>45910</v>
      </c>
      <c r="G2858" t="str">
        <f>IF(Table3[[#This Row],[Top Parent Account]]="",Table3[[#This Row],[Account Legal Name]],Table3[[#This Row],[Top Parent Account]])</f>
        <v>SAL REAL DE COLIMA</v>
      </c>
      <c r="H2858" s="1"/>
    </row>
    <row r="2859" spans="1:8" x14ac:dyDescent="0.35">
      <c r="A2859" s="21"/>
      <c r="B2859" t="s">
        <v>29</v>
      </c>
      <c r="C2859" t="s">
        <v>6</v>
      </c>
      <c r="D2859" t="s">
        <v>3203</v>
      </c>
      <c r="F2859" s="1">
        <v>45910</v>
      </c>
      <c r="G2859" t="str">
        <f>IF(Table3[[#This Row],[Top Parent Account]]="",Table3[[#This Row],[Account Legal Name]],Table3[[#This Row],[Top Parent Account]])</f>
        <v>Bicicletas Mercurio</v>
      </c>
      <c r="H2859" s="1"/>
    </row>
    <row r="2860" spans="1:8" x14ac:dyDescent="0.35">
      <c r="A2860" s="21"/>
      <c r="B2860" t="s">
        <v>375</v>
      </c>
      <c r="C2860" t="s">
        <v>6</v>
      </c>
      <c r="D2860" t="s">
        <v>1279</v>
      </c>
      <c r="F2860" s="1">
        <v>45910</v>
      </c>
      <c r="G2860" t="str">
        <f>IF(Table3[[#This Row],[Top Parent Account]]="",Table3[[#This Row],[Account Legal Name]],Table3[[#This Row],[Top Parent Account]])</f>
        <v>Supervisión Técnica del Norte</v>
      </c>
      <c r="H2860" s="1"/>
    </row>
    <row r="2861" spans="1:8" x14ac:dyDescent="0.35">
      <c r="A2861" s="21"/>
      <c r="B2861" t="s">
        <v>207</v>
      </c>
      <c r="C2861" t="s">
        <v>6</v>
      </c>
      <c r="D2861" t="s">
        <v>3204</v>
      </c>
      <c r="F2861" s="1">
        <v>45910</v>
      </c>
      <c r="G2861" t="str">
        <f>IF(Table3[[#This Row],[Top Parent Account]]="",Table3[[#This Row],[Account Legal Name]],Table3[[#This Row],[Top Parent Account]])</f>
        <v>Boomerang Manufactura En Metal</v>
      </c>
      <c r="H2861" s="1"/>
    </row>
    <row r="2862" spans="1:8" x14ac:dyDescent="0.35">
      <c r="A2862" s="21"/>
      <c r="B2862" t="s">
        <v>70</v>
      </c>
      <c r="C2862" t="s">
        <v>22</v>
      </c>
      <c r="D2862" t="s">
        <v>110</v>
      </c>
      <c r="F2862" s="1">
        <v>45910</v>
      </c>
      <c r="G2862" t="str">
        <f>IF(Table3[[#This Row],[Top Parent Account]]="",Table3[[#This Row],[Account Legal Name]],Table3[[#This Row],[Top Parent Account]])</f>
        <v>Centro Médico Florence</v>
      </c>
      <c r="H2862" s="1"/>
    </row>
    <row r="2863" spans="1:8" x14ac:dyDescent="0.35">
      <c r="A2863" s="21"/>
      <c r="B2863" t="s">
        <v>70</v>
      </c>
      <c r="C2863" t="s">
        <v>6</v>
      </c>
      <c r="D2863" t="s">
        <v>447</v>
      </c>
      <c r="F2863" s="1">
        <v>45910</v>
      </c>
      <c r="G2863" t="str">
        <f>IF(Table3[[#This Row],[Top Parent Account]]="",Table3[[#This Row],[Account Legal Name]],Table3[[#This Row],[Top Parent Account]])</f>
        <v>Intermet</v>
      </c>
      <c r="H2863" s="1"/>
    </row>
    <row r="2864" spans="1:8" x14ac:dyDescent="0.35">
      <c r="A2864" s="21"/>
      <c r="B2864" t="s">
        <v>29</v>
      </c>
      <c r="C2864" t="s">
        <v>6</v>
      </c>
      <c r="D2864" t="s">
        <v>3473</v>
      </c>
      <c r="F2864" s="1">
        <v>45910</v>
      </c>
      <c r="G2864" t="str">
        <f>IF(Table3[[#This Row],[Top Parent Account]]="",Table3[[#This Row],[Account Legal Name]],Table3[[#This Row],[Top Parent Account]])</f>
        <v>Estructuras Metálicas Prefabricadas</v>
      </c>
      <c r="H2864" s="1"/>
    </row>
    <row r="2865" spans="1:8" x14ac:dyDescent="0.35">
      <c r="A2865" s="21"/>
      <c r="B2865" t="s">
        <v>7</v>
      </c>
      <c r="C2865" t="s">
        <v>6</v>
      </c>
      <c r="D2865" t="s">
        <v>3205</v>
      </c>
      <c r="F2865" s="1">
        <v>45910</v>
      </c>
      <c r="G2865" t="str">
        <f>IF(Table3[[#This Row],[Top Parent Account]]="",Table3[[#This Row],[Account Legal Name]],Table3[[#This Row],[Top Parent Account]])</f>
        <v>SUMINSA CORPORATION</v>
      </c>
      <c r="H2865" s="1"/>
    </row>
    <row r="2866" spans="1:8" x14ac:dyDescent="0.35">
      <c r="A2866" s="21"/>
      <c r="B2866" t="s">
        <v>3093</v>
      </c>
      <c r="C2866" t="s">
        <v>6</v>
      </c>
      <c r="D2866" t="s">
        <v>783</v>
      </c>
      <c r="F2866" s="1">
        <v>45910</v>
      </c>
      <c r="G2866" t="str">
        <f>IF(Table3[[#This Row],[Top Parent Account]]="",Table3[[#This Row],[Account Legal Name]],Table3[[#This Row],[Top Parent Account]])</f>
        <v>Grupo Andrade</v>
      </c>
      <c r="H2866" s="1"/>
    </row>
    <row r="2867" spans="1:8" x14ac:dyDescent="0.35">
      <c r="A2867" s="21"/>
      <c r="B2867" t="s">
        <v>2658</v>
      </c>
      <c r="C2867" t="s">
        <v>6</v>
      </c>
      <c r="D2867" t="s">
        <v>3206</v>
      </c>
      <c r="F2867" s="1">
        <v>45910</v>
      </c>
      <c r="G2867" t="str">
        <f>IF(Table3[[#This Row],[Top Parent Account]]="",Table3[[#This Row],[Account Legal Name]],Table3[[#This Row],[Top Parent Account]])</f>
        <v>Leadec</v>
      </c>
      <c r="H2867" s="1"/>
    </row>
    <row r="2868" spans="1:8" x14ac:dyDescent="0.35">
      <c r="A2868" s="21"/>
      <c r="B2868" t="s">
        <v>207</v>
      </c>
      <c r="C2868" t="s">
        <v>6</v>
      </c>
      <c r="D2868" t="s">
        <v>3474</v>
      </c>
      <c r="F2868" s="1">
        <v>45910</v>
      </c>
      <c r="G2868" t="str">
        <f>IF(Table3[[#This Row],[Top Parent Account]]="",Table3[[#This Row],[Account Legal Name]],Table3[[#This Row],[Top Parent Account]])</f>
        <v>LIVEK DEL CARIBE</v>
      </c>
      <c r="H2868" s="1"/>
    </row>
    <row r="2869" spans="1:8" x14ac:dyDescent="0.35">
      <c r="A2869" s="21"/>
      <c r="B2869" t="s">
        <v>280</v>
      </c>
      <c r="C2869" t="s">
        <v>6</v>
      </c>
      <c r="D2869" t="s">
        <v>3475</v>
      </c>
      <c r="F2869" s="1">
        <v>45910</v>
      </c>
      <c r="G2869" t="str">
        <f>IF(Table3[[#This Row],[Top Parent Account]]="",Table3[[#This Row],[Account Legal Name]],Table3[[#This Row],[Top Parent Account]])</f>
        <v>HYDROPONIC SOLUTIONS</v>
      </c>
      <c r="H2869" s="1"/>
    </row>
    <row r="2870" spans="1:8" x14ac:dyDescent="0.35">
      <c r="A2870" s="21"/>
      <c r="B2870" t="s">
        <v>14</v>
      </c>
      <c r="C2870" t="s">
        <v>6</v>
      </c>
      <c r="D2870" t="s">
        <v>3230</v>
      </c>
      <c r="F2870" s="1">
        <v>45910</v>
      </c>
      <c r="G2870" t="str">
        <f>IF(Table3[[#This Row],[Top Parent Account]]="",Table3[[#This Row],[Account Legal Name]],Table3[[#This Row],[Top Parent Account]])</f>
        <v>STELL &amp; RAL</v>
      </c>
      <c r="H2870" s="1"/>
    </row>
    <row r="2871" spans="1:8" x14ac:dyDescent="0.35">
      <c r="A2871" s="21"/>
      <c r="B2871" t="s">
        <v>3095</v>
      </c>
      <c r="C2871" t="s">
        <v>6</v>
      </c>
      <c r="D2871" t="s">
        <v>3207</v>
      </c>
      <c r="F2871" s="1">
        <v>45910</v>
      </c>
      <c r="G2871" t="str">
        <f>IF(Table3[[#This Row],[Top Parent Account]]="",Table3[[#This Row],[Account Legal Name]],Table3[[#This Row],[Top Parent Account]])</f>
        <v>WST Express</v>
      </c>
      <c r="H2871" s="1"/>
    </row>
    <row r="2872" spans="1:8" x14ac:dyDescent="0.35">
      <c r="A2872" s="21"/>
      <c r="B2872" t="s">
        <v>29</v>
      </c>
      <c r="C2872" t="s">
        <v>6</v>
      </c>
      <c r="D2872" t="s">
        <v>3209</v>
      </c>
      <c r="F2872" s="1">
        <v>45910</v>
      </c>
      <c r="G2872" t="str">
        <f>IF(Table3[[#This Row],[Top Parent Account]]="",Table3[[#This Row],[Account Legal Name]],Table3[[#This Row],[Top Parent Account]])</f>
        <v>Alambres Potosí</v>
      </c>
      <c r="H2872" s="1"/>
    </row>
    <row r="2873" spans="1:8" x14ac:dyDescent="0.35">
      <c r="A2873" s="21"/>
      <c r="B2873" t="s">
        <v>1131</v>
      </c>
      <c r="C2873" t="s">
        <v>6</v>
      </c>
      <c r="D2873" t="s">
        <v>3210</v>
      </c>
      <c r="F2873" s="1">
        <v>45910</v>
      </c>
      <c r="G2873" t="str">
        <f>IF(Table3[[#This Row],[Top Parent Account]]="",Table3[[#This Row],[Account Legal Name]],Table3[[#This Row],[Top Parent Account]])</f>
        <v>Pigamex</v>
      </c>
      <c r="H2873" s="1"/>
    </row>
    <row r="2874" spans="1:8" x14ac:dyDescent="0.35">
      <c r="A2874" s="21"/>
      <c r="B2874" t="s">
        <v>1131</v>
      </c>
      <c r="C2874" t="s">
        <v>6</v>
      </c>
      <c r="D2874" t="s">
        <v>2465</v>
      </c>
      <c r="F2874" s="1">
        <v>45910</v>
      </c>
      <c r="G2874" t="str">
        <f>IF(Table3[[#This Row],[Top Parent Account]]="",Table3[[#This Row],[Account Legal Name]],Table3[[#This Row],[Top Parent Account]])</f>
        <v>ACUICOLA BREYEAN</v>
      </c>
      <c r="H2874" s="1"/>
    </row>
    <row r="2875" spans="1:8" x14ac:dyDescent="0.35">
      <c r="A2875" s="21"/>
      <c r="B2875" t="s">
        <v>2309</v>
      </c>
      <c r="C2875" t="s">
        <v>6</v>
      </c>
      <c r="D2875" t="s">
        <v>3208</v>
      </c>
      <c r="F2875" s="1">
        <v>45910</v>
      </c>
      <c r="G2875" t="str">
        <f>IF(Table3[[#This Row],[Top Parent Account]]="",Table3[[#This Row],[Account Legal Name]],Table3[[#This Row],[Top Parent Account]])</f>
        <v>Interlux Persianas</v>
      </c>
      <c r="H2875" s="1"/>
    </row>
    <row r="2876" spans="1:8" x14ac:dyDescent="0.35">
      <c r="A2876" s="21"/>
      <c r="B2876" t="s">
        <v>207</v>
      </c>
      <c r="C2876" t="s">
        <v>6</v>
      </c>
      <c r="D2876" t="s">
        <v>3309</v>
      </c>
      <c r="F2876" s="1">
        <v>45910</v>
      </c>
      <c r="G2876" t="str">
        <f>IF(Table3[[#This Row],[Top Parent Account]]="",Table3[[#This Row],[Account Legal Name]],Table3[[#This Row],[Top Parent Account]])</f>
        <v>Horbis Group</v>
      </c>
      <c r="H2876" s="1"/>
    </row>
    <row r="2877" spans="1:8" x14ac:dyDescent="0.35">
      <c r="A2877" s="21"/>
      <c r="B2877" t="s">
        <v>70</v>
      </c>
      <c r="C2877" t="s">
        <v>22</v>
      </c>
      <c r="D2877" t="s">
        <v>3476</v>
      </c>
      <c r="F2877" s="1">
        <v>45910</v>
      </c>
      <c r="G2877" t="str">
        <f>IF(Table3[[#This Row],[Top Parent Account]]="",Table3[[#This Row],[Account Legal Name]],Table3[[#This Row],[Top Parent Account]])</f>
        <v>Laboratorios Licon</v>
      </c>
      <c r="H2877" s="1"/>
    </row>
    <row r="2878" spans="1:8" x14ac:dyDescent="0.35">
      <c r="A2878" s="21"/>
      <c r="B2878" t="s">
        <v>38</v>
      </c>
      <c r="C2878" t="s">
        <v>6</v>
      </c>
      <c r="D2878" t="s">
        <v>560</v>
      </c>
      <c r="F2878" s="1">
        <v>45910</v>
      </c>
      <c r="G2878" t="str">
        <f>IF(Table3[[#This Row],[Top Parent Account]]="",Table3[[#This Row],[Account Legal Name]],Table3[[#This Row],[Top Parent Account]])</f>
        <v>Constructora Chufani</v>
      </c>
      <c r="H2878" s="1"/>
    </row>
    <row r="2879" spans="1:8" x14ac:dyDescent="0.35">
      <c r="A2879" s="21"/>
      <c r="B2879" t="s">
        <v>2693</v>
      </c>
      <c r="C2879" t="s">
        <v>6</v>
      </c>
      <c r="D2879" t="s">
        <v>3157</v>
      </c>
      <c r="F2879" s="1">
        <v>45910</v>
      </c>
      <c r="G2879" t="str">
        <f>IF(Table3[[#This Row],[Top Parent Account]]="",Table3[[#This Row],[Account Legal Name]],Table3[[#This Row],[Top Parent Account]])</f>
        <v>Productora y Comercializadora Sphenarium</v>
      </c>
      <c r="H2879" s="1"/>
    </row>
    <row r="2880" spans="1:8" x14ac:dyDescent="0.35">
      <c r="A2880" s="21"/>
      <c r="B2880" t="s">
        <v>39</v>
      </c>
      <c r="C2880" t="s">
        <v>3211</v>
      </c>
      <c r="D2880" t="s">
        <v>794</v>
      </c>
      <c r="F2880" s="1">
        <v>45910</v>
      </c>
      <c r="G2880" t="str">
        <f>IF(Table3[[#This Row],[Top Parent Account]]="",Table3[[#This Row],[Account Legal Name]],Table3[[#This Row],[Top Parent Account]])</f>
        <v>Granjas Avicolas Rancho Grande</v>
      </c>
      <c r="H2880" s="1"/>
    </row>
    <row r="2881" spans="1:8" x14ac:dyDescent="0.35">
      <c r="A2881" s="21"/>
      <c r="B2881" t="s">
        <v>280</v>
      </c>
      <c r="C2881" t="s">
        <v>6</v>
      </c>
      <c r="D2881" t="s">
        <v>2850</v>
      </c>
      <c r="F2881" s="1">
        <v>45910</v>
      </c>
      <c r="G2881" t="str">
        <f>IF(Table3[[#This Row],[Top Parent Account]]="",Table3[[#This Row],[Account Legal Name]],Table3[[#This Row],[Top Parent Account]])</f>
        <v>Fertilizantes Gómez</v>
      </c>
      <c r="H2881" s="1"/>
    </row>
    <row r="2882" spans="1:8" x14ac:dyDescent="0.35">
      <c r="A2882" s="21"/>
      <c r="B2882" t="s">
        <v>739</v>
      </c>
      <c r="C2882" t="s">
        <v>6</v>
      </c>
      <c r="D2882" t="s">
        <v>215</v>
      </c>
      <c r="F2882" s="1">
        <v>45910</v>
      </c>
      <c r="G2882" t="str">
        <f>IF(Table3[[#This Row],[Top Parent Account]]="",Table3[[#This Row],[Account Legal Name]],Table3[[#This Row],[Top Parent Account]])</f>
        <v>Promotora Caribeña</v>
      </c>
      <c r="H2882" s="1"/>
    </row>
    <row r="2883" spans="1:8" x14ac:dyDescent="0.35">
      <c r="A2883" s="21"/>
      <c r="B2883" t="s">
        <v>932</v>
      </c>
      <c r="C2883" t="s">
        <v>1693</v>
      </c>
      <c r="D2883" t="s">
        <v>3482</v>
      </c>
      <c r="F2883" s="1">
        <v>45910</v>
      </c>
      <c r="G2883" t="str">
        <f>IF(Table3[[#This Row],[Top Parent Account]]="",Table3[[#This Row],[Account Legal Name]],Table3[[#This Row],[Top Parent Account]])</f>
        <v>Grupo Austro</v>
      </c>
      <c r="H2883" s="1"/>
    </row>
    <row r="2884" spans="1:8" x14ac:dyDescent="0.35">
      <c r="A2884" s="21"/>
      <c r="B2884" t="s">
        <v>25</v>
      </c>
      <c r="C2884" t="s">
        <v>6</v>
      </c>
      <c r="D2884" t="s">
        <v>3212</v>
      </c>
      <c r="F2884" s="1">
        <v>45909</v>
      </c>
      <c r="G2884" t="str">
        <f>IF(Table3[[#This Row],[Top Parent Account]]="",Table3[[#This Row],[Account Legal Name]],Table3[[#This Row],[Top Parent Account]])</f>
        <v>Proyectos Nacionales de Transporte</v>
      </c>
      <c r="H2884" s="1"/>
    </row>
    <row r="2885" spans="1:8" x14ac:dyDescent="0.35">
      <c r="A2885" s="21"/>
      <c r="B2885" t="s">
        <v>25</v>
      </c>
      <c r="C2885" t="s">
        <v>6</v>
      </c>
      <c r="D2885" t="s">
        <v>1114</v>
      </c>
      <c r="F2885" s="1">
        <v>45909</v>
      </c>
      <c r="G2885" t="str">
        <f>IF(Table3[[#This Row],[Top Parent Account]]="",Table3[[#This Row],[Account Legal Name]],Table3[[#This Row],[Top Parent Account]])</f>
        <v>Autotransportes Cova</v>
      </c>
      <c r="H2885" s="1"/>
    </row>
    <row r="2886" spans="1:8" x14ac:dyDescent="0.35">
      <c r="A2886" s="21"/>
      <c r="B2886" t="s">
        <v>84</v>
      </c>
      <c r="C2886" t="s">
        <v>3213</v>
      </c>
      <c r="D2886" t="s">
        <v>3214</v>
      </c>
      <c r="E2886" t="s">
        <v>251</v>
      </c>
      <c r="F2886" s="1">
        <v>45909</v>
      </c>
      <c r="G2886" t="str">
        <f>IF(Table3[[#This Row],[Top Parent Account]]="",Table3[[#This Row],[Account Legal Name]],Table3[[#This Row],[Top Parent Account]])</f>
        <v>Abinsa</v>
      </c>
      <c r="H2886" s="1"/>
    </row>
    <row r="2887" spans="1:8" x14ac:dyDescent="0.35">
      <c r="A2887" s="21"/>
      <c r="B2887" t="s">
        <v>25</v>
      </c>
      <c r="C2887" t="s">
        <v>6</v>
      </c>
      <c r="D2887" t="s">
        <v>3215</v>
      </c>
      <c r="E2887" t="s">
        <v>3216</v>
      </c>
      <c r="F2887" s="1">
        <v>45909</v>
      </c>
      <c r="G2887" t="str">
        <f>IF(Table3[[#This Row],[Top Parent Account]]="",Table3[[#This Row],[Account Legal Name]],Table3[[#This Row],[Top Parent Account]])</f>
        <v>Corredor Insurgentes</v>
      </c>
      <c r="H2887" s="1"/>
    </row>
    <row r="2888" spans="1:8" x14ac:dyDescent="0.35">
      <c r="A2888" s="21"/>
      <c r="B2888" t="s">
        <v>3093</v>
      </c>
      <c r="C2888" t="s">
        <v>6</v>
      </c>
      <c r="D2888" t="s">
        <v>784</v>
      </c>
      <c r="E2888" t="s">
        <v>3217</v>
      </c>
      <c r="F2888" s="1">
        <v>45909</v>
      </c>
      <c r="G2888" t="str">
        <f>IF(Table3[[#This Row],[Top Parent Account]]="",Table3[[#This Row],[Account Legal Name]],Table3[[#This Row],[Top Parent Account]])</f>
        <v>Envaserv</v>
      </c>
      <c r="H2888" s="1"/>
    </row>
    <row r="2889" spans="1:8" x14ac:dyDescent="0.35">
      <c r="A2889" s="21"/>
      <c r="B2889" t="s">
        <v>3175</v>
      </c>
      <c r="C2889" t="s">
        <v>6</v>
      </c>
      <c r="D2889" t="s">
        <v>3219</v>
      </c>
      <c r="F2889" s="1">
        <v>45909</v>
      </c>
      <c r="G2889" t="str">
        <f>IF(Table3[[#This Row],[Top Parent Account]]="",Table3[[#This Row],[Account Legal Name]],Table3[[#This Row],[Top Parent Account]])</f>
        <v>Feiva</v>
      </c>
      <c r="H2889" s="1"/>
    </row>
    <row r="2890" spans="1:8" x14ac:dyDescent="0.35">
      <c r="A2890" s="21"/>
      <c r="B2890" t="s">
        <v>739</v>
      </c>
      <c r="C2890" t="s">
        <v>6</v>
      </c>
      <c r="D2890" t="s">
        <v>3218</v>
      </c>
      <c r="F2890" s="1">
        <v>45909</v>
      </c>
      <c r="G2890" t="str">
        <f>IF(Table3[[#This Row],[Top Parent Account]]="",Table3[[#This Row],[Account Legal Name]],Table3[[#This Row],[Top Parent Account]])</f>
        <v>Kayser Automotive Systems</v>
      </c>
      <c r="H2890" s="1"/>
    </row>
    <row r="2891" spans="1:8" x14ac:dyDescent="0.35">
      <c r="A2891" s="21"/>
      <c r="B2891" t="s">
        <v>3114</v>
      </c>
      <c r="C2891" t="s">
        <v>52</v>
      </c>
      <c r="D2891" t="s">
        <v>3220</v>
      </c>
      <c r="F2891" s="1">
        <v>45909</v>
      </c>
      <c r="G2891" t="str">
        <f>IF(Table3[[#This Row],[Top Parent Account]]="",Table3[[#This Row],[Account Legal Name]],Table3[[#This Row],[Top Parent Account]])</f>
        <v>Aceros y Overollings de México</v>
      </c>
      <c r="H2891" s="1"/>
    </row>
    <row r="2892" spans="1:8" x14ac:dyDescent="0.35">
      <c r="A2892" s="21"/>
      <c r="B2892" t="s">
        <v>51</v>
      </c>
      <c r="C2892" t="s">
        <v>6</v>
      </c>
      <c r="D2892" t="s">
        <v>3221</v>
      </c>
      <c r="F2892" s="1">
        <v>45909</v>
      </c>
      <c r="G2892" t="str">
        <f>IF(Table3[[#This Row],[Top Parent Account]]="",Table3[[#This Row],[Account Legal Name]],Table3[[#This Row],[Top Parent Account]])</f>
        <v>Industrializadora de Plásticos y Flejes</v>
      </c>
      <c r="H2892" s="1"/>
    </row>
    <row r="2893" spans="1:8" x14ac:dyDescent="0.35">
      <c r="A2893" s="21"/>
      <c r="B2893" t="s">
        <v>10</v>
      </c>
      <c r="C2893" t="s">
        <v>6</v>
      </c>
      <c r="D2893" t="s">
        <v>666</v>
      </c>
      <c r="F2893" s="1">
        <v>45909</v>
      </c>
      <c r="G2893" t="str">
        <f>IF(Table3[[#This Row],[Top Parent Account]]="",Table3[[#This Row],[Account Legal Name]],Table3[[#This Row],[Top Parent Account]])</f>
        <v>Hospital San Javier</v>
      </c>
      <c r="H2893" s="1"/>
    </row>
    <row r="2894" spans="1:8" x14ac:dyDescent="0.35">
      <c r="A2894" s="21"/>
      <c r="B2894" t="s">
        <v>932</v>
      </c>
      <c r="C2894" t="s">
        <v>6</v>
      </c>
      <c r="D2894" t="s">
        <v>3222</v>
      </c>
      <c r="F2894" s="1">
        <v>45909</v>
      </c>
      <c r="G2894" t="str">
        <f>IF(Table3[[#This Row],[Top Parent Account]]="",Table3[[#This Row],[Account Legal Name]],Table3[[#This Row],[Top Parent Account]])</f>
        <v>Megaluminio Servicios</v>
      </c>
      <c r="H2894" s="1"/>
    </row>
    <row r="2895" spans="1:8" x14ac:dyDescent="0.35">
      <c r="A2895" s="21"/>
      <c r="B2895" t="s">
        <v>28</v>
      </c>
      <c r="C2895" t="s">
        <v>6</v>
      </c>
      <c r="D2895" t="s">
        <v>1070</v>
      </c>
      <c r="F2895" s="1">
        <v>45909</v>
      </c>
      <c r="G2895" t="str">
        <f>IF(Table3[[#This Row],[Top Parent Account]]="",Table3[[#This Row],[Account Legal Name]],Table3[[#This Row],[Top Parent Account]])</f>
        <v>Terramex Transporte Y Logística</v>
      </c>
      <c r="H2895" s="1"/>
    </row>
    <row r="2896" spans="1:8" x14ac:dyDescent="0.35">
      <c r="A2896" s="21"/>
      <c r="B2896" t="s">
        <v>25</v>
      </c>
      <c r="C2896" t="s">
        <v>6</v>
      </c>
      <c r="D2896" t="s">
        <v>3477</v>
      </c>
      <c r="F2896" s="1">
        <v>45909</v>
      </c>
      <c r="G2896" t="str">
        <f>IF(Table3[[#This Row],[Top Parent Account]]="",Table3[[#This Row],[Account Legal Name]],Table3[[#This Row],[Top Parent Account]])</f>
        <v>CURVA VILLA IXTACALA CURVIX</v>
      </c>
      <c r="H2896" s="1"/>
    </row>
    <row r="2897" spans="1:8" x14ac:dyDescent="0.35">
      <c r="A2897" s="21"/>
      <c r="B2897" t="s">
        <v>3182</v>
      </c>
      <c r="C2897" t="s">
        <v>22</v>
      </c>
      <c r="D2897" t="s">
        <v>3223</v>
      </c>
      <c r="E2897" t="s">
        <v>831</v>
      </c>
      <c r="F2897" s="1">
        <v>45909</v>
      </c>
      <c r="G2897" t="str">
        <f>IF(Table3[[#This Row],[Top Parent Account]]="",Table3[[#This Row],[Account Legal Name]],Table3[[#This Row],[Top Parent Account]])</f>
        <v>Drager Medical México</v>
      </c>
      <c r="H2897" s="1"/>
    </row>
    <row r="2898" spans="1:8" x14ac:dyDescent="0.35">
      <c r="A2898" s="21"/>
      <c r="B2898" t="s">
        <v>2884</v>
      </c>
      <c r="C2898" t="s">
        <v>6</v>
      </c>
      <c r="D2898" t="s">
        <v>3478</v>
      </c>
      <c r="F2898" s="1">
        <v>45909</v>
      </c>
      <c r="G2898" t="str">
        <f>IF(Table3[[#This Row],[Top Parent Account]]="",Table3[[#This Row],[Account Legal Name]],Table3[[#This Row],[Top Parent Account]])</f>
        <v>Outdoor México Servicios Publicitarios</v>
      </c>
      <c r="H2898" s="1"/>
    </row>
    <row r="2899" spans="1:8" x14ac:dyDescent="0.35">
      <c r="A2899" s="21"/>
      <c r="B2899" t="s">
        <v>23</v>
      </c>
      <c r="C2899" t="s">
        <v>6</v>
      </c>
      <c r="D2899" t="s">
        <v>73</v>
      </c>
      <c r="F2899" s="1">
        <v>45909</v>
      </c>
      <c r="G2899" t="str">
        <f>IF(Table3[[#This Row],[Top Parent Account]]="",Table3[[#This Row],[Account Legal Name]],Table3[[#This Row],[Top Parent Account]])</f>
        <v>IPQ PLASTIQ</v>
      </c>
      <c r="H2899" s="1"/>
    </row>
    <row r="2900" spans="1:8" x14ac:dyDescent="0.35">
      <c r="A2900" s="21"/>
      <c r="B2900" t="s">
        <v>3092</v>
      </c>
      <c r="C2900" t="s">
        <v>22</v>
      </c>
      <c r="D2900" t="s">
        <v>3224</v>
      </c>
      <c r="F2900" s="1">
        <v>45909</v>
      </c>
      <c r="G2900" t="str">
        <f>IF(Table3[[#This Row],[Top Parent Account]]="",Table3[[#This Row],[Account Legal Name]],Table3[[#This Row],[Top Parent Account]])</f>
        <v>Cargatel</v>
      </c>
      <c r="H2900" s="1"/>
    </row>
    <row r="2901" spans="1:8" x14ac:dyDescent="0.35">
      <c r="A2901" s="21"/>
      <c r="B2901" t="s">
        <v>2912</v>
      </c>
      <c r="C2901" t="s">
        <v>6</v>
      </c>
      <c r="D2901" t="s">
        <v>3246</v>
      </c>
      <c r="F2901" s="1">
        <v>45909</v>
      </c>
      <c r="G2901" t="str">
        <f>IF(Table3[[#This Row],[Top Parent Account]]="",Table3[[#This Row],[Account Legal Name]],Table3[[#This Row],[Top Parent Account]])</f>
        <v>Grupo Rotoplas</v>
      </c>
      <c r="H2901" s="1"/>
    </row>
    <row r="2902" spans="1:8" x14ac:dyDescent="0.35">
      <c r="A2902" s="21"/>
      <c r="B2902" t="s">
        <v>169</v>
      </c>
      <c r="C2902" t="s">
        <v>6</v>
      </c>
      <c r="D2902" t="s">
        <v>1867</v>
      </c>
      <c r="F2902" s="1">
        <v>45909</v>
      </c>
      <c r="G2902" t="str">
        <f>IF(Table3[[#This Row],[Top Parent Account]]="",Table3[[#This Row],[Account Legal Name]],Table3[[#This Row],[Top Parent Account]])</f>
        <v>Odisa Obras y Desarrollos Industriales</v>
      </c>
      <c r="H2902" s="1"/>
    </row>
    <row r="2903" spans="1:8" x14ac:dyDescent="0.35">
      <c r="A2903" s="21"/>
      <c r="B2903" t="s">
        <v>3114</v>
      </c>
      <c r="C2903" t="s">
        <v>3225</v>
      </c>
      <c r="D2903" t="s">
        <v>3226</v>
      </c>
      <c r="F2903" s="1">
        <v>45909</v>
      </c>
      <c r="G2903" t="str">
        <f>IF(Table3[[#This Row],[Top Parent Account]]="",Table3[[#This Row],[Account Legal Name]],Table3[[#This Row],[Top Parent Account]])</f>
        <v>Arrendadora Datamovil</v>
      </c>
      <c r="H2903" s="1"/>
    </row>
    <row r="2904" spans="1:8" x14ac:dyDescent="0.35">
      <c r="A2904" s="21"/>
      <c r="B2904" t="s">
        <v>56</v>
      </c>
      <c r="C2904" t="s">
        <v>6</v>
      </c>
      <c r="D2904" t="s">
        <v>3227</v>
      </c>
      <c r="F2904" s="1">
        <v>45909</v>
      </c>
      <c r="G2904" t="str">
        <f>IF(Table3[[#This Row],[Top Parent Account]]="",Table3[[#This Row],[Account Legal Name]],Table3[[#This Row],[Top Parent Account]])</f>
        <v>Phoenix Packaging México</v>
      </c>
      <c r="H2904" s="1"/>
    </row>
    <row r="2905" spans="1:8" x14ac:dyDescent="0.35">
      <c r="A2905" s="21"/>
      <c r="B2905" t="s">
        <v>3182</v>
      </c>
      <c r="C2905" t="s">
        <v>6</v>
      </c>
      <c r="D2905" t="s">
        <v>181</v>
      </c>
      <c r="F2905" s="1">
        <v>45909</v>
      </c>
      <c r="G2905" t="str">
        <f>IF(Table3[[#This Row],[Top Parent Account]]="",Table3[[#This Row],[Account Legal Name]],Table3[[#This Row],[Top Parent Account]])</f>
        <v>Heidelberg México</v>
      </c>
      <c r="H2905" s="1"/>
    </row>
    <row r="2906" spans="1:8" x14ac:dyDescent="0.35">
      <c r="A2906" s="21"/>
      <c r="B2906" t="s">
        <v>925</v>
      </c>
      <c r="C2906" t="s">
        <v>6</v>
      </c>
      <c r="D2906" t="s">
        <v>3228</v>
      </c>
      <c r="F2906" s="1">
        <v>45909</v>
      </c>
      <c r="G2906" t="str">
        <f>IF(Table3[[#This Row],[Top Parent Account]]="",Table3[[#This Row],[Account Legal Name]],Table3[[#This Row],[Top Parent Account]])</f>
        <v>BELUGA DE MÉXICO</v>
      </c>
      <c r="H2906" s="1"/>
    </row>
    <row r="2907" spans="1:8" x14ac:dyDescent="0.35">
      <c r="A2907" s="21"/>
      <c r="B2907" t="s">
        <v>12</v>
      </c>
      <c r="C2907" t="s">
        <v>6</v>
      </c>
      <c r="D2907" t="s">
        <v>704</v>
      </c>
      <c r="F2907" s="1">
        <v>45909</v>
      </c>
      <c r="G2907" t="str">
        <f>IF(Table3[[#This Row],[Top Parent Account]]="",Table3[[#This Row],[Account Legal Name]],Table3[[#This Row],[Top Parent Account]])</f>
        <v>CICLO CORPORATIVO</v>
      </c>
      <c r="H2907" s="1"/>
    </row>
    <row r="2908" spans="1:8" x14ac:dyDescent="0.35">
      <c r="A2908" s="21"/>
      <c r="B2908" t="s">
        <v>12</v>
      </c>
      <c r="C2908" t="s">
        <v>6</v>
      </c>
      <c r="D2908" t="s">
        <v>557</v>
      </c>
      <c r="F2908" s="1">
        <v>45909</v>
      </c>
      <c r="G2908" t="str">
        <f>IF(Table3[[#This Row],[Top Parent Account]]="",Table3[[#This Row],[Account Legal Name]],Table3[[#This Row],[Top Parent Account]])</f>
        <v>Celulares y Accesorios del Sureste S.A.</v>
      </c>
      <c r="H2908" s="1"/>
    </row>
    <row r="2909" spans="1:8" x14ac:dyDescent="0.35">
      <c r="A2909" s="21"/>
      <c r="B2909" t="s">
        <v>1511</v>
      </c>
      <c r="C2909" t="s">
        <v>6</v>
      </c>
      <c r="D2909" t="s">
        <v>2121</v>
      </c>
      <c r="F2909" s="1">
        <v>45909</v>
      </c>
      <c r="G2909" t="str">
        <f>IF(Table3[[#This Row],[Top Parent Account]]="",Table3[[#This Row],[Account Legal Name]],Table3[[#This Row],[Top Parent Account]])</f>
        <v>Grupo Inmobiliario Arrendador</v>
      </c>
      <c r="H2909" s="1"/>
    </row>
    <row r="2910" spans="1:8" x14ac:dyDescent="0.35">
      <c r="A2910" s="21"/>
      <c r="B2910" t="s">
        <v>169</v>
      </c>
      <c r="C2910" t="s">
        <v>6</v>
      </c>
      <c r="D2910" t="s">
        <v>3229</v>
      </c>
      <c r="F2910" s="1">
        <v>45909</v>
      </c>
      <c r="G2910" t="str">
        <f>IF(Table3[[#This Row],[Top Parent Account]]="",Table3[[#This Row],[Account Legal Name]],Table3[[#This Row],[Top Parent Account]])</f>
        <v>Sistemas de bombas y motores</v>
      </c>
      <c r="H2910" s="1"/>
    </row>
    <row r="2911" spans="1:8" x14ac:dyDescent="0.35">
      <c r="A2911" s="21"/>
      <c r="B2911" t="s">
        <v>14</v>
      </c>
      <c r="C2911" t="s">
        <v>6</v>
      </c>
      <c r="D2911" t="s">
        <v>3230</v>
      </c>
      <c r="F2911" s="1">
        <v>45908</v>
      </c>
      <c r="G2911" t="str">
        <f>IF(Table3[[#This Row],[Top Parent Account]]="",Table3[[#This Row],[Account Legal Name]],Table3[[#This Row],[Top Parent Account]])</f>
        <v>STELL &amp; RAL</v>
      </c>
      <c r="H2911" s="1"/>
    </row>
    <row r="2912" spans="1:8" x14ac:dyDescent="0.35">
      <c r="A2912" s="21"/>
      <c r="B2912" t="s">
        <v>989</v>
      </c>
      <c r="C2912" t="s">
        <v>6</v>
      </c>
      <c r="D2912" t="s">
        <v>1575</v>
      </c>
      <c r="F2912" s="1">
        <v>45908</v>
      </c>
      <c r="G2912" t="str">
        <f>IF(Table3[[#This Row],[Top Parent Account]]="",Table3[[#This Row],[Account Legal Name]],Table3[[#This Row],[Top Parent Account]])</f>
        <v>Solfium</v>
      </c>
      <c r="H2912" s="1"/>
    </row>
    <row r="2913" spans="1:8" x14ac:dyDescent="0.35">
      <c r="A2913" s="21"/>
      <c r="B2913" t="s">
        <v>969</v>
      </c>
      <c r="C2913" t="s">
        <v>6</v>
      </c>
      <c r="D2913" t="s">
        <v>3231</v>
      </c>
      <c r="F2913" s="1">
        <v>45908</v>
      </c>
      <c r="G2913" t="str">
        <f>IF(Table3[[#This Row],[Top Parent Account]]="",Table3[[#This Row],[Account Legal Name]],Table3[[#This Row],[Top Parent Account]])</f>
        <v>EQUIPOS ELECTROMECANICOS</v>
      </c>
      <c r="H2913" s="1"/>
    </row>
    <row r="2914" spans="1:8" x14ac:dyDescent="0.35">
      <c r="A2914" s="21"/>
      <c r="B2914" t="s">
        <v>932</v>
      </c>
      <c r="C2914" t="s">
        <v>6</v>
      </c>
      <c r="D2914" t="s">
        <v>1009</v>
      </c>
      <c r="F2914" s="1">
        <v>45908</v>
      </c>
      <c r="G2914" t="str">
        <f>IF(Table3[[#This Row],[Top Parent Account]]="",Table3[[#This Row],[Account Legal Name]],Table3[[#This Row],[Top Parent Account]])</f>
        <v>Sodequim</v>
      </c>
      <c r="H2914" s="1"/>
    </row>
    <row r="2915" spans="1:8" x14ac:dyDescent="0.35">
      <c r="A2915" s="21"/>
      <c r="B2915" t="s">
        <v>23</v>
      </c>
      <c r="C2915" t="s">
        <v>6</v>
      </c>
      <c r="D2915" t="s">
        <v>3113</v>
      </c>
      <c r="F2915" s="1">
        <v>45908</v>
      </c>
      <c r="G2915" t="str">
        <f>IF(Table3[[#This Row],[Top Parent Account]]="",Table3[[#This Row],[Account Legal Name]],Table3[[#This Row],[Top Parent Account]])</f>
        <v>Metrocolor de Mexico</v>
      </c>
      <c r="H2915" s="1"/>
    </row>
    <row r="2916" spans="1:8" x14ac:dyDescent="0.35">
      <c r="A2916" s="21"/>
      <c r="B2916" t="s">
        <v>24</v>
      </c>
      <c r="C2916" t="s">
        <v>6</v>
      </c>
      <c r="D2916" t="s">
        <v>3232</v>
      </c>
      <c r="F2916" s="1">
        <v>45908</v>
      </c>
      <c r="G2916" t="str">
        <f>IF(Table3[[#This Row],[Top Parent Account]]="",Table3[[#This Row],[Account Legal Name]],Table3[[#This Row],[Top Parent Account]])</f>
        <v>MT Pesca Industrial</v>
      </c>
      <c r="H2916" s="1"/>
    </row>
    <row r="2917" spans="1:8" x14ac:dyDescent="0.35">
      <c r="A2917" s="21"/>
      <c r="B2917" t="s">
        <v>3092</v>
      </c>
      <c r="C2917" t="s">
        <v>6</v>
      </c>
      <c r="D2917" t="s">
        <v>3233</v>
      </c>
      <c r="F2917" s="1">
        <v>45908</v>
      </c>
      <c r="G2917" t="str">
        <f>IF(Table3[[#This Row],[Top Parent Account]]="",Table3[[#This Row],[Account Legal Name]],Table3[[#This Row],[Top Parent Account]])</f>
        <v>Asia Product Network</v>
      </c>
      <c r="H2917" s="1"/>
    </row>
    <row r="2918" spans="1:8" x14ac:dyDescent="0.35">
      <c r="A2918" s="21"/>
      <c r="B2918" t="s">
        <v>23</v>
      </c>
      <c r="C2918" t="s">
        <v>6</v>
      </c>
      <c r="D2918" t="s">
        <v>526</v>
      </c>
      <c r="F2918" s="1">
        <v>45908</v>
      </c>
      <c r="G2918" t="str">
        <f>IF(Table3[[#This Row],[Top Parent Account]]="",Table3[[#This Row],[Account Legal Name]],Table3[[#This Row],[Top Parent Account]])</f>
        <v>CAMOMO</v>
      </c>
      <c r="H2918" s="1"/>
    </row>
    <row r="2919" spans="1:8" x14ac:dyDescent="0.35">
      <c r="A2919" s="21"/>
      <c r="B2919" t="s">
        <v>70</v>
      </c>
      <c r="C2919" t="s">
        <v>22</v>
      </c>
      <c r="D2919" t="s">
        <v>971</v>
      </c>
      <c r="F2919" s="1">
        <v>45908</v>
      </c>
      <c r="G2919" t="str">
        <f>IF(Table3[[#This Row],[Top Parent Account]]="",Table3[[#This Row],[Account Legal Name]],Table3[[#This Row],[Top Parent Account]])</f>
        <v>Endomédica</v>
      </c>
      <c r="H2919" s="1"/>
    </row>
    <row r="2920" spans="1:8" x14ac:dyDescent="0.35">
      <c r="A2920" s="21"/>
      <c r="B2920" t="s">
        <v>70</v>
      </c>
      <c r="C2920" t="s">
        <v>6</v>
      </c>
      <c r="D2920" t="s">
        <v>3761</v>
      </c>
      <c r="F2920" s="1">
        <v>45908</v>
      </c>
      <c r="G2920" t="str">
        <f>IF(Table3[[#This Row],[Top Parent Account]]="",Table3[[#This Row],[Account Legal Name]],Table3[[#This Row],[Top Parent Account]])</f>
        <v>Pharmacur</v>
      </c>
      <c r="H2920" s="1"/>
    </row>
    <row r="2921" spans="1:8" x14ac:dyDescent="0.35">
      <c r="A2921" s="21"/>
      <c r="B2921" t="s">
        <v>3114</v>
      </c>
      <c r="C2921" t="s">
        <v>52</v>
      </c>
      <c r="D2921" t="s">
        <v>3234</v>
      </c>
      <c r="F2921" s="1">
        <v>45908</v>
      </c>
      <c r="G2921" t="str">
        <f>IF(Table3[[#This Row],[Top Parent Account]]="",Table3[[#This Row],[Account Legal Name]],Table3[[#This Row],[Top Parent Account]])</f>
        <v>Racing Cargo México</v>
      </c>
      <c r="H2921" s="1"/>
    </row>
    <row r="2922" spans="1:8" x14ac:dyDescent="0.35">
      <c r="A2922" s="21"/>
      <c r="B2922" t="s">
        <v>970</v>
      </c>
      <c r="C2922" t="s">
        <v>6</v>
      </c>
      <c r="D2922" t="s">
        <v>307</v>
      </c>
      <c r="F2922" s="1">
        <v>45905</v>
      </c>
      <c r="G2922" t="str">
        <f>IF(Table3[[#This Row],[Top Parent Account]]="",Table3[[#This Row],[Account Legal Name]],Table3[[#This Row],[Top Parent Account]])</f>
        <v>Thor Urbana</v>
      </c>
      <c r="H2922" s="1"/>
    </row>
    <row r="2923" spans="1:8" x14ac:dyDescent="0.35">
      <c r="A2923" s="21"/>
      <c r="B2923" t="s">
        <v>589</v>
      </c>
      <c r="C2923" t="s">
        <v>6</v>
      </c>
      <c r="D2923" t="s">
        <v>3111</v>
      </c>
      <c r="F2923" s="1">
        <v>45905</v>
      </c>
      <c r="G2923" t="str">
        <f>IF(Table3[[#This Row],[Top Parent Account]]="",Table3[[#This Row],[Account Legal Name]],Table3[[#This Row],[Top Parent Account]])</f>
        <v>Sauro logistics</v>
      </c>
      <c r="H2923" s="1"/>
    </row>
    <row r="2924" spans="1:8" x14ac:dyDescent="0.35">
      <c r="A2924" s="21"/>
      <c r="B2924" t="s">
        <v>970</v>
      </c>
      <c r="C2924" t="s">
        <v>6</v>
      </c>
      <c r="D2924" t="s">
        <v>200</v>
      </c>
      <c r="F2924" s="1">
        <v>45905</v>
      </c>
      <c r="G2924" t="str">
        <f>IF(Table3[[#This Row],[Top Parent Account]]="",Table3[[#This Row],[Account Legal Name]],Table3[[#This Row],[Top Parent Account]])</f>
        <v>Grupo Industrial Summa</v>
      </c>
      <c r="H2924" s="1"/>
    </row>
    <row r="2925" spans="1:8" x14ac:dyDescent="0.35">
      <c r="A2925" s="21"/>
      <c r="B2925" t="s">
        <v>207</v>
      </c>
      <c r="C2925" t="s">
        <v>6</v>
      </c>
      <c r="D2925" t="s">
        <v>3112</v>
      </c>
      <c r="F2925" s="1">
        <v>45905</v>
      </c>
      <c r="G2925" t="str">
        <f>IF(Table3[[#This Row],[Top Parent Account]]="",Table3[[#This Row],[Account Legal Name]],Table3[[#This Row],[Top Parent Account]])</f>
        <v>MHFL Transportes</v>
      </c>
      <c r="H2925" s="1"/>
    </row>
    <row r="2926" spans="1:8" x14ac:dyDescent="0.35">
      <c r="A2926" s="21"/>
      <c r="B2926" t="s">
        <v>70</v>
      </c>
      <c r="C2926" t="s">
        <v>22</v>
      </c>
      <c r="D2926" t="s">
        <v>203</v>
      </c>
      <c r="F2926" s="1">
        <v>45905</v>
      </c>
      <c r="G2926" t="str">
        <f>IF(Table3[[#This Row],[Top Parent Account]]="",Table3[[#This Row],[Account Legal Name]],Table3[[#This Row],[Top Parent Account]])</f>
        <v>Fundación De Asistencia Privada Conde De Valenciana</v>
      </c>
      <c r="H2926" s="1"/>
    </row>
    <row r="2927" spans="1:8" x14ac:dyDescent="0.35">
      <c r="A2927" s="21"/>
      <c r="B2927" t="s">
        <v>207</v>
      </c>
      <c r="C2927" t="s">
        <v>6</v>
      </c>
      <c r="D2927" t="s">
        <v>3105</v>
      </c>
      <c r="F2927" s="1">
        <v>45905</v>
      </c>
      <c r="G2927" t="str">
        <f>IF(Table3[[#This Row],[Top Parent Account]]="",Table3[[#This Row],[Account Legal Name]],Table3[[#This Row],[Top Parent Account]])</f>
        <v>Compañía Comercializadora Prodín Centro</v>
      </c>
      <c r="H2927" s="1"/>
    </row>
    <row r="2928" spans="1:8" x14ac:dyDescent="0.35">
      <c r="A2928" s="21"/>
      <c r="B2928" t="s">
        <v>121</v>
      </c>
      <c r="C2928" t="s">
        <v>6</v>
      </c>
      <c r="D2928" t="s">
        <v>808</v>
      </c>
      <c r="F2928" s="1">
        <v>45905</v>
      </c>
      <c r="G2928" t="str">
        <f>IF(Table3[[#This Row],[Top Parent Account]]="",Table3[[#This Row],[Account Legal Name]],Table3[[#This Row],[Top Parent Account]])</f>
        <v>CORTEZ SEA FOOD</v>
      </c>
      <c r="H2928" s="1"/>
    </row>
    <row r="2929" spans="1:8" x14ac:dyDescent="0.35">
      <c r="A2929" s="21"/>
      <c r="B2929" t="s">
        <v>3114</v>
      </c>
      <c r="C2929" t="s">
        <v>3115</v>
      </c>
      <c r="D2929" t="s">
        <v>3116</v>
      </c>
      <c r="E2929" t="s">
        <v>4110</v>
      </c>
      <c r="F2929" s="1">
        <v>45905</v>
      </c>
      <c r="G2929" t="str">
        <f>IF(Table3[[#This Row],[Top Parent Account]]="",Table3[[#This Row],[Account Legal Name]],Table3[[#This Row],[Top Parent Account]])</f>
        <v>Aleciones Y Metales Industriales</v>
      </c>
      <c r="H2929" s="1"/>
    </row>
    <row r="2930" spans="1:8" x14ac:dyDescent="0.35">
      <c r="A2930" s="21"/>
      <c r="B2930" t="s">
        <v>7</v>
      </c>
      <c r="C2930" t="s">
        <v>6</v>
      </c>
      <c r="D2930" t="s">
        <v>3117</v>
      </c>
      <c r="F2930" s="1">
        <v>45905</v>
      </c>
      <c r="G2930" t="str">
        <f>IF(Table3[[#This Row],[Top Parent Account]]="",Table3[[#This Row],[Account Legal Name]],Table3[[#This Row],[Top Parent Account]])</f>
        <v>TPS RENTAL</v>
      </c>
      <c r="H2930" s="1"/>
    </row>
    <row r="2931" spans="1:8" x14ac:dyDescent="0.35">
      <c r="A2931" s="21"/>
      <c r="B2931" t="s">
        <v>18</v>
      </c>
      <c r="C2931" t="s">
        <v>6</v>
      </c>
      <c r="D2931" t="s">
        <v>3104</v>
      </c>
      <c r="F2931" s="1">
        <v>45905</v>
      </c>
      <c r="G2931" t="str">
        <f>IF(Table3[[#This Row],[Top Parent Account]]="",Table3[[#This Row],[Account Legal Name]],Table3[[#This Row],[Top Parent Account]])</f>
        <v>Recolección y Disposición De Desechos</v>
      </c>
      <c r="H2931" s="1"/>
    </row>
    <row r="2932" spans="1:8" x14ac:dyDescent="0.35">
      <c r="A2932" s="21"/>
      <c r="B2932" t="s">
        <v>969</v>
      </c>
      <c r="C2932" t="s">
        <v>6</v>
      </c>
      <c r="D2932" t="s">
        <v>3118</v>
      </c>
      <c r="F2932" s="1">
        <v>45905</v>
      </c>
      <c r="G2932" t="str">
        <f>IF(Table3[[#This Row],[Top Parent Account]]="",Table3[[#This Row],[Account Legal Name]],Table3[[#This Row],[Top Parent Account]])</f>
        <v>FARMADEXTRUM</v>
      </c>
      <c r="H2932" s="1"/>
    </row>
    <row r="2933" spans="1:8" x14ac:dyDescent="0.35">
      <c r="A2933" s="21"/>
      <c r="B2933" t="s">
        <v>39</v>
      </c>
      <c r="C2933" t="s">
        <v>3119</v>
      </c>
      <c r="D2933" t="s">
        <v>794</v>
      </c>
      <c r="F2933" s="1">
        <v>45905</v>
      </c>
      <c r="G2933" t="str">
        <f>IF(Table3[[#This Row],[Top Parent Account]]="",Table3[[#This Row],[Account Legal Name]],Table3[[#This Row],[Top Parent Account]])</f>
        <v>Granjas Avicolas Rancho Grande</v>
      </c>
      <c r="H2933" s="1"/>
    </row>
    <row r="2934" spans="1:8" x14ac:dyDescent="0.35">
      <c r="A2934" s="21"/>
      <c r="B2934" t="s">
        <v>1511</v>
      </c>
      <c r="C2934" t="s">
        <v>6</v>
      </c>
      <c r="D2934" t="s">
        <v>2055</v>
      </c>
      <c r="F2934" s="1">
        <v>45905</v>
      </c>
      <c r="G2934" t="str">
        <f>IF(Table3[[#This Row],[Top Parent Account]]="",Table3[[#This Row],[Account Legal Name]],Table3[[#This Row],[Top Parent Account]])</f>
        <v>Fletera Nacional de Gases</v>
      </c>
      <c r="H2934" s="1"/>
    </row>
    <row r="2935" spans="1:8" x14ac:dyDescent="0.35">
      <c r="A2935" s="21"/>
      <c r="B2935" t="s">
        <v>12</v>
      </c>
      <c r="C2935" t="s">
        <v>6</v>
      </c>
      <c r="D2935" t="s">
        <v>3235</v>
      </c>
      <c r="F2935" s="1">
        <v>45905</v>
      </c>
      <c r="G2935" t="str">
        <f>IF(Table3[[#This Row],[Top Parent Account]]="",Table3[[#This Row],[Account Legal Name]],Table3[[#This Row],[Top Parent Account]])</f>
        <v>Operadora TRH Merida</v>
      </c>
      <c r="H2935" s="1"/>
    </row>
    <row r="2936" spans="1:8" x14ac:dyDescent="0.35">
      <c r="A2936" s="21"/>
      <c r="B2936" t="s">
        <v>970</v>
      </c>
      <c r="C2936" t="s">
        <v>6</v>
      </c>
      <c r="D2936" t="s">
        <v>307</v>
      </c>
      <c r="F2936" s="1">
        <v>45904</v>
      </c>
      <c r="G2936" t="str">
        <f>IF(Table3[[#This Row],[Top Parent Account]]="",Table3[[#This Row],[Account Legal Name]],Table3[[#This Row],[Top Parent Account]])</f>
        <v>Thor Urbana</v>
      </c>
      <c r="H2936" s="1"/>
    </row>
    <row r="2937" spans="1:8" x14ac:dyDescent="0.35">
      <c r="A2937" s="21"/>
      <c r="B2937" t="s">
        <v>1131</v>
      </c>
      <c r="C2937" t="s">
        <v>6</v>
      </c>
      <c r="D2937" t="s">
        <v>3110</v>
      </c>
      <c r="F2937" s="1">
        <v>45904</v>
      </c>
      <c r="G2937" t="str">
        <f>IF(Table3[[#This Row],[Top Parent Account]]="",Table3[[#This Row],[Account Legal Name]],Table3[[#This Row],[Top Parent Account]])</f>
        <v>Transportadora Pergut</v>
      </c>
      <c r="H2937" s="1"/>
    </row>
    <row r="2938" spans="1:8" x14ac:dyDescent="0.35">
      <c r="A2938" s="21"/>
      <c r="B2938" t="s">
        <v>589</v>
      </c>
      <c r="C2938" t="s">
        <v>6</v>
      </c>
      <c r="D2938" t="s">
        <v>3120</v>
      </c>
      <c r="F2938" s="1">
        <v>45904</v>
      </c>
      <c r="G2938" t="str">
        <f>IF(Table3[[#This Row],[Top Parent Account]]="",Table3[[#This Row],[Account Legal Name]],Table3[[#This Row],[Top Parent Account]])</f>
        <v>Ruta 341 Pesqueria</v>
      </c>
      <c r="H2938" s="1"/>
    </row>
    <row r="2939" spans="1:8" x14ac:dyDescent="0.35">
      <c r="A2939" s="21"/>
      <c r="B2939" t="s">
        <v>2884</v>
      </c>
      <c r="C2939" t="s">
        <v>6</v>
      </c>
      <c r="D2939" t="s">
        <v>649</v>
      </c>
      <c r="F2939" s="1">
        <v>45904</v>
      </c>
      <c r="G2939" t="str">
        <f>IF(Table3[[#This Row],[Top Parent Account]]="",Table3[[#This Row],[Account Legal Name]],Table3[[#This Row],[Top Parent Account]])</f>
        <v>KSMV Capital</v>
      </c>
      <c r="H2939" s="1"/>
    </row>
    <row r="2940" spans="1:8" x14ac:dyDescent="0.35">
      <c r="A2940" s="21"/>
      <c r="B2940" t="s">
        <v>26</v>
      </c>
      <c r="C2940" t="s">
        <v>6</v>
      </c>
      <c r="D2940" t="s">
        <v>433</v>
      </c>
      <c r="F2940" s="1">
        <v>45904</v>
      </c>
      <c r="G2940" t="str">
        <f>IF(Table3[[#This Row],[Top Parent Account]]="",Table3[[#This Row],[Account Legal Name]],Table3[[#This Row],[Top Parent Account]])</f>
        <v>Usg México</v>
      </c>
      <c r="H2940" s="1"/>
    </row>
    <row r="2941" spans="1:8" x14ac:dyDescent="0.35">
      <c r="A2941" s="21"/>
      <c r="B2941" t="s">
        <v>2912</v>
      </c>
      <c r="C2941" t="s">
        <v>6</v>
      </c>
      <c r="D2941" t="s">
        <v>3121</v>
      </c>
      <c r="F2941" s="1">
        <v>45904</v>
      </c>
      <c r="G2941" t="str">
        <f>IF(Table3[[#This Row],[Top Parent Account]]="",Table3[[#This Row],[Account Legal Name]],Table3[[#This Row],[Top Parent Account]])</f>
        <v>Axity</v>
      </c>
      <c r="H2941" s="1"/>
    </row>
    <row r="2942" spans="1:8" x14ac:dyDescent="0.35">
      <c r="A2942" s="21"/>
      <c r="B2942" t="s">
        <v>172</v>
      </c>
      <c r="C2942" t="s">
        <v>6</v>
      </c>
      <c r="D2942" t="s">
        <v>3122</v>
      </c>
      <c r="F2942" s="1">
        <v>45904</v>
      </c>
      <c r="G2942" t="str">
        <f>IF(Table3[[#This Row],[Top Parent Account]]="",Table3[[#This Row],[Account Legal Name]],Table3[[#This Row],[Top Parent Account]])</f>
        <v>Marelli Saltillo Mexico</v>
      </c>
      <c r="H2942" s="1"/>
    </row>
    <row r="2943" spans="1:8" x14ac:dyDescent="0.35">
      <c r="A2943" s="21"/>
      <c r="B2943" t="s">
        <v>70</v>
      </c>
      <c r="C2943" t="s">
        <v>6</v>
      </c>
      <c r="D2943" t="s">
        <v>462</v>
      </c>
      <c r="F2943" s="1">
        <v>45904</v>
      </c>
      <c r="G2943" t="str">
        <f>IF(Table3[[#This Row],[Top Parent Account]]="",Table3[[#This Row],[Account Legal Name]],Table3[[#This Row],[Top Parent Account]])</f>
        <v>Hospital Multimedica Norte</v>
      </c>
      <c r="H2943" s="1"/>
    </row>
    <row r="2944" spans="1:8" x14ac:dyDescent="0.35">
      <c r="A2944" s="21"/>
      <c r="B2944" t="s">
        <v>970</v>
      </c>
      <c r="C2944" t="s">
        <v>6</v>
      </c>
      <c r="D2944" t="s">
        <v>3124</v>
      </c>
      <c r="F2944" s="1">
        <v>45904</v>
      </c>
      <c r="G2944" t="str">
        <f>IF(Table3[[#This Row],[Top Parent Account]]="",Table3[[#This Row],[Account Legal Name]],Table3[[#This Row],[Top Parent Account]])</f>
        <v>Corporación Zapata</v>
      </c>
      <c r="H2944" s="1"/>
    </row>
    <row r="2945" spans="1:8" x14ac:dyDescent="0.35">
      <c r="A2945" s="21"/>
      <c r="B2945" t="s">
        <v>28</v>
      </c>
      <c r="C2945" t="s">
        <v>6</v>
      </c>
      <c r="D2945" t="s">
        <v>3125</v>
      </c>
      <c r="F2945" s="1">
        <v>45904</v>
      </c>
      <c r="G2945" t="str">
        <f>IF(Table3[[#This Row],[Top Parent Account]]="",Table3[[#This Row],[Account Legal Name]],Table3[[#This Row],[Top Parent Account]])</f>
        <v>Ingeniería y Obras Hidráulicas</v>
      </c>
      <c r="H2945" s="1"/>
    </row>
    <row r="2946" spans="1:8" x14ac:dyDescent="0.35">
      <c r="A2946" s="21"/>
      <c r="B2946" t="s">
        <v>1511</v>
      </c>
      <c r="C2946" t="s">
        <v>6</v>
      </c>
      <c r="D2946" t="s">
        <v>3123</v>
      </c>
      <c r="F2946" s="1">
        <v>45904</v>
      </c>
      <c r="G2946" t="str">
        <f>IF(Table3[[#This Row],[Top Parent Account]]="",Table3[[#This Row],[Account Legal Name]],Table3[[#This Row],[Top Parent Account]])</f>
        <v>Ladrillera Mecanizada</v>
      </c>
      <c r="H2946" s="1"/>
    </row>
    <row r="2947" spans="1:8" x14ac:dyDescent="0.35">
      <c r="A2947" s="21"/>
      <c r="B2947" t="s">
        <v>989</v>
      </c>
      <c r="C2947" t="s">
        <v>6</v>
      </c>
      <c r="D2947" t="s">
        <v>1230</v>
      </c>
      <c r="F2947" s="1">
        <v>45904</v>
      </c>
      <c r="G2947" t="str">
        <f>IF(Table3[[#This Row],[Top Parent Account]]="",Table3[[#This Row],[Account Legal Name]],Table3[[#This Row],[Top Parent Account]])</f>
        <v>Kante Industries</v>
      </c>
      <c r="H2947" s="1"/>
    </row>
    <row r="2948" spans="1:8" x14ac:dyDescent="0.35">
      <c r="A2948" s="21"/>
      <c r="B2948" t="s">
        <v>2884</v>
      </c>
      <c r="C2948" t="s">
        <v>6</v>
      </c>
      <c r="D2948" t="s">
        <v>210</v>
      </c>
      <c r="F2948" s="1">
        <v>45904</v>
      </c>
      <c r="G2948" t="str">
        <f>IF(Table3[[#This Row],[Top Parent Account]]="",Table3[[#This Row],[Account Legal Name]],Table3[[#This Row],[Top Parent Account]])</f>
        <v>Wal-Mart de México</v>
      </c>
      <c r="H2948" s="1"/>
    </row>
    <row r="2949" spans="1:8" x14ac:dyDescent="0.35">
      <c r="A2949" s="21"/>
      <c r="B2949" t="s">
        <v>1131</v>
      </c>
      <c r="C2949" t="s">
        <v>6</v>
      </c>
      <c r="D2949" t="s">
        <v>2246</v>
      </c>
      <c r="F2949" s="1">
        <v>45904</v>
      </c>
      <c r="G2949" t="str">
        <f>IF(Table3[[#This Row],[Top Parent Account]]="",Table3[[#This Row],[Account Legal Name]],Table3[[#This Row],[Top Parent Account]])</f>
        <v>Ganaderos Industriales de la Leche</v>
      </c>
      <c r="H2949" s="1"/>
    </row>
    <row r="2950" spans="1:8" x14ac:dyDescent="0.35">
      <c r="A2950" s="21"/>
      <c r="B2950" t="s">
        <v>208</v>
      </c>
      <c r="C2950" t="s">
        <v>6</v>
      </c>
      <c r="D2950" t="s">
        <v>1377</v>
      </c>
      <c r="F2950" s="1">
        <v>45904</v>
      </c>
      <c r="G2950" t="str">
        <f>IF(Table3[[#This Row],[Top Parent Account]]="",Table3[[#This Row],[Account Legal Name]],Table3[[#This Row],[Top Parent Account]])</f>
        <v>Alimentos Convenientes San Patric</v>
      </c>
      <c r="H2950" s="1"/>
    </row>
    <row r="2951" spans="1:8" x14ac:dyDescent="0.35">
      <c r="A2951" s="21"/>
      <c r="B2951" t="s">
        <v>14</v>
      </c>
      <c r="C2951" t="s">
        <v>6</v>
      </c>
      <c r="D2951" t="s">
        <v>3094</v>
      </c>
      <c r="F2951" s="1">
        <v>45904</v>
      </c>
      <c r="G2951" t="str">
        <f>IF(Table3[[#This Row],[Top Parent Account]]="",Table3[[#This Row],[Account Legal Name]],Table3[[#This Row],[Top Parent Account]])</f>
        <v>Target Robotics Group</v>
      </c>
      <c r="H2951" s="1"/>
    </row>
    <row r="2952" spans="1:8" x14ac:dyDescent="0.35">
      <c r="A2952" s="21"/>
      <c r="B2952" t="s">
        <v>51</v>
      </c>
      <c r="C2952" t="s">
        <v>6</v>
      </c>
      <c r="D2952" t="s">
        <v>3127</v>
      </c>
      <c r="F2952" s="1">
        <v>45904</v>
      </c>
      <c r="G2952" t="str">
        <f>IF(Table3[[#This Row],[Top Parent Account]]="",Table3[[#This Row],[Account Legal Name]],Table3[[#This Row],[Top Parent Account]])</f>
        <v>OBRA CIVIL TRITURACIÓN Y MAQUINARIA</v>
      </c>
      <c r="H2952" s="1"/>
    </row>
    <row r="2953" spans="1:8" x14ac:dyDescent="0.35">
      <c r="A2953" s="21"/>
      <c r="B2953" t="s">
        <v>88</v>
      </c>
      <c r="C2953" t="s">
        <v>6</v>
      </c>
      <c r="D2953" t="s">
        <v>3126</v>
      </c>
      <c r="F2953" s="1">
        <v>45904</v>
      </c>
      <c r="G2953" t="str">
        <f>IF(Table3[[#This Row],[Top Parent Account]]="",Table3[[#This Row],[Account Legal Name]],Table3[[#This Row],[Top Parent Account]])</f>
        <v>Grupo Refricool</v>
      </c>
      <c r="H2953" s="1"/>
    </row>
    <row r="2954" spans="1:8" x14ac:dyDescent="0.35">
      <c r="A2954" s="21"/>
      <c r="B2954" t="s">
        <v>37</v>
      </c>
      <c r="C2954" t="s">
        <v>6</v>
      </c>
      <c r="D2954" t="s">
        <v>1559</v>
      </c>
      <c r="F2954" s="1">
        <v>45904</v>
      </c>
      <c r="G2954" t="str">
        <f>IF(Table3[[#This Row],[Top Parent Account]]="",Table3[[#This Row],[Account Legal Name]],Table3[[#This Row],[Top Parent Account]])</f>
        <v>KNIGT INDUSTRIAL DE MEXICO</v>
      </c>
      <c r="H2954" s="1"/>
    </row>
    <row r="2955" spans="1:8" x14ac:dyDescent="0.35">
      <c r="A2955" s="21"/>
      <c r="B2955" t="s">
        <v>2884</v>
      </c>
      <c r="C2955" t="s">
        <v>6</v>
      </c>
      <c r="D2955" t="s">
        <v>467</v>
      </c>
      <c r="F2955" s="1">
        <v>45904</v>
      </c>
      <c r="G2955" t="str">
        <f>IF(Table3[[#This Row],[Top Parent Account]]="",Table3[[#This Row],[Account Legal Name]],Table3[[#This Row],[Top Parent Account]])</f>
        <v>Impresora Coyoacán</v>
      </c>
      <c r="H2955" s="1"/>
    </row>
    <row r="2956" spans="1:8" x14ac:dyDescent="0.35">
      <c r="A2956" s="21"/>
      <c r="B2956" t="s">
        <v>3129</v>
      </c>
      <c r="C2956" t="s">
        <v>6</v>
      </c>
      <c r="D2956" t="s">
        <v>3130</v>
      </c>
      <c r="F2956" s="1">
        <v>45904</v>
      </c>
      <c r="G2956" t="str">
        <f>IF(Table3[[#This Row],[Top Parent Account]]="",Table3[[#This Row],[Account Legal Name]],Table3[[#This Row],[Top Parent Account]])</f>
        <v>Soccer Media Solutions</v>
      </c>
      <c r="H2956" s="1"/>
    </row>
    <row r="2957" spans="1:8" x14ac:dyDescent="0.35">
      <c r="A2957" s="21"/>
      <c r="B2957" t="s">
        <v>24</v>
      </c>
      <c r="C2957" t="s">
        <v>6</v>
      </c>
      <c r="D2957" t="s">
        <v>3131</v>
      </c>
      <c r="F2957" s="1">
        <v>45904</v>
      </c>
      <c r="G2957" t="str">
        <f>IF(Table3[[#This Row],[Top Parent Account]]="",Table3[[#This Row],[Account Legal Name]],Table3[[#This Row],[Top Parent Account]])</f>
        <v>Agroindustrias Tombell</v>
      </c>
      <c r="H2957" s="1"/>
    </row>
    <row r="2958" spans="1:8" x14ac:dyDescent="0.35">
      <c r="A2958" s="21"/>
      <c r="B2958" t="s">
        <v>21</v>
      </c>
      <c r="C2958" t="s">
        <v>6</v>
      </c>
      <c r="D2958" t="s">
        <v>3128</v>
      </c>
      <c r="F2958" s="1">
        <v>45904</v>
      </c>
      <c r="G2958" t="str">
        <f>IF(Table3[[#This Row],[Top Parent Account]]="",Table3[[#This Row],[Account Legal Name]],Table3[[#This Row],[Top Parent Account]])</f>
        <v>San Jose Tropical Fruit</v>
      </c>
      <c r="H2958" s="1"/>
    </row>
    <row r="2959" spans="1:8" x14ac:dyDescent="0.35">
      <c r="A2959" s="21"/>
      <c r="B2959" t="s">
        <v>925</v>
      </c>
      <c r="C2959" t="s">
        <v>6</v>
      </c>
      <c r="D2959" t="s">
        <v>3132</v>
      </c>
      <c r="F2959" s="1">
        <v>45904</v>
      </c>
      <c r="G2959" t="str">
        <f>IF(Table3[[#This Row],[Top Parent Account]]="",Table3[[#This Row],[Account Legal Name]],Table3[[#This Row],[Top Parent Account]])</f>
        <v>Remax Electronics</v>
      </c>
      <c r="H2959" s="1"/>
    </row>
    <row r="2960" spans="1:8" x14ac:dyDescent="0.35">
      <c r="A2960" s="21"/>
      <c r="B2960" t="s">
        <v>1131</v>
      </c>
      <c r="C2960" t="s">
        <v>6</v>
      </c>
      <c r="D2960" t="s">
        <v>3133</v>
      </c>
      <c r="F2960" s="1">
        <v>45904</v>
      </c>
      <c r="G2960" t="str">
        <f>IF(Table3[[#This Row],[Top Parent Account]]="",Table3[[#This Row],[Account Legal Name]],Table3[[#This Row],[Top Parent Account]])</f>
        <v>Frigorizados La Huerta</v>
      </c>
      <c r="H2960" s="1"/>
    </row>
    <row r="2961" spans="1:8" x14ac:dyDescent="0.35">
      <c r="A2961" s="21"/>
      <c r="B2961" t="s">
        <v>1131</v>
      </c>
      <c r="C2961" t="s">
        <v>6</v>
      </c>
      <c r="D2961" t="s">
        <v>3100</v>
      </c>
      <c r="F2961" s="1">
        <v>45904</v>
      </c>
      <c r="G2961" t="str">
        <f>IF(Table3[[#This Row],[Top Parent Account]]="",Table3[[#This Row],[Account Legal Name]],Table3[[#This Row],[Top Parent Account]])</f>
        <v>JUMANDI GROUP</v>
      </c>
      <c r="H2961" s="1"/>
    </row>
    <row r="2962" spans="1:8" x14ac:dyDescent="0.35">
      <c r="A2962" s="21"/>
      <c r="B2962" t="s">
        <v>3095</v>
      </c>
      <c r="C2962" t="s">
        <v>6</v>
      </c>
      <c r="D2962" t="s">
        <v>3136</v>
      </c>
      <c r="F2962" s="1">
        <v>45904</v>
      </c>
      <c r="G2962" t="str">
        <f>IF(Table3[[#This Row],[Top Parent Account]]="",Table3[[#This Row],[Account Legal Name]],Table3[[#This Row],[Top Parent Account]])</f>
        <v>Sommusa</v>
      </c>
      <c r="H2962" s="1"/>
    </row>
    <row r="2963" spans="1:8" x14ac:dyDescent="0.35">
      <c r="A2963" s="21"/>
      <c r="B2963" t="s">
        <v>1131</v>
      </c>
      <c r="C2963" t="s">
        <v>6</v>
      </c>
      <c r="D2963" t="s">
        <v>1056</v>
      </c>
      <c r="F2963" s="1">
        <v>45904</v>
      </c>
      <c r="G2963" t="str">
        <f>IF(Table3[[#This Row],[Top Parent Account]]="",Table3[[#This Row],[Account Legal Name]],Table3[[#This Row],[Top Parent Account]])</f>
        <v>Transportes Degam</v>
      </c>
      <c r="H2963" s="1"/>
    </row>
    <row r="2964" spans="1:8" x14ac:dyDescent="0.35">
      <c r="A2964" s="21"/>
      <c r="B2964" t="s">
        <v>1131</v>
      </c>
      <c r="C2964" t="s">
        <v>6</v>
      </c>
      <c r="D2964" t="s">
        <v>3135</v>
      </c>
      <c r="F2964" s="1">
        <v>45904</v>
      </c>
      <c r="G2964" t="str">
        <f>IF(Table3[[#This Row],[Top Parent Account]]="",Table3[[#This Row],[Account Legal Name]],Table3[[#This Row],[Top Parent Account]])</f>
        <v>VITMA</v>
      </c>
      <c r="H2964" s="1"/>
    </row>
    <row r="2965" spans="1:8" x14ac:dyDescent="0.35">
      <c r="A2965" s="21"/>
      <c r="B2965" t="s">
        <v>43</v>
      </c>
      <c r="C2965" t="s">
        <v>6</v>
      </c>
      <c r="D2965" t="s">
        <v>761</v>
      </c>
      <c r="F2965" s="1">
        <v>45903</v>
      </c>
      <c r="G2965" t="str">
        <f>IF(Table3[[#This Row],[Top Parent Account]]="",Table3[[#This Row],[Account Legal Name]],Table3[[#This Row],[Top Parent Account]])</f>
        <v>CRM SYNERGIES MÉXICO S.A. DE C.V.</v>
      </c>
      <c r="H2965" s="1"/>
    </row>
    <row r="2966" spans="1:8" x14ac:dyDescent="0.35">
      <c r="A2966" s="21"/>
      <c r="B2966" t="s">
        <v>26</v>
      </c>
      <c r="C2966" t="s">
        <v>6</v>
      </c>
      <c r="D2966" t="s">
        <v>3137</v>
      </c>
      <c r="F2966" s="1">
        <v>45903</v>
      </c>
      <c r="G2966" t="str">
        <f>IF(Table3[[#This Row],[Top Parent Account]]="",Table3[[#This Row],[Account Legal Name]],Table3[[#This Row],[Top Parent Account]])</f>
        <v>Panam de México</v>
      </c>
      <c r="H2966" s="1"/>
    </row>
    <row r="2967" spans="1:8" x14ac:dyDescent="0.35">
      <c r="A2967" s="21"/>
      <c r="B2967" t="s">
        <v>1006</v>
      </c>
      <c r="C2967" t="s">
        <v>6</v>
      </c>
      <c r="D2967" t="s">
        <v>3098</v>
      </c>
      <c r="F2967" s="1">
        <v>45903</v>
      </c>
      <c r="G2967" t="str">
        <f>IF(Table3[[#This Row],[Top Parent Account]]="",Table3[[#This Row],[Account Legal Name]],Table3[[#This Row],[Top Parent Account]])</f>
        <v>CENTRO DE DIAGNOSTICO CUAUTLA</v>
      </c>
      <c r="H2967" s="1"/>
    </row>
    <row r="2968" spans="1:8" x14ac:dyDescent="0.35">
      <c r="A2968" s="21"/>
      <c r="B2968" t="s">
        <v>77</v>
      </c>
      <c r="C2968" t="s">
        <v>6</v>
      </c>
      <c r="D2968" t="s">
        <v>2056</v>
      </c>
      <c r="F2968" s="1">
        <v>45903</v>
      </c>
      <c r="G2968" t="str">
        <f>IF(Table3[[#This Row],[Top Parent Account]]="",Table3[[#This Row],[Account Legal Name]],Table3[[#This Row],[Top Parent Account]])</f>
        <v>PICK-ONE</v>
      </c>
      <c r="H2968" s="1"/>
    </row>
    <row r="2969" spans="1:8" x14ac:dyDescent="0.35">
      <c r="A2969" s="21"/>
      <c r="B2969" t="s">
        <v>121</v>
      </c>
      <c r="C2969" t="s">
        <v>6</v>
      </c>
      <c r="D2969" t="s">
        <v>792</v>
      </c>
      <c r="F2969" s="1">
        <v>45903</v>
      </c>
      <c r="G2969" t="str">
        <f>IF(Table3[[#This Row],[Top Parent Account]]="",Table3[[#This Row],[Account Legal Name]],Table3[[#This Row],[Top Parent Account]])</f>
        <v>FERBA TECNOLOGIA</v>
      </c>
      <c r="H2969" s="1"/>
    </row>
    <row r="2970" spans="1:8" x14ac:dyDescent="0.35">
      <c r="A2970" s="21"/>
      <c r="B2970" t="s">
        <v>739</v>
      </c>
      <c r="C2970" t="s">
        <v>6</v>
      </c>
      <c r="D2970" t="s">
        <v>315</v>
      </c>
      <c r="F2970" s="1">
        <v>45903</v>
      </c>
      <c r="G2970" t="str">
        <f>IF(Table3[[#This Row],[Top Parent Account]]="",Table3[[#This Row],[Account Legal Name]],Table3[[#This Row],[Top Parent Account]])</f>
        <v>Basham, Ringe y Correa</v>
      </c>
      <c r="H2970" s="1"/>
    </row>
    <row r="2971" spans="1:8" x14ac:dyDescent="0.35">
      <c r="A2971" s="21"/>
      <c r="B2971" t="s">
        <v>10</v>
      </c>
      <c r="C2971" t="s">
        <v>6</v>
      </c>
      <c r="D2971" t="s">
        <v>1317</v>
      </c>
      <c r="F2971" s="1">
        <v>45903</v>
      </c>
      <c r="G2971" t="str">
        <f>IF(Table3[[#This Row],[Top Parent Account]]="",Table3[[#This Row],[Account Legal Name]],Table3[[#This Row],[Top Parent Account]])</f>
        <v>Laboratorios Pisa</v>
      </c>
      <c r="H2971" s="1"/>
    </row>
    <row r="2972" spans="1:8" x14ac:dyDescent="0.35">
      <c r="A2972" s="21"/>
      <c r="B2972" t="s">
        <v>88</v>
      </c>
      <c r="C2972" t="s">
        <v>6</v>
      </c>
      <c r="D2972" t="s">
        <v>3138</v>
      </c>
      <c r="F2972" s="1">
        <v>45903</v>
      </c>
      <c r="G2972" t="str">
        <f>IF(Table3[[#This Row],[Top Parent Account]]="",Table3[[#This Row],[Account Legal Name]],Table3[[#This Row],[Top Parent Account]])</f>
        <v>Grupo MACA</v>
      </c>
      <c r="H2972" s="1"/>
    </row>
    <row r="2973" spans="1:8" x14ac:dyDescent="0.35">
      <c r="A2973" s="21"/>
      <c r="B2973" t="s">
        <v>37</v>
      </c>
      <c r="C2973" t="s">
        <v>6</v>
      </c>
      <c r="D2973" t="s">
        <v>247</v>
      </c>
      <c r="F2973" s="1">
        <v>45903</v>
      </c>
      <c r="G2973" t="str">
        <f>IF(Table3[[#This Row],[Top Parent Account]]="",Table3[[#This Row],[Account Legal Name]],Table3[[#This Row],[Top Parent Account]])</f>
        <v>Zarga Comercial</v>
      </c>
      <c r="H2973" s="1"/>
    </row>
    <row r="2974" spans="1:8" x14ac:dyDescent="0.35">
      <c r="A2974" s="21"/>
      <c r="B2974" t="s">
        <v>77</v>
      </c>
      <c r="C2974" t="s">
        <v>6</v>
      </c>
      <c r="D2974" t="s">
        <v>1162</v>
      </c>
      <c r="F2974" s="1">
        <v>45903</v>
      </c>
      <c r="G2974" t="str">
        <f>IF(Table3[[#This Row],[Top Parent Account]]="",Table3[[#This Row],[Account Legal Name]],Table3[[#This Row],[Top Parent Account]])</f>
        <v>Dynamo Fletes y Servicios</v>
      </c>
      <c r="H2974" s="1"/>
    </row>
    <row r="2975" spans="1:8" x14ac:dyDescent="0.35">
      <c r="A2975" s="21"/>
      <c r="B2975" t="s">
        <v>970</v>
      </c>
      <c r="C2975" t="s">
        <v>6</v>
      </c>
      <c r="D2975" t="s">
        <v>3139</v>
      </c>
      <c r="F2975" s="1">
        <v>45903</v>
      </c>
      <c r="G2975" t="str">
        <f>IF(Table3[[#This Row],[Top Parent Account]]="",Table3[[#This Row],[Account Legal Name]],Table3[[#This Row],[Top Parent Account]])</f>
        <v>Grupo Zapata</v>
      </c>
      <c r="H2975" s="1"/>
    </row>
    <row r="2976" spans="1:8" x14ac:dyDescent="0.35">
      <c r="A2976" s="21"/>
      <c r="B2976" t="s">
        <v>23</v>
      </c>
      <c r="C2976" t="s">
        <v>6</v>
      </c>
      <c r="D2976" t="s">
        <v>3141</v>
      </c>
      <c r="F2976" s="1">
        <v>45903</v>
      </c>
      <c r="G2976" t="str">
        <f>IF(Table3[[#This Row],[Top Parent Account]]="",Table3[[#This Row],[Account Legal Name]],Table3[[#This Row],[Top Parent Account]])</f>
        <v>INDIV DE MEXICO</v>
      </c>
      <c r="H2976" s="1"/>
    </row>
    <row r="2977" spans="1:8" x14ac:dyDescent="0.35">
      <c r="A2977" s="21"/>
      <c r="B2977" t="s">
        <v>589</v>
      </c>
      <c r="C2977" t="s">
        <v>6</v>
      </c>
      <c r="D2977" t="s">
        <v>3142</v>
      </c>
      <c r="F2977" s="1">
        <v>45903</v>
      </c>
      <c r="G2977" t="str">
        <f>IF(Table3[[#This Row],[Top Parent Account]]="",Table3[[#This Row],[Account Legal Name]],Table3[[#This Row],[Top Parent Account]])</f>
        <v>FMW INDUSTRIES</v>
      </c>
      <c r="H2977" s="1"/>
    </row>
    <row r="2978" spans="1:8" x14ac:dyDescent="0.35">
      <c r="A2978" s="21"/>
      <c r="B2978" t="s">
        <v>28</v>
      </c>
      <c r="C2978" t="s">
        <v>6</v>
      </c>
      <c r="D2978" t="s">
        <v>3143</v>
      </c>
      <c r="F2978" s="1">
        <v>45903</v>
      </c>
      <c r="G2978" t="str">
        <f>IF(Table3[[#This Row],[Top Parent Account]]="",Table3[[#This Row],[Account Legal Name]],Table3[[#This Row],[Top Parent Account]])</f>
        <v>Aceros  escobedo</v>
      </c>
      <c r="H2978" s="1"/>
    </row>
    <row r="2979" spans="1:8" x14ac:dyDescent="0.35">
      <c r="A2979" s="21"/>
      <c r="B2979" t="s">
        <v>970</v>
      </c>
      <c r="C2979" t="s">
        <v>6</v>
      </c>
      <c r="D2979" t="s">
        <v>307</v>
      </c>
      <c r="F2979" s="1">
        <v>45903</v>
      </c>
      <c r="G2979" t="str">
        <f>IF(Table3[[#This Row],[Top Parent Account]]="",Table3[[#This Row],[Account Legal Name]],Table3[[#This Row],[Top Parent Account]])</f>
        <v>Thor Urbana</v>
      </c>
      <c r="H2979" s="1"/>
    </row>
    <row r="2980" spans="1:8" x14ac:dyDescent="0.35">
      <c r="A2980" s="21"/>
      <c r="B2980" t="s">
        <v>989</v>
      </c>
      <c r="C2980" t="s">
        <v>6</v>
      </c>
      <c r="D2980" t="s">
        <v>3140</v>
      </c>
      <c r="F2980" s="1">
        <v>45903</v>
      </c>
      <c r="G2980" t="str">
        <f>IF(Table3[[#This Row],[Top Parent Account]]="",Table3[[#This Row],[Account Legal Name]],Table3[[#This Row],[Top Parent Account]])</f>
        <v>ER GENERACIÓN</v>
      </c>
      <c r="H2980" s="1"/>
    </row>
    <row r="2981" spans="1:8" x14ac:dyDescent="0.35">
      <c r="A2981" s="21"/>
      <c r="B2981" t="s">
        <v>208</v>
      </c>
      <c r="C2981" t="s">
        <v>6</v>
      </c>
      <c r="D2981" t="s">
        <v>186</v>
      </c>
      <c r="F2981" s="1">
        <v>45903</v>
      </c>
      <c r="G2981" t="str">
        <f>IF(Table3[[#This Row],[Top Parent Account]]="",Table3[[#This Row],[Account Legal Name]],Table3[[#This Row],[Top Parent Account]])</f>
        <v>Area Creativa y Publicidad Impresa</v>
      </c>
      <c r="H2981" s="1"/>
    </row>
    <row r="2982" spans="1:8" x14ac:dyDescent="0.35">
      <c r="A2982" s="21"/>
      <c r="B2982" t="s">
        <v>925</v>
      </c>
      <c r="C2982" t="s">
        <v>6</v>
      </c>
      <c r="D2982" t="s">
        <v>3147</v>
      </c>
      <c r="F2982" s="1">
        <v>45903</v>
      </c>
      <c r="G2982" t="str">
        <f>IF(Table3[[#This Row],[Top Parent Account]]="",Table3[[#This Row],[Account Legal Name]],Table3[[#This Row],[Top Parent Account]])</f>
        <v>Soskende</v>
      </c>
      <c r="H2982" s="1"/>
    </row>
    <row r="2983" spans="1:8" x14ac:dyDescent="0.35">
      <c r="A2983" s="21"/>
      <c r="B2983" t="s">
        <v>25</v>
      </c>
      <c r="C2983" t="s">
        <v>6</v>
      </c>
      <c r="D2983" t="s">
        <v>3146</v>
      </c>
      <c r="F2983" s="1">
        <v>45903</v>
      </c>
      <c r="G2983" t="str">
        <f>IF(Table3[[#This Row],[Top Parent Account]]="",Table3[[#This Row],[Account Legal Name]],Table3[[#This Row],[Top Parent Account]])</f>
        <v>Promoplast</v>
      </c>
      <c r="H2983" s="1"/>
    </row>
    <row r="2984" spans="1:8" x14ac:dyDescent="0.35">
      <c r="A2984" s="21"/>
      <c r="B2984" t="s">
        <v>84</v>
      </c>
      <c r="C2984" t="s">
        <v>3144</v>
      </c>
      <c r="D2984" t="s">
        <v>3145</v>
      </c>
      <c r="F2984" s="1">
        <v>45903</v>
      </c>
      <c r="G2984" t="str">
        <f>IF(Table3[[#This Row],[Top Parent Account]]="",Table3[[#This Row],[Account Legal Name]],Table3[[#This Row],[Top Parent Account]])</f>
        <v>Grupo Rewo</v>
      </c>
      <c r="H2984" s="1"/>
    </row>
    <row r="2985" spans="1:8" x14ac:dyDescent="0.35">
      <c r="A2985" s="21"/>
      <c r="B2985" t="s">
        <v>2658</v>
      </c>
      <c r="C2985" t="s">
        <v>6</v>
      </c>
      <c r="D2985" t="s">
        <v>423</v>
      </c>
      <c r="F2985" s="1">
        <v>45903</v>
      </c>
      <c r="G2985" t="str">
        <f>IF(Table3[[#This Row],[Top Parent Account]]="",Table3[[#This Row],[Account Legal Name]],Table3[[#This Row],[Top Parent Account]])</f>
        <v>Red Ambiental</v>
      </c>
      <c r="H2985" s="1"/>
    </row>
    <row r="2986" spans="1:8" x14ac:dyDescent="0.35">
      <c r="A2986" s="21"/>
      <c r="B2986" t="s">
        <v>2658</v>
      </c>
      <c r="C2986" t="s">
        <v>6</v>
      </c>
      <c r="D2986" t="s">
        <v>3097</v>
      </c>
      <c r="F2986" s="1">
        <v>45903</v>
      </c>
      <c r="G2986" t="str">
        <f>IF(Table3[[#This Row],[Top Parent Account]]="",Table3[[#This Row],[Account Legal Name]],Table3[[#This Row],[Top Parent Account]])</f>
        <v>BGA</v>
      </c>
      <c r="H2986" s="1"/>
    </row>
    <row r="2987" spans="1:8" x14ac:dyDescent="0.35">
      <c r="A2987" s="21"/>
      <c r="B2987" t="s">
        <v>37</v>
      </c>
      <c r="C2987" t="s">
        <v>6</v>
      </c>
      <c r="D2987" t="s">
        <v>1216</v>
      </c>
      <c r="F2987" s="1">
        <v>45903</v>
      </c>
      <c r="G2987" t="str">
        <f>IF(Table3[[#This Row],[Top Parent Account]]="",Table3[[#This Row],[Account Legal Name]],Table3[[#This Row],[Top Parent Account]])</f>
        <v>Empresas L.M.</v>
      </c>
      <c r="H2987" s="1"/>
    </row>
    <row r="2988" spans="1:8" x14ac:dyDescent="0.35">
      <c r="A2988" s="21"/>
      <c r="B2988" t="s">
        <v>14</v>
      </c>
      <c r="C2988" t="s">
        <v>6</v>
      </c>
      <c r="D2988" t="s">
        <v>3148</v>
      </c>
      <c r="F2988" s="1">
        <v>45903</v>
      </c>
      <c r="G2988" t="str">
        <f>IF(Table3[[#This Row],[Top Parent Account]]="",Table3[[#This Row],[Account Legal Name]],Table3[[#This Row],[Top Parent Account]])</f>
        <v>Recuperadora Metalera Jalisciense</v>
      </c>
      <c r="H2988" s="1"/>
    </row>
    <row r="2989" spans="1:8" x14ac:dyDescent="0.35">
      <c r="A2989" s="21"/>
      <c r="B2989" t="s">
        <v>37</v>
      </c>
      <c r="C2989" t="s">
        <v>6</v>
      </c>
      <c r="D2989" t="s">
        <v>2294</v>
      </c>
      <c r="F2989" s="1">
        <v>45903</v>
      </c>
      <c r="G2989" t="str">
        <f>IF(Table3[[#This Row],[Top Parent Account]]="",Table3[[#This Row],[Account Legal Name]],Table3[[#This Row],[Top Parent Account]])</f>
        <v>ESCO del Noroeste</v>
      </c>
      <c r="H2989" s="1"/>
    </row>
    <row r="2990" spans="1:8" x14ac:dyDescent="0.35">
      <c r="A2990" s="21"/>
      <c r="B2990" t="s">
        <v>29</v>
      </c>
      <c r="C2990" t="s">
        <v>6</v>
      </c>
      <c r="D2990" t="s">
        <v>198</v>
      </c>
      <c r="F2990" s="1">
        <v>45903</v>
      </c>
      <c r="G2990" t="str">
        <f>IF(Table3[[#This Row],[Top Parent Account]]="",Table3[[#This Row],[Account Legal Name]],Table3[[#This Row],[Top Parent Account]])</f>
        <v>Automatización Mantenimiento y Construcción</v>
      </c>
      <c r="H2990" s="1"/>
    </row>
    <row r="2991" spans="1:8" x14ac:dyDescent="0.35">
      <c r="A2991" s="21"/>
      <c r="B2991" t="s">
        <v>2884</v>
      </c>
      <c r="C2991" t="s">
        <v>6</v>
      </c>
      <c r="D2991" t="s">
        <v>313</v>
      </c>
      <c r="F2991" s="1">
        <v>45903</v>
      </c>
      <c r="G2991" t="str">
        <f>IF(Table3[[#This Row],[Top Parent Account]]="",Table3[[#This Row],[Account Legal Name]],Table3[[#This Row],[Top Parent Account]])</f>
        <v>Mitsui de México</v>
      </c>
      <c r="H2991" s="1"/>
    </row>
    <row r="2992" spans="1:8" x14ac:dyDescent="0.35">
      <c r="A2992" s="21"/>
      <c r="B2992" t="s">
        <v>1899</v>
      </c>
      <c r="C2992" t="s">
        <v>6</v>
      </c>
      <c r="D2992" t="s">
        <v>3150</v>
      </c>
      <c r="F2992" s="1">
        <v>45903</v>
      </c>
      <c r="G2992" t="str">
        <f>IF(Table3[[#This Row],[Top Parent Account]]="",Table3[[#This Row],[Account Legal Name]],Table3[[#This Row],[Top Parent Account]])</f>
        <v>Talleres Lozano</v>
      </c>
      <c r="H2992" s="1"/>
    </row>
    <row r="2993" spans="1:8" x14ac:dyDescent="0.35">
      <c r="A2993" s="21"/>
      <c r="B2993" t="s">
        <v>989</v>
      </c>
      <c r="C2993" t="s">
        <v>6</v>
      </c>
      <c r="D2993" t="s">
        <v>1672</v>
      </c>
      <c r="F2993" s="1">
        <v>45903</v>
      </c>
      <c r="G2993" t="str">
        <f>IF(Table3[[#This Row],[Top Parent Account]]="",Table3[[#This Row],[Account Legal Name]],Table3[[#This Row],[Top Parent Account]])</f>
        <v>RBA Banca de Inversión</v>
      </c>
      <c r="H2993" s="1"/>
    </row>
    <row r="2994" spans="1:8" x14ac:dyDescent="0.35">
      <c r="A2994" s="21"/>
      <c r="B2994" t="s">
        <v>70</v>
      </c>
      <c r="C2994" t="s">
        <v>6</v>
      </c>
      <c r="D2994" t="s">
        <v>509</v>
      </c>
      <c r="F2994" s="1">
        <v>45903</v>
      </c>
      <c r="G2994" t="str">
        <f>IF(Table3[[#This Row],[Top Parent Account]]="",Table3[[#This Row],[Account Legal Name]],Table3[[#This Row],[Top Parent Account]])</f>
        <v>Franslux</v>
      </c>
      <c r="H2994" s="1"/>
    </row>
    <row r="2995" spans="1:8" x14ac:dyDescent="0.35">
      <c r="A2995" s="21"/>
      <c r="B2995" t="s">
        <v>2693</v>
      </c>
      <c r="C2995" t="s">
        <v>6</v>
      </c>
      <c r="D2995" t="s">
        <v>3149</v>
      </c>
      <c r="F2995" s="1">
        <v>45903</v>
      </c>
      <c r="G2995" t="str">
        <f>IF(Table3[[#This Row],[Top Parent Account]]="",Table3[[#This Row],[Account Legal Name]],Table3[[#This Row],[Top Parent Account]])</f>
        <v>MOLDERAMA</v>
      </c>
      <c r="H2995" s="1"/>
    </row>
    <row r="2996" spans="1:8" x14ac:dyDescent="0.35">
      <c r="A2996" s="21"/>
      <c r="B2996" t="s">
        <v>37</v>
      </c>
      <c r="C2996" t="s">
        <v>6</v>
      </c>
      <c r="D2996" t="s">
        <v>3151</v>
      </c>
      <c r="F2996" s="1">
        <v>45903</v>
      </c>
      <c r="G2996" t="str">
        <f>IF(Table3[[#This Row],[Top Parent Account]]="",Table3[[#This Row],[Account Legal Name]],Table3[[#This Row],[Top Parent Account]])</f>
        <v>Foam de México</v>
      </c>
      <c r="H2996" s="1"/>
    </row>
    <row r="2997" spans="1:8" x14ac:dyDescent="0.35">
      <c r="A2997" s="21"/>
      <c r="B2997" t="s">
        <v>2345</v>
      </c>
      <c r="C2997" t="s">
        <v>6</v>
      </c>
      <c r="D2997" t="s">
        <v>3153</v>
      </c>
      <c r="F2997" s="1">
        <v>45903</v>
      </c>
      <c r="G2997" t="str">
        <f>IF(Table3[[#This Row],[Top Parent Account]]="",Table3[[#This Row],[Account Legal Name]],Table3[[#This Row],[Top Parent Account]])</f>
        <v>Unidad De Radiologia Irm</v>
      </c>
      <c r="H2997" s="1"/>
    </row>
    <row r="2998" spans="1:8" x14ac:dyDescent="0.35">
      <c r="A2998" s="21"/>
      <c r="B2998" t="s">
        <v>56</v>
      </c>
      <c r="C2998" t="s">
        <v>6</v>
      </c>
      <c r="D2998" t="s">
        <v>452</v>
      </c>
      <c r="F2998" s="1">
        <v>45903</v>
      </c>
      <c r="G2998" t="str">
        <f>IF(Table3[[#This Row],[Top Parent Account]]="",Table3[[#This Row],[Account Legal Name]],Table3[[#This Row],[Top Parent Account]])</f>
        <v>Tiendas Tres B</v>
      </c>
      <c r="H2998" s="1"/>
    </row>
    <row r="2999" spans="1:8" x14ac:dyDescent="0.35">
      <c r="A2999" s="21"/>
      <c r="B2999" t="s">
        <v>88</v>
      </c>
      <c r="C2999" t="s">
        <v>6</v>
      </c>
      <c r="D2999" t="s">
        <v>3152</v>
      </c>
      <c r="F2999" s="1">
        <v>45903</v>
      </c>
      <c r="G2999" t="str">
        <f>IF(Table3[[#This Row],[Top Parent Account]]="",Table3[[#This Row],[Account Legal Name]],Table3[[#This Row],[Top Parent Account]])</f>
        <v>White Linen Services</v>
      </c>
      <c r="H2999" s="1"/>
    </row>
    <row r="3000" spans="1:8" x14ac:dyDescent="0.35">
      <c r="A3000" s="21"/>
      <c r="B3000" t="s">
        <v>208</v>
      </c>
      <c r="C3000" t="s">
        <v>6</v>
      </c>
      <c r="D3000" t="s">
        <v>325</v>
      </c>
      <c r="F3000" s="1">
        <v>45903</v>
      </c>
      <c r="G3000" t="str">
        <f>IF(Table3[[#This Row],[Top Parent Account]]="",Table3[[#This Row],[Account Legal Name]],Table3[[#This Row],[Top Parent Account]])</f>
        <v>Manufacturera Soma</v>
      </c>
      <c r="H3000" s="1"/>
    </row>
    <row r="3001" spans="1:8" x14ac:dyDescent="0.35">
      <c r="A3001" s="21"/>
      <c r="B3001" t="s">
        <v>2658</v>
      </c>
      <c r="C3001" t="s">
        <v>6</v>
      </c>
      <c r="D3001" t="s">
        <v>2828</v>
      </c>
      <c r="F3001" s="1">
        <v>45903</v>
      </c>
      <c r="G3001" t="str">
        <f>IF(Table3[[#This Row],[Top Parent Account]]="",Table3[[#This Row],[Account Legal Name]],Table3[[#This Row],[Top Parent Account]])</f>
        <v>IACNA MEXICO</v>
      </c>
      <c r="H3001" s="1"/>
    </row>
    <row r="3002" spans="1:8" x14ac:dyDescent="0.35">
      <c r="A3002" s="21"/>
      <c r="B3002" t="s">
        <v>3114</v>
      </c>
      <c r="C3002" t="s">
        <v>3236</v>
      </c>
      <c r="D3002" t="s">
        <v>3237</v>
      </c>
      <c r="F3002" s="1">
        <v>45903</v>
      </c>
      <c r="G3002" t="str">
        <f>IF(Table3[[#This Row],[Top Parent Account]]="",Table3[[#This Row],[Account Legal Name]],Table3[[#This Row],[Top Parent Account]])</f>
        <v>Ranchacero</v>
      </c>
      <c r="H3002" s="1"/>
    </row>
    <row r="3003" spans="1:8" x14ac:dyDescent="0.35">
      <c r="A3003" s="21"/>
      <c r="B3003" t="s">
        <v>23</v>
      </c>
      <c r="C3003" t="s">
        <v>6</v>
      </c>
      <c r="D3003" t="s">
        <v>3154</v>
      </c>
      <c r="F3003" s="1">
        <v>45903</v>
      </c>
      <c r="G3003" t="str">
        <f>IF(Table3[[#This Row],[Top Parent Account]]="",Table3[[#This Row],[Account Legal Name]],Table3[[#This Row],[Top Parent Account]])</f>
        <v>ANDRITZ FABRICS AND ROLLS</v>
      </c>
      <c r="H3003" s="1"/>
    </row>
    <row r="3004" spans="1:8" x14ac:dyDescent="0.35">
      <c r="A3004" s="21"/>
      <c r="B3004" t="s">
        <v>43</v>
      </c>
      <c r="C3004" t="s">
        <v>6</v>
      </c>
      <c r="D3004" t="s">
        <v>761</v>
      </c>
      <c r="F3004" s="1">
        <v>45903</v>
      </c>
      <c r="G3004" t="str">
        <f>IF(Table3[[#This Row],[Top Parent Account]]="",Table3[[#This Row],[Account Legal Name]],Table3[[#This Row],[Top Parent Account]])</f>
        <v>CRM SYNERGIES MÉXICO S.A. DE C.V.</v>
      </c>
      <c r="H3004" s="1"/>
    </row>
    <row r="3005" spans="1:8" x14ac:dyDescent="0.35">
      <c r="A3005" s="21"/>
      <c r="B3005" t="s">
        <v>3095</v>
      </c>
      <c r="C3005" t="s">
        <v>6</v>
      </c>
      <c r="D3005" t="s">
        <v>3103</v>
      </c>
      <c r="F3005" s="1">
        <v>45902</v>
      </c>
      <c r="G3005" t="str">
        <f>IF(Table3[[#This Row],[Top Parent Account]]="",Table3[[#This Row],[Account Legal Name]],Table3[[#This Row],[Top Parent Account]])</f>
        <v>COCO COLIMA</v>
      </c>
      <c r="H3005" s="1"/>
    </row>
    <row r="3006" spans="1:8" x14ac:dyDescent="0.35">
      <c r="A3006" s="21"/>
      <c r="B3006" t="s">
        <v>18</v>
      </c>
      <c r="C3006" t="s">
        <v>6</v>
      </c>
      <c r="D3006" t="s">
        <v>3155</v>
      </c>
      <c r="F3006" s="1">
        <v>45902</v>
      </c>
      <c r="G3006" t="str">
        <f>IF(Table3[[#This Row],[Top Parent Account]]="",Table3[[#This Row],[Account Legal Name]],Table3[[#This Row],[Top Parent Account]])</f>
        <v>Sistemas De Energia Internacional</v>
      </c>
      <c r="H3006" s="1"/>
    </row>
    <row r="3007" spans="1:8" x14ac:dyDescent="0.35">
      <c r="A3007" s="21"/>
      <c r="B3007" t="s">
        <v>970</v>
      </c>
      <c r="C3007" t="s">
        <v>6</v>
      </c>
      <c r="D3007" t="s">
        <v>3156</v>
      </c>
      <c r="E3007" t="s">
        <v>3139</v>
      </c>
      <c r="F3007" s="1">
        <v>45902</v>
      </c>
      <c r="G3007" t="str">
        <f>IF(Table3[[#This Row],[Top Parent Account]]="",Table3[[#This Row],[Account Legal Name]],Table3[[#This Row],[Top Parent Account]])</f>
        <v>Grupo Zapata</v>
      </c>
      <c r="H3007" s="1"/>
    </row>
    <row r="3008" spans="1:8" x14ac:dyDescent="0.35">
      <c r="A3008" s="21"/>
      <c r="B3008" t="s">
        <v>2912</v>
      </c>
      <c r="C3008" t="s">
        <v>3038</v>
      </c>
      <c r="D3008" t="s">
        <v>327</v>
      </c>
      <c r="F3008" s="1">
        <v>45902</v>
      </c>
      <c r="G3008" t="str">
        <f>IF(Table3[[#This Row],[Top Parent Account]]="",Table3[[#This Row],[Account Legal Name]],Table3[[#This Row],[Top Parent Account]])</f>
        <v>Tienda Neto</v>
      </c>
      <c r="H3008" s="1"/>
    </row>
    <row r="3009" spans="1:8" x14ac:dyDescent="0.35">
      <c r="A3009" s="21"/>
      <c r="B3009" t="s">
        <v>37</v>
      </c>
      <c r="C3009" t="s">
        <v>6</v>
      </c>
      <c r="D3009" t="s">
        <v>2999</v>
      </c>
      <c r="F3009" s="1">
        <v>45902</v>
      </c>
      <c r="G3009" t="str">
        <f>IF(Table3[[#This Row],[Top Parent Account]]="",Table3[[#This Row],[Account Legal Name]],Table3[[#This Row],[Top Parent Account]])</f>
        <v>ZATO COMERCIALIZADORA BIOTECNOLOGICA</v>
      </c>
      <c r="H3009" s="1"/>
    </row>
    <row r="3010" spans="1:8" x14ac:dyDescent="0.35">
      <c r="A3010" s="21"/>
      <c r="B3010" t="s">
        <v>2693</v>
      </c>
      <c r="C3010" t="s">
        <v>6</v>
      </c>
      <c r="D3010" t="s">
        <v>3157</v>
      </c>
      <c r="F3010" s="1">
        <v>45902</v>
      </c>
      <c r="G3010" t="str">
        <f>IF(Table3[[#This Row],[Top Parent Account]]="",Table3[[#This Row],[Account Legal Name]],Table3[[#This Row],[Top Parent Account]])</f>
        <v>Productora y Comercializadora Sphenarium</v>
      </c>
      <c r="H3010" s="1"/>
    </row>
    <row r="3011" spans="1:8" x14ac:dyDescent="0.35">
      <c r="A3011" s="21"/>
      <c r="B3011" t="s">
        <v>10</v>
      </c>
      <c r="C3011" t="s">
        <v>6</v>
      </c>
      <c r="D3011" t="s">
        <v>79</v>
      </c>
      <c r="F3011" s="1">
        <v>45902</v>
      </c>
      <c r="G3011" t="str">
        <f>IF(Table3[[#This Row],[Top Parent Account]]="",Table3[[#This Row],[Account Legal Name]],Table3[[#This Row],[Top Parent Account]])</f>
        <v>Cereales y Pastas</v>
      </c>
      <c r="H3011" s="1"/>
    </row>
    <row r="3012" spans="1:8" x14ac:dyDescent="0.35">
      <c r="A3012" s="21"/>
      <c r="B3012" t="s">
        <v>969</v>
      </c>
      <c r="C3012" t="s">
        <v>6</v>
      </c>
      <c r="D3012" t="s">
        <v>732</v>
      </c>
      <c r="F3012" s="1">
        <v>45902</v>
      </c>
      <c r="G3012" t="str">
        <f>IF(Table3[[#This Row],[Top Parent Account]]="",Table3[[#This Row],[Account Legal Name]],Table3[[#This Row],[Top Parent Account]])</f>
        <v>Aura Proyectos Sustentables</v>
      </c>
      <c r="H3012" s="1"/>
    </row>
    <row r="3013" spans="1:8" x14ac:dyDescent="0.35">
      <c r="A3013" s="21"/>
      <c r="B3013" t="s">
        <v>1006</v>
      </c>
      <c r="C3013" t="s">
        <v>6</v>
      </c>
      <c r="D3013" t="s">
        <v>1007</v>
      </c>
      <c r="F3013" s="1">
        <v>45902</v>
      </c>
      <c r="G3013" t="str">
        <f>IF(Table3[[#This Row],[Top Parent Account]]="",Table3[[#This Row],[Account Legal Name]],Table3[[#This Row],[Top Parent Account]])</f>
        <v>INDAMEX Industrializadora de Alimentos Mexicanos</v>
      </c>
      <c r="H3013" s="1"/>
    </row>
    <row r="3014" spans="1:8" x14ac:dyDescent="0.35">
      <c r="A3014" s="21"/>
      <c r="B3014" t="s">
        <v>21</v>
      </c>
      <c r="C3014" t="s">
        <v>6</v>
      </c>
      <c r="D3014" t="s">
        <v>3160</v>
      </c>
      <c r="F3014" s="1">
        <v>45902</v>
      </c>
      <c r="G3014" t="str">
        <f>IF(Table3[[#This Row],[Top Parent Account]]="",Table3[[#This Row],[Account Legal Name]],Table3[[#This Row],[Top Parent Account]])</f>
        <v>Construcciones Velasco</v>
      </c>
      <c r="H3014" s="1"/>
    </row>
    <row r="3015" spans="1:8" x14ac:dyDescent="0.35">
      <c r="A3015" s="21"/>
      <c r="B3015" t="s">
        <v>2693</v>
      </c>
      <c r="C3015" t="s">
        <v>6</v>
      </c>
      <c r="D3015" t="s">
        <v>3023</v>
      </c>
      <c r="F3015" s="1">
        <v>45902</v>
      </c>
      <c r="G3015" t="str">
        <f>IF(Table3[[#This Row],[Top Parent Account]]="",Table3[[#This Row],[Account Legal Name]],Table3[[#This Row],[Top Parent Account]])</f>
        <v>Ecro Capital</v>
      </c>
      <c r="H3015" s="1"/>
    </row>
    <row r="3016" spans="1:8" x14ac:dyDescent="0.35">
      <c r="A3016" s="21"/>
      <c r="B3016" t="s">
        <v>88</v>
      </c>
      <c r="C3016" t="s">
        <v>6</v>
      </c>
      <c r="D3016" t="s">
        <v>3158</v>
      </c>
      <c r="F3016" s="1">
        <v>45902</v>
      </c>
      <c r="G3016" t="str">
        <f>IF(Table3[[#This Row],[Top Parent Account]]="",Table3[[#This Row],[Account Legal Name]],Table3[[#This Row],[Top Parent Account]])</f>
        <v>Markets International Wood</v>
      </c>
      <c r="H3016" s="1"/>
    </row>
    <row r="3017" spans="1:8" x14ac:dyDescent="0.35">
      <c r="A3017" s="21"/>
      <c r="B3017" t="s">
        <v>3114</v>
      </c>
      <c r="C3017" t="s">
        <v>3159</v>
      </c>
      <c r="D3017" t="s">
        <v>458</v>
      </c>
      <c r="F3017" s="1">
        <v>45902</v>
      </c>
      <c r="G3017" t="str">
        <f>IF(Table3[[#This Row],[Top Parent Account]]="",Table3[[#This Row],[Account Legal Name]],Table3[[#This Row],[Top Parent Account]])</f>
        <v>Plastirey</v>
      </c>
      <c r="H3017" s="1"/>
    </row>
    <row r="3018" spans="1:8" x14ac:dyDescent="0.35">
      <c r="A3018" s="21"/>
      <c r="B3018" t="s">
        <v>3093</v>
      </c>
      <c r="C3018" t="s">
        <v>6</v>
      </c>
      <c r="D3018" t="s">
        <v>760</v>
      </c>
      <c r="F3018" s="1">
        <v>45902</v>
      </c>
      <c r="G3018" t="str">
        <f>IF(Table3[[#This Row],[Top Parent Account]]="",Table3[[#This Row],[Account Legal Name]],Table3[[#This Row],[Top Parent Account]])</f>
        <v>Syngenta Agro</v>
      </c>
      <c r="H3018" s="1"/>
    </row>
    <row r="3019" spans="1:8" x14ac:dyDescent="0.35">
      <c r="A3019" s="21"/>
      <c r="B3019" t="s">
        <v>970</v>
      </c>
      <c r="C3019" t="s">
        <v>6</v>
      </c>
      <c r="D3019" t="s">
        <v>1634</v>
      </c>
      <c r="F3019" s="1">
        <v>45902</v>
      </c>
      <c r="G3019" t="str">
        <f>IF(Table3[[#This Row],[Top Parent Account]]="",Table3[[#This Row],[Account Legal Name]],Table3[[#This Row],[Top Parent Account]])</f>
        <v>Belleza y Vanidad</v>
      </c>
      <c r="H3019" s="1"/>
    </row>
    <row r="3020" spans="1:8" x14ac:dyDescent="0.35">
      <c r="A3020" s="21"/>
      <c r="B3020" t="s">
        <v>23</v>
      </c>
      <c r="C3020" t="s">
        <v>6</v>
      </c>
      <c r="D3020" t="s">
        <v>3161</v>
      </c>
      <c r="F3020" s="1">
        <v>45902</v>
      </c>
      <c r="G3020" t="str">
        <f>IF(Table3[[#This Row],[Top Parent Account]]="",Table3[[#This Row],[Account Legal Name]],Table3[[#This Row],[Top Parent Account]])</f>
        <v>GRUPO HALMEX</v>
      </c>
      <c r="H3020" s="1"/>
    </row>
    <row r="3021" spans="1:8" x14ac:dyDescent="0.35">
      <c r="A3021" s="21"/>
      <c r="B3021" t="s">
        <v>77</v>
      </c>
      <c r="C3021" t="s">
        <v>6</v>
      </c>
      <c r="D3021" t="s">
        <v>3162</v>
      </c>
      <c r="F3021" s="1">
        <v>45902</v>
      </c>
      <c r="G3021" t="str">
        <f>IF(Table3[[#This Row],[Top Parent Account]]="",Table3[[#This Row],[Account Legal Name]],Table3[[#This Row],[Top Parent Account]])</f>
        <v>JP CONVEYORS</v>
      </c>
      <c r="H3021" s="1"/>
    </row>
    <row r="3022" spans="1:8" x14ac:dyDescent="0.35">
      <c r="A3022" s="21"/>
      <c r="B3022" t="s">
        <v>37</v>
      </c>
      <c r="C3022" t="s">
        <v>6</v>
      </c>
      <c r="D3022" t="s">
        <v>877</v>
      </c>
      <c r="F3022" s="1">
        <v>45902</v>
      </c>
      <c r="G3022" t="str">
        <f>IF(Table3[[#This Row],[Top Parent Account]]="",Table3[[#This Row],[Account Legal Name]],Table3[[#This Row],[Top Parent Account]])</f>
        <v>La Azteca Construcciones y Urbanizaciones</v>
      </c>
      <c r="H3022" s="1"/>
    </row>
    <row r="3023" spans="1:8" x14ac:dyDescent="0.35">
      <c r="A3023" s="21"/>
      <c r="B3023" t="s">
        <v>77</v>
      </c>
      <c r="C3023" t="s">
        <v>6</v>
      </c>
      <c r="D3023" t="s">
        <v>3163</v>
      </c>
      <c r="F3023" s="1">
        <v>45902</v>
      </c>
      <c r="G3023" t="str">
        <f>IF(Table3[[#This Row],[Top Parent Account]]="",Table3[[#This Row],[Account Legal Name]],Table3[[#This Row],[Top Parent Account]])</f>
        <v>Comercializadora de maiz Sierra Azul</v>
      </c>
      <c r="H3023" s="1"/>
    </row>
    <row r="3024" spans="1:8" x14ac:dyDescent="0.35">
      <c r="A3024" s="21"/>
      <c r="B3024" t="s">
        <v>1006</v>
      </c>
      <c r="C3024" t="s">
        <v>6</v>
      </c>
      <c r="D3024" t="s">
        <v>3167</v>
      </c>
      <c r="F3024" s="1">
        <v>45902</v>
      </c>
      <c r="G3024" t="str">
        <f>IF(Table3[[#This Row],[Top Parent Account]]="",Table3[[#This Row],[Account Legal Name]],Table3[[#This Row],[Top Parent Account]])</f>
        <v>Grupo Alimentario Dolce Terra</v>
      </c>
      <c r="H3024" s="1"/>
    </row>
    <row r="3025" spans="1:8" x14ac:dyDescent="0.35">
      <c r="A3025" s="21"/>
      <c r="B3025" t="s">
        <v>969</v>
      </c>
      <c r="C3025" t="s">
        <v>6</v>
      </c>
      <c r="D3025" t="s">
        <v>1924</v>
      </c>
      <c r="F3025" s="1">
        <v>45902</v>
      </c>
      <c r="G3025" t="str">
        <f>IF(Table3[[#This Row],[Top Parent Account]]="",Table3[[#This Row],[Account Legal Name]],Table3[[#This Row],[Top Parent Account]])</f>
        <v>Gluten y Almidones Industriales</v>
      </c>
      <c r="H3025" s="1"/>
    </row>
    <row r="3026" spans="1:8" x14ac:dyDescent="0.35">
      <c r="A3026" s="21"/>
      <c r="B3026" t="s">
        <v>14</v>
      </c>
      <c r="C3026" t="s">
        <v>6</v>
      </c>
      <c r="D3026" t="s">
        <v>3166</v>
      </c>
      <c r="F3026" s="1">
        <v>45902</v>
      </c>
      <c r="G3026" t="str">
        <f>IF(Table3[[#This Row],[Top Parent Account]]="",Table3[[#This Row],[Account Legal Name]],Table3[[#This Row],[Top Parent Account]])</f>
        <v>Grupo Distribuidor GDP</v>
      </c>
      <c r="H3026" s="1"/>
    </row>
    <row r="3027" spans="1:8" x14ac:dyDescent="0.35">
      <c r="A3027" s="21"/>
      <c r="B3027" t="s">
        <v>10</v>
      </c>
      <c r="C3027" t="s">
        <v>6</v>
      </c>
      <c r="D3027" t="s">
        <v>3164</v>
      </c>
      <c r="E3027" t="s">
        <v>3556</v>
      </c>
      <c r="F3027" s="1">
        <v>45902</v>
      </c>
      <c r="G3027" t="str">
        <f>IF(Table3[[#This Row],[Top Parent Account]]="",Table3[[#This Row],[Account Legal Name]],Table3[[#This Row],[Top Parent Account]])</f>
        <v>Promotora Empresarial De Occidente</v>
      </c>
      <c r="H3027" s="1"/>
    </row>
    <row r="3028" spans="1:8" x14ac:dyDescent="0.35">
      <c r="A3028" s="21"/>
      <c r="B3028" t="s">
        <v>1131</v>
      </c>
      <c r="C3028" t="s">
        <v>6</v>
      </c>
      <c r="D3028" t="s">
        <v>3165</v>
      </c>
      <c r="F3028" s="1">
        <v>45902</v>
      </c>
      <c r="G3028" t="str">
        <f>IF(Table3[[#This Row],[Top Parent Account]]="",Table3[[#This Row],[Account Legal Name]],Table3[[#This Row],[Top Parent Account]])</f>
        <v>Fabricaciones Industriales y Agroindustriales</v>
      </c>
      <c r="H3028" s="1"/>
    </row>
    <row r="3029" spans="1:8" x14ac:dyDescent="0.35">
      <c r="A3029" s="21"/>
      <c r="B3029" t="s">
        <v>2658</v>
      </c>
      <c r="C3029" t="s">
        <v>6</v>
      </c>
      <c r="D3029" t="s">
        <v>1647</v>
      </c>
      <c r="F3029" s="1">
        <v>45902</v>
      </c>
      <c r="G3029" t="str">
        <f>IF(Table3[[#This Row],[Top Parent Account]]="",Table3[[#This Row],[Account Legal Name]],Table3[[#This Row],[Top Parent Account]])</f>
        <v>Fundicion Aguilas</v>
      </c>
      <c r="H3029" s="1"/>
    </row>
    <row r="3030" spans="1:8" x14ac:dyDescent="0.35">
      <c r="A3030" s="21"/>
      <c r="B3030" t="s">
        <v>3095</v>
      </c>
      <c r="C3030" t="s">
        <v>6</v>
      </c>
      <c r="D3030" t="s">
        <v>3168</v>
      </c>
      <c r="F3030" s="1">
        <v>45902</v>
      </c>
      <c r="G3030" t="str">
        <f>IF(Table3[[#This Row],[Top Parent Account]]="",Table3[[#This Row],[Account Legal Name]],Table3[[#This Row],[Top Parent Account]])</f>
        <v>AGROSERVICIOS DE COLIMA</v>
      </c>
      <c r="H3030" s="1"/>
    </row>
    <row r="3031" spans="1:8" x14ac:dyDescent="0.35">
      <c r="A3031" s="21"/>
      <c r="B3031" t="s">
        <v>14</v>
      </c>
      <c r="C3031" t="s">
        <v>6</v>
      </c>
      <c r="D3031" t="s">
        <v>3099</v>
      </c>
      <c r="F3031" s="1">
        <v>45902</v>
      </c>
      <c r="G3031" t="str">
        <f>IF(Table3[[#This Row],[Top Parent Account]]="",Table3[[#This Row],[Account Legal Name]],Table3[[#This Row],[Top Parent Account]])</f>
        <v>Hidroponica Sustentable</v>
      </c>
      <c r="H3031" s="1"/>
    </row>
    <row r="3032" spans="1:8" x14ac:dyDescent="0.35">
      <c r="A3032" s="21"/>
      <c r="B3032" t="s">
        <v>70</v>
      </c>
      <c r="C3032" t="s">
        <v>22</v>
      </c>
      <c r="D3032" t="s">
        <v>434</v>
      </c>
      <c r="F3032" s="1">
        <v>45902</v>
      </c>
      <c r="G3032" t="str">
        <f>IF(Table3[[#This Row],[Top Parent Account]]="",Table3[[#This Row],[Account Legal Name]],Table3[[#This Row],[Top Parent Account]])</f>
        <v>Electrónica y Medicina</v>
      </c>
      <c r="H3032" s="1"/>
    </row>
    <row r="3033" spans="1:8" x14ac:dyDescent="0.35">
      <c r="A3033" s="21"/>
      <c r="B3033" t="s">
        <v>169</v>
      </c>
      <c r="C3033" t="s">
        <v>6</v>
      </c>
      <c r="D3033" t="s">
        <v>786</v>
      </c>
      <c r="F3033" s="1">
        <v>45902</v>
      </c>
      <c r="G3033" t="str">
        <f>IF(Table3[[#This Row],[Top Parent Account]]="",Table3[[#This Row],[Account Legal Name]],Table3[[#This Row],[Top Parent Account]])</f>
        <v>Ingeniería Tizayuca</v>
      </c>
      <c r="H3033" s="1"/>
    </row>
    <row r="3034" spans="1:8" x14ac:dyDescent="0.35">
      <c r="A3034" s="21"/>
      <c r="B3034" t="s">
        <v>39</v>
      </c>
      <c r="C3034" t="s">
        <v>57</v>
      </c>
      <c r="D3034" t="s">
        <v>3107</v>
      </c>
      <c r="F3034" s="1">
        <v>45902</v>
      </c>
      <c r="G3034" t="str">
        <f>IF(Table3[[#This Row],[Top Parent Account]]="",Table3[[#This Row],[Account Legal Name]],Table3[[#This Row],[Top Parent Account]])</f>
        <v>Avicola El Caudal</v>
      </c>
      <c r="H3034" s="1"/>
    </row>
    <row r="3035" spans="1:8" x14ac:dyDescent="0.35">
      <c r="A3035" s="21"/>
      <c r="B3035" t="s">
        <v>39</v>
      </c>
      <c r="C3035" t="s">
        <v>945</v>
      </c>
      <c r="D3035" t="s">
        <v>3170</v>
      </c>
      <c r="F3035" s="1">
        <v>45902</v>
      </c>
      <c r="G3035" t="str">
        <f>IF(Table3[[#This Row],[Top Parent Account]]="",Table3[[#This Row],[Account Legal Name]],Table3[[#This Row],[Top Parent Account]])</f>
        <v>Urban Waste</v>
      </c>
      <c r="H3035" s="1"/>
    </row>
    <row r="3036" spans="1:8" x14ac:dyDescent="0.35">
      <c r="A3036" s="21"/>
      <c r="B3036" t="s">
        <v>77</v>
      </c>
      <c r="C3036" t="s">
        <v>6</v>
      </c>
      <c r="D3036" t="s">
        <v>3169</v>
      </c>
      <c r="F3036" s="1">
        <v>45902</v>
      </c>
      <c r="G3036" t="str">
        <f>IF(Table3[[#This Row],[Top Parent Account]]="",Table3[[#This Row],[Account Legal Name]],Table3[[#This Row],[Top Parent Account]])</f>
        <v>Rawmaxx</v>
      </c>
      <c r="H3036" s="1"/>
    </row>
    <row r="3037" spans="1:8" x14ac:dyDescent="0.35">
      <c r="A3037" s="21"/>
      <c r="B3037" t="s">
        <v>23</v>
      </c>
      <c r="C3037" t="s">
        <v>6</v>
      </c>
      <c r="D3037" t="s">
        <v>2939</v>
      </c>
      <c r="F3037" s="1">
        <v>45902</v>
      </c>
      <c r="G3037" t="str">
        <f>IF(Table3[[#This Row],[Top Parent Account]]="",Table3[[#This Row],[Account Legal Name]],Table3[[#This Row],[Top Parent Account]])</f>
        <v>Rising Farms</v>
      </c>
      <c r="H3037" s="1"/>
    </row>
    <row r="3038" spans="1:8" x14ac:dyDescent="0.35">
      <c r="A3038" s="21"/>
      <c r="B3038" t="s">
        <v>70</v>
      </c>
      <c r="C3038" t="s">
        <v>6</v>
      </c>
      <c r="D3038" t="s">
        <v>508</v>
      </c>
      <c r="F3038" s="1">
        <v>45902</v>
      </c>
      <c r="G3038" t="str">
        <f>IF(Table3[[#This Row],[Top Parent Account]]="",Table3[[#This Row],[Account Legal Name]],Table3[[#This Row],[Top Parent Account]])</f>
        <v>Empacadora Campo Frío</v>
      </c>
      <c r="H3038" s="1"/>
    </row>
    <row r="3039" spans="1:8" x14ac:dyDescent="0.35">
      <c r="A3039" s="21"/>
      <c r="B3039" t="s">
        <v>84</v>
      </c>
      <c r="C3039" t="s">
        <v>844</v>
      </c>
      <c r="D3039" t="s">
        <v>806</v>
      </c>
      <c r="F3039" s="1">
        <v>45902</v>
      </c>
      <c r="G3039" t="str">
        <f>IF(Table3[[#This Row],[Top Parent Account]]="",Table3[[#This Row],[Account Legal Name]],Table3[[#This Row],[Top Parent Account]])</f>
        <v>Emicol de México</v>
      </c>
      <c r="H3039" s="1"/>
    </row>
    <row r="3040" spans="1:8" x14ac:dyDescent="0.35">
      <c r="A3040" s="21"/>
      <c r="B3040" t="s">
        <v>925</v>
      </c>
      <c r="C3040" t="s">
        <v>6</v>
      </c>
      <c r="D3040" t="s">
        <v>3171</v>
      </c>
      <c r="F3040" s="1">
        <v>45902</v>
      </c>
      <c r="G3040" t="str">
        <f>IF(Table3[[#This Row],[Top Parent Account]]="",Table3[[#This Row],[Account Legal Name]],Table3[[#This Row],[Top Parent Account]])</f>
        <v>Yal Tapes Conversiones</v>
      </c>
      <c r="H3040" s="1"/>
    </row>
    <row r="3041" spans="1:8" x14ac:dyDescent="0.35">
      <c r="A3041" s="21"/>
      <c r="B3041" t="s">
        <v>10</v>
      </c>
      <c r="C3041" t="s">
        <v>6</v>
      </c>
      <c r="D3041" t="s">
        <v>295</v>
      </c>
      <c r="F3041" s="1">
        <v>45902</v>
      </c>
      <c r="G3041" t="str">
        <f>IF(Table3[[#This Row],[Top Parent Account]]="",Table3[[#This Row],[Account Legal Name]],Table3[[#This Row],[Top Parent Account]])</f>
        <v>TRANSPORTE EMPRESARIAL DEL BAJIO</v>
      </c>
      <c r="H3041" s="1"/>
    </row>
    <row r="3042" spans="1:8" x14ac:dyDescent="0.35">
      <c r="A3042" s="21"/>
      <c r="B3042" t="s">
        <v>2693</v>
      </c>
      <c r="C3042" t="s">
        <v>6</v>
      </c>
      <c r="D3042" t="s">
        <v>3157</v>
      </c>
      <c r="F3042" s="1">
        <v>45902</v>
      </c>
      <c r="G3042" t="str">
        <f>IF(Table3[[#This Row],[Top Parent Account]]="",Table3[[#This Row],[Account Legal Name]],Table3[[#This Row],[Top Parent Account]])</f>
        <v>Productora y Comercializadora Sphenarium</v>
      </c>
      <c r="H3042" s="1"/>
    </row>
    <row r="3043" spans="1:8" x14ac:dyDescent="0.35">
      <c r="A3043" s="21"/>
      <c r="B3043" t="s">
        <v>1006</v>
      </c>
      <c r="C3043" t="s">
        <v>6</v>
      </c>
      <c r="D3043" t="s">
        <v>843</v>
      </c>
      <c r="F3043" s="1">
        <v>45902</v>
      </c>
      <c r="G3043" t="str">
        <f>IF(Table3[[#This Row],[Top Parent Account]]="",Table3[[#This Row],[Account Legal Name]],Table3[[#This Row],[Top Parent Account]])</f>
        <v>IkkiDost Fruits</v>
      </c>
      <c r="H3043" s="1"/>
    </row>
    <row r="3044" spans="1:8" x14ac:dyDescent="0.35">
      <c r="A3044" s="21"/>
      <c r="B3044" t="s">
        <v>77</v>
      </c>
      <c r="C3044" t="s">
        <v>6</v>
      </c>
      <c r="D3044" t="s">
        <v>974</v>
      </c>
      <c r="F3044" s="1">
        <v>45902</v>
      </c>
      <c r="G3044" t="str">
        <f>IF(Table3[[#This Row],[Top Parent Account]]="",Table3[[#This Row],[Account Legal Name]],Table3[[#This Row],[Top Parent Account]])</f>
        <v>SYB Schmitt</v>
      </c>
      <c r="H3044" s="1"/>
    </row>
    <row r="3045" spans="1:8" x14ac:dyDescent="0.35">
      <c r="A3045" s="21"/>
      <c r="B3045" t="s">
        <v>12</v>
      </c>
      <c r="C3045" t="s">
        <v>6</v>
      </c>
      <c r="D3045" t="s">
        <v>2721</v>
      </c>
      <c r="F3045" s="1">
        <v>45902</v>
      </c>
      <c r="G3045" t="str">
        <f>IF(Table3[[#This Row],[Top Parent Account]]="",Table3[[#This Row],[Account Legal Name]],Table3[[#This Row],[Top Parent Account]])</f>
        <v>Comercializadora Construgap</v>
      </c>
      <c r="H3045" s="1"/>
    </row>
    <row r="3046" spans="1:8" x14ac:dyDescent="0.35">
      <c r="A3046" s="21"/>
      <c r="B3046" t="s">
        <v>12</v>
      </c>
      <c r="C3046" t="s">
        <v>6</v>
      </c>
      <c r="D3046" t="s">
        <v>3238</v>
      </c>
      <c r="F3046" s="1">
        <v>45902</v>
      </c>
      <c r="G3046" t="str">
        <f>IF(Table3[[#This Row],[Top Parent Account]]="",Table3[[#This Row],[Account Legal Name]],Table3[[#This Row],[Top Parent Account]])</f>
        <v>Recesur</v>
      </c>
      <c r="H3046" s="1"/>
    </row>
    <row r="3047" spans="1:8" x14ac:dyDescent="0.35">
      <c r="A3047" s="21"/>
      <c r="B3047" t="s">
        <v>77</v>
      </c>
      <c r="C3047" t="s">
        <v>6</v>
      </c>
      <c r="D3047" t="s">
        <v>50</v>
      </c>
      <c r="F3047" s="1">
        <v>45901</v>
      </c>
      <c r="G3047" t="str">
        <f>IF(Table3[[#This Row],[Top Parent Account]]="",Table3[[#This Row],[Account Legal Name]],Table3[[#This Row],[Top Parent Account]])</f>
        <v>Industrias Montilla</v>
      </c>
      <c r="H3047" s="1"/>
    </row>
    <row r="3048" spans="1:8" x14ac:dyDescent="0.35">
      <c r="A3048" s="21"/>
      <c r="B3048" t="s">
        <v>39</v>
      </c>
      <c r="C3048" t="s">
        <v>3172</v>
      </c>
      <c r="D3048" t="s">
        <v>1981</v>
      </c>
      <c r="F3048" s="1">
        <v>45901</v>
      </c>
      <c r="G3048" t="str">
        <f>IF(Table3[[#This Row],[Top Parent Account]]="",Table3[[#This Row],[Account Legal Name]],Table3[[#This Row],[Top Parent Account]])</f>
        <v>Consultoría y Asesoría De Redes</v>
      </c>
      <c r="H3048" s="1"/>
    </row>
    <row r="3049" spans="1:8" x14ac:dyDescent="0.35">
      <c r="A3049" s="21"/>
      <c r="B3049" t="s">
        <v>925</v>
      </c>
      <c r="C3049" t="s">
        <v>6</v>
      </c>
      <c r="D3049" t="s">
        <v>2732</v>
      </c>
      <c r="F3049" s="1">
        <v>45901</v>
      </c>
      <c r="G3049" t="str">
        <f>IF(Table3[[#This Row],[Top Parent Account]]="",Table3[[#This Row],[Account Legal Name]],Table3[[#This Row],[Top Parent Account]])</f>
        <v>Lácteos Marber</v>
      </c>
      <c r="H3049" s="1"/>
    </row>
    <row r="3050" spans="1:8" x14ac:dyDescent="0.35">
      <c r="A3050" s="21"/>
      <c r="B3050" t="s">
        <v>2693</v>
      </c>
      <c r="C3050" t="s">
        <v>6</v>
      </c>
      <c r="D3050" t="s">
        <v>3091</v>
      </c>
      <c r="F3050" s="1">
        <v>45901</v>
      </c>
      <c r="G3050" t="str">
        <f>IF(Table3[[#This Row],[Top Parent Account]]="",Table3[[#This Row],[Account Legal Name]],Table3[[#This Row],[Top Parent Account]])</f>
        <v>Leonel Alejandro Reyes Leyva</v>
      </c>
      <c r="H3050" s="1"/>
    </row>
    <row r="3051" spans="1:8" x14ac:dyDescent="0.35">
      <c r="A3051" s="21"/>
      <c r="B3051" t="s">
        <v>1511</v>
      </c>
      <c r="C3051" t="s">
        <v>6</v>
      </c>
      <c r="D3051" t="s">
        <v>3173</v>
      </c>
      <c r="F3051" s="1">
        <v>45901</v>
      </c>
      <c r="G3051" t="str">
        <f>IF(Table3[[#This Row],[Top Parent Account]]="",Table3[[#This Row],[Account Legal Name]],Table3[[#This Row],[Top Parent Account]])</f>
        <v>Toreo Motors</v>
      </c>
      <c r="H3051" s="1"/>
    </row>
    <row r="3052" spans="1:8" x14ac:dyDescent="0.35">
      <c r="A3052" s="21"/>
      <c r="B3052" t="s">
        <v>3114</v>
      </c>
      <c r="C3052" t="s">
        <v>52</v>
      </c>
      <c r="D3052" t="s">
        <v>762</v>
      </c>
      <c r="F3052" s="1">
        <v>45901</v>
      </c>
      <c r="G3052" t="str">
        <f>IF(Table3[[#This Row],[Top Parent Account]]="",Table3[[#This Row],[Account Legal Name]],Table3[[#This Row],[Top Parent Account]])</f>
        <v>Regiomontana De Perfiles y Tubos</v>
      </c>
      <c r="H3052" s="1"/>
    </row>
    <row r="3053" spans="1:8" x14ac:dyDescent="0.35">
      <c r="A3053" s="21"/>
      <c r="B3053" t="s">
        <v>14</v>
      </c>
      <c r="C3053" t="s">
        <v>6</v>
      </c>
      <c r="D3053" t="s">
        <v>3165</v>
      </c>
      <c r="F3053" s="1">
        <v>45901</v>
      </c>
      <c r="G3053" t="str">
        <f>IF(Table3[[#This Row],[Top Parent Account]]="",Table3[[#This Row],[Account Legal Name]],Table3[[#This Row],[Top Parent Account]])</f>
        <v>Fabricaciones Industriales y Agroindustriales</v>
      </c>
      <c r="H3053" s="1"/>
    </row>
    <row r="3054" spans="1:8" x14ac:dyDescent="0.35">
      <c r="A3054" s="21"/>
      <c r="B3054" t="s">
        <v>970</v>
      </c>
      <c r="C3054" t="s">
        <v>6</v>
      </c>
      <c r="D3054" t="s">
        <v>3124</v>
      </c>
      <c r="F3054" s="1">
        <v>45901</v>
      </c>
      <c r="G3054" t="str">
        <f>IF(Table3[[#This Row],[Top Parent Account]]="",Table3[[#This Row],[Account Legal Name]],Table3[[#This Row],[Top Parent Account]])</f>
        <v>Corporación Zapata</v>
      </c>
      <c r="H3054" s="1"/>
    </row>
    <row r="3055" spans="1:8" x14ac:dyDescent="0.35">
      <c r="A3055" s="21"/>
      <c r="B3055" t="s">
        <v>970</v>
      </c>
      <c r="C3055" t="s">
        <v>6</v>
      </c>
      <c r="D3055" t="s">
        <v>200</v>
      </c>
      <c r="F3055" s="1">
        <v>45901</v>
      </c>
      <c r="G3055" t="str">
        <f>IF(Table3[[#This Row],[Top Parent Account]]="",Table3[[#This Row],[Account Legal Name]],Table3[[#This Row],[Top Parent Account]])</f>
        <v>Grupo Industrial Summa</v>
      </c>
      <c r="H3055" s="1"/>
    </row>
    <row r="3056" spans="1:8" x14ac:dyDescent="0.35">
      <c r="A3056" s="21"/>
      <c r="B3056" t="s">
        <v>169</v>
      </c>
      <c r="C3056" t="s">
        <v>3174</v>
      </c>
      <c r="D3056" t="s">
        <v>2882</v>
      </c>
      <c r="F3056" s="1">
        <v>45901</v>
      </c>
      <c r="G3056" t="str">
        <f>IF(Table3[[#This Row],[Top Parent Account]]="",Table3[[#This Row],[Account Legal Name]],Table3[[#This Row],[Top Parent Account]])</f>
        <v>Actia de México</v>
      </c>
      <c r="H3056" s="1"/>
    </row>
    <row r="3057" spans="1:8" x14ac:dyDescent="0.35">
      <c r="A3057" s="21"/>
      <c r="B3057" t="s">
        <v>3175</v>
      </c>
      <c r="C3057" t="s">
        <v>6</v>
      </c>
      <c r="D3057" t="s">
        <v>3176</v>
      </c>
      <c r="F3057" s="1">
        <v>45901</v>
      </c>
      <c r="G3057" t="str">
        <f>IF(Table3[[#This Row],[Top Parent Account]]="",Table3[[#This Row],[Account Legal Name]],Table3[[#This Row],[Top Parent Account]])</f>
        <v>McLane Internacional</v>
      </c>
      <c r="H3057" s="1"/>
    </row>
    <row r="3058" spans="1:8" x14ac:dyDescent="0.35">
      <c r="A3058" s="21"/>
      <c r="B3058" t="s">
        <v>820</v>
      </c>
      <c r="C3058" t="s">
        <v>3178</v>
      </c>
      <c r="D3058" t="s">
        <v>3108</v>
      </c>
      <c r="F3058" s="1">
        <v>45901</v>
      </c>
      <c r="G3058" t="str">
        <f>IF(Table3[[#This Row],[Top Parent Account]]="",Table3[[#This Row],[Account Legal Name]],Table3[[#This Row],[Top Parent Account]])</f>
        <v>Gifan Internacional</v>
      </c>
      <c r="H3058" s="1"/>
    </row>
    <row r="3059" spans="1:8" x14ac:dyDescent="0.35">
      <c r="A3059" s="21"/>
      <c r="B3059" t="s">
        <v>116</v>
      </c>
      <c r="C3059" t="s">
        <v>6</v>
      </c>
      <c r="D3059" t="s">
        <v>3066</v>
      </c>
      <c r="F3059" s="1">
        <v>45901</v>
      </c>
      <c r="G3059" t="str">
        <f>IF(Table3[[#This Row],[Top Parent Account]]="",Table3[[#This Row],[Account Legal Name]],Table3[[#This Row],[Top Parent Account]])</f>
        <v>Ureblock</v>
      </c>
      <c r="H3059" s="1"/>
    </row>
    <row r="3060" spans="1:8" x14ac:dyDescent="0.35">
      <c r="A3060" s="21"/>
      <c r="B3060" t="s">
        <v>77</v>
      </c>
      <c r="C3060" t="s">
        <v>6</v>
      </c>
      <c r="D3060" t="s">
        <v>3177</v>
      </c>
      <c r="F3060" s="1">
        <v>45901</v>
      </c>
      <c r="G3060" t="str">
        <f>IF(Table3[[#This Row],[Top Parent Account]]="",Table3[[#This Row],[Account Legal Name]],Table3[[#This Row],[Top Parent Account]])</f>
        <v>DESARROLLO DE INGENIERIA Y CONTRATACIÓN</v>
      </c>
      <c r="H3060" s="1"/>
    </row>
    <row r="3061" spans="1:8" x14ac:dyDescent="0.35">
      <c r="A3061" s="21"/>
      <c r="B3061" t="s">
        <v>77</v>
      </c>
      <c r="C3061" t="s">
        <v>6</v>
      </c>
      <c r="D3061" t="s">
        <v>2547</v>
      </c>
      <c r="F3061" s="1">
        <v>45901</v>
      </c>
      <c r="G3061" t="str">
        <f>IF(Table3[[#This Row],[Top Parent Account]]="",Table3[[#This Row],[Account Legal Name]],Table3[[#This Row],[Top Parent Account]])</f>
        <v>PLASTIC INNOVATION DE CHIHUAHUA</v>
      </c>
      <c r="H3061" s="1"/>
    </row>
    <row r="3062" spans="1:8" x14ac:dyDescent="0.35">
      <c r="A3062" s="21"/>
      <c r="B3062" t="s">
        <v>43</v>
      </c>
      <c r="C3062" t="s">
        <v>6</v>
      </c>
      <c r="D3062" t="s">
        <v>3179</v>
      </c>
      <c r="F3062" s="1">
        <v>45901</v>
      </c>
      <c r="G3062" t="str">
        <f>IF(Table3[[#This Row],[Top Parent Account]]="",Table3[[#This Row],[Account Legal Name]],Table3[[#This Row],[Top Parent Account]])</f>
        <v>Suplementos Alimenticios Fercel</v>
      </c>
      <c r="H3062" s="1"/>
    </row>
    <row r="3063" spans="1:8" x14ac:dyDescent="0.35">
      <c r="A3063" s="21"/>
      <c r="B3063" t="s">
        <v>27</v>
      </c>
      <c r="C3063" t="s">
        <v>22</v>
      </c>
      <c r="D3063" t="s">
        <v>432</v>
      </c>
      <c r="F3063" s="1">
        <v>45901</v>
      </c>
      <c r="G3063" t="str">
        <f>IF(Table3[[#This Row],[Top Parent Account]]="",Table3[[#This Row],[Account Legal Name]],Table3[[#This Row],[Top Parent Account]])</f>
        <v>Alcamare</v>
      </c>
      <c r="H3063" s="1"/>
    </row>
    <row r="3064" spans="1:8" x14ac:dyDescent="0.35">
      <c r="A3064" s="21"/>
      <c r="B3064" t="s">
        <v>70</v>
      </c>
      <c r="C3064" t="s">
        <v>22</v>
      </c>
      <c r="D3064" t="s">
        <v>531</v>
      </c>
      <c r="F3064" s="1">
        <v>45901</v>
      </c>
      <c r="G3064" t="str">
        <f>IF(Table3[[#This Row],[Top Parent Account]]="",Table3[[#This Row],[Account Legal Name]],Table3[[#This Row],[Top Parent Account]])</f>
        <v>Laboratorio de Patología Quirúrgica y Citología de Puebla</v>
      </c>
      <c r="H3064" s="1"/>
    </row>
    <row r="3065" spans="1:8" x14ac:dyDescent="0.35">
      <c r="A3065" s="21"/>
      <c r="B3065" t="s">
        <v>925</v>
      </c>
      <c r="C3065" t="s">
        <v>6</v>
      </c>
      <c r="D3065" t="s">
        <v>826</v>
      </c>
      <c r="F3065" s="1">
        <v>45901</v>
      </c>
      <c r="G3065" t="str">
        <f>IF(Table3[[#This Row],[Top Parent Account]]="",Table3[[#This Row],[Account Legal Name]],Table3[[#This Row],[Top Parent Account]])</f>
        <v>ELASTOMEROS TAZA</v>
      </c>
      <c r="H3065" s="1"/>
    </row>
    <row r="3066" spans="1:8" x14ac:dyDescent="0.35">
      <c r="A3066" s="21"/>
      <c r="B3066" t="s">
        <v>3182</v>
      </c>
      <c r="C3066" t="s">
        <v>6</v>
      </c>
      <c r="D3066" t="s">
        <v>3183</v>
      </c>
      <c r="E3066" t="s">
        <v>919</v>
      </c>
      <c r="F3066" s="1">
        <v>45901</v>
      </c>
      <c r="G3066" t="str">
        <f>IF(Table3[[#This Row],[Top Parent Account]]="",Table3[[#This Row],[Account Legal Name]],Table3[[#This Row],[Top Parent Account]])</f>
        <v>Caabsa</v>
      </c>
      <c r="H3066" s="1"/>
    </row>
    <row r="3067" spans="1:8" x14ac:dyDescent="0.35">
      <c r="A3067" s="21"/>
      <c r="B3067" t="s">
        <v>56</v>
      </c>
      <c r="C3067" t="s">
        <v>6</v>
      </c>
      <c r="D3067" t="s">
        <v>3181</v>
      </c>
      <c r="F3067" s="1">
        <v>45901</v>
      </c>
      <c r="G3067" t="str">
        <f>IF(Table3[[#This Row],[Top Parent Account]]="",Table3[[#This Row],[Account Legal Name]],Table3[[#This Row],[Top Parent Account]])</f>
        <v>TRESSA CONSTRUNORTE</v>
      </c>
      <c r="H3067" s="1"/>
    </row>
    <row r="3068" spans="1:8" x14ac:dyDescent="0.35">
      <c r="A3068" s="21"/>
      <c r="B3068" t="s">
        <v>77</v>
      </c>
      <c r="C3068" t="s">
        <v>6</v>
      </c>
      <c r="D3068" t="s">
        <v>3180</v>
      </c>
      <c r="F3068" s="1">
        <v>45901</v>
      </c>
      <c r="G3068" t="str">
        <f>IF(Table3[[#This Row],[Top Parent Account]]="",Table3[[#This Row],[Account Legal Name]],Table3[[#This Row],[Top Parent Account]])</f>
        <v>Transportes Industriales Vita, S.A. de C.V.</v>
      </c>
      <c r="H3068" s="1"/>
    </row>
    <row r="3069" spans="1:8" x14ac:dyDescent="0.35">
      <c r="A3069" s="21"/>
      <c r="B3069" t="s">
        <v>43</v>
      </c>
      <c r="C3069" t="s">
        <v>6</v>
      </c>
      <c r="D3069" t="s">
        <v>2511</v>
      </c>
      <c r="F3069" s="1">
        <v>45901</v>
      </c>
      <c r="G3069" t="str">
        <f>IF(Table3[[#This Row],[Top Parent Account]]="",Table3[[#This Row],[Account Legal Name]],Table3[[#This Row],[Top Parent Account]])</f>
        <v>Rancho Aguamarina</v>
      </c>
      <c r="H3069" s="1"/>
    </row>
    <row r="3070" spans="1:8" x14ac:dyDescent="0.35">
      <c r="A3070" s="21"/>
      <c r="B3070" t="s">
        <v>21</v>
      </c>
      <c r="C3070" t="s">
        <v>6</v>
      </c>
      <c r="D3070" t="s">
        <v>3239</v>
      </c>
      <c r="F3070" s="1">
        <v>45898</v>
      </c>
      <c r="G3070" t="str">
        <f>IF(Table3[[#This Row],[Top Parent Account]]="",Table3[[#This Row],[Account Legal Name]],Table3[[#This Row],[Top Parent Account]])</f>
        <v>Transportes Especializados Orizabeños</v>
      </c>
      <c r="H3070" s="1"/>
    </row>
    <row r="3071" spans="1:8" x14ac:dyDescent="0.35">
      <c r="A3071" s="21"/>
      <c r="B3071" t="s">
        <v>989</v>
      </c>
      <c r="C3071" t="s">
        <v>6</v>
      </c>
      <c r="D3071" t="s">
        <v>1117</v>
      </c>
      <c r="F3071" s="1">
        <v>45898</v>
      </c>
      <c r="G3071" t="str">
        <f>IF(Table3[[#This Row],[Top Parent Account]]="",Table3[[#This Row],[Account Legal Name]],Table3[[#This Row],[Top Parent Account]])</f>
        <v>Pastas Alimenticias Laziali</v>
      </c>
      <c r="H3071" s="1"/>
    </row>
    <row r="3072" spans="1:8" x14ac:dyDescent="0.35">
      <c r="A3072" s="21"/>
      <c r="B3072" t="s">
        <v>14</v>
      </c>
      <c r="C3072" t="s">
        <v>3241</v>
      </c>
      <c r="D3072" t="s">
        <v>3094</v>
      </c>
      <c r="F3072" s="1">
        <v>45898</v>
      </c>
      <c r="G3072" t="str">
        <f>IF(Table3[[#This Row],[Top Parent Account]]="",Table3[[#This Row],[Account Legal Name]],Table3[[#This Row],[Top Parent Account]])</f>
        <v>Target Robotics Group</v>
      </c>
      <c r="H3072" s="1"/>
    </row>
    <row r="3073" spans="1:8" x14ac:dyDescent="0.35">
      <c r="A3073" s="21"/>
      <c r="B3073" t="s">
        <v>989</v>
      </c>
      <c r="C3073" t="s">
        <v>6</v>
      </c>
      <c r="D3073" t="s">
        <v>3240</v>
      </c>
      <c r="F3073" s="1">
        <v>45898</v>
      </c>
      <c r="G3073" t="str">
        <f>IF(Table3[[#This Row],[Top Parent Account]]="",Table3[[#This Row],[Account Legal Name]],Table3[[#This Row],[Top Parent Account]])</f>
        <v>Venameca</v>
      </c>
      <c r="H3073" s="1"/>
    </row>
    <row r="3074" spans="1:8" x14ac:dyDescent="0.35">
      <c r="A3074" s="21"/>
      <c r="B3074" t="s">
        <v>207</v>
      </c>
      <c r="C3074" t="s">
        <v>6</v>
      </c>
      <c r="D3074" t="s">
        <v>3243</v>
      </c>
      <c r="F3074" s="1">
        <v>45898</v>
      </c>
      <c r="G3074" t="str">
        <f>IF(Table3[[#This Row],[Top Parent Account]]="",Table3[[#This Row],[Account Legal Name]],Table3[[#This Row],[Top Parent Account]])</f>
        <v>Girbau</v>
      </c>
      <c r="H3074" s="1"/>
    </row>
    <row r="3075" spans="1:8" x14ac:dyDescent="0.35">
      <c r="A3075" s="21"/>
      <c r="B3075" t="s">
        <v>28</v>
      </c>
      <c r="C3075" t="s">
        <v>6</v>
      </c>
      <c r="D3075" t="s">
        <v>3244</v>
      </c>
      <c r="F3075" s="1">
        <v>45898</v>
      </c>
      <c r="G3075" t="str">
        <f>IF(Table3[[#This Row],[Top Parent Account]]="",Table3[[#This Row],[Account Legal Name]],Table3[[#This Row],[Top Parent Account]])</f>
        <v>BOMESA</v>
      </c>
      <c r="H3075" s="1"/>
    </row>
    <row r="3076" spans="1:8" x14ac:dyDescent="0.35">
      <c r="A3076" s="21"/>
      <c r="B3076" t="s">
        <v>121</v>
      </c>
      <c r="C3076" t="s">
        <v>6</v>
      </c>
      <c r="D3076" t="s">
        <v>3242</v>
      </c>
      <c r="F3076" s="1">
        <v>45898</v>
      </c>
      <c r="G3076" t="str">
        <f>IF(Table3[[#This Row],[Top Parent Account]]="",Table3[[#This Row],[Account Legal Name]],Table3[[#This Row],[Top Parent Account]])</f>
        <v>Empacadora De Citricos De Los Altos</v>
      </c>
      <c r="H3076" s="1"/>
    </row>
    <row r="3077" spans="1:8" x14ac:dyDescent="0.35">
      <c r="A3077" s="21"/>
      <c r="B3077" t="s">
        <v>70</v>
      </c>
      <c r="C3077" t="s">
        <v>6</v>
      </c>
      <c r="D3077" t="s">
        <v>3245</v>
      </c>
      <c r="F3077" s="1">
        <v>45898</v>
      </c>
      <c r="G3077" t="str">
        <f>IF(Table3[[#This Row],[Top Parent Account]]="",Table3[[#This Row],[Account Legal Name]],Table3[[#This Row],[Top Parent Account]])</f>
        <v>Ingeniería para el cuidado de la salud</v>
      </c>
      <c r="H3077" s="1"/>
    </row>
    <row r="3078" spans="1:8" x14ac:dyDescent="0.35">
      <c r="A3078" s="21"/>
      <c r="B3078" t="s">
        <v>1006</v>
      </c>
      <c r="C3078" t="s">
        <v>6</v>
      </c>
      <c r="D3078" t="s">
        <v>3039</v>
      </c>
      <c r="F3078" s="1">
        <v>45898</v>
      </c>
      <c r="G3078" t="str">
        <f>IF(Table3[[#This Row],[Top Parent Account]]="",Table3[[#This Row],[Account Legal Name]],Table3[[#This Row],[Top Parent Account]])</f>
        <v>Hospital San José Zamora</v>
      </c>
      <c r="H3078" s="1"/>
    </row>
    <row r="3079" spans="1:8" x14ac:dyDescent="0.35">
      <c r="A3079" s="21"/>
      <c r="B3079" t="s">
        <v>84</v>
      </c>
      <c r="C3079" t="s">
        <v>22</v>
      </c>
      <c r="D3079" t="s">
        <v>3247</v>
      </c>
      <c r="F3079" s="1">
        <v>45898</v>
      </c>
      <c r="G3079" t="str">
        <f>IF(Table3[[#This Row],[Top Parent Account]]="",Table3[[#This Row],[Account Legal Name]],Table3[[#This Row],[Top Parent Account]])</f>
        <v>CALL CENTER SERVICES</v>
      </c>
      <c r="H3079" s="1"/>
    </row>
    <row r="3080" spans="1:8" x14ac:dyDescent="0.35">
      <c r="A3080" s="21"/>
      <c r="B3080" t="s">
        <v>2658</v>
      </c>
      <c r="C3080" t="s">
        <v>6</v>
      </c>
      <c r="D3080" t="s">
        <v>3248</v>
      </c>
      <c r="F3080" s="1">
        <v>45898</v>
      </c>
      <c r="G3080" t="str">
        <f>IF(Table3[[#This Row],[Top Parent Account]]="",Table3[[#This Row],[Account Legal Name]],Table3[[#This Row],[Top Parent Account]])</f>
        <v>LA MISIÓN SUPERMERCADOS</v>
      </c>
      <c r="H3080" s="1"/>
    </row>
    <row r="3081" spans="1:8" x14ac:dyDescent="0.35">
      <c r="A3081" s="21"/>
      <c r="B3081" t="s">
        <v>589</v>
      </c>
      <c r="C3081" t="s">
        <v>6</v>
      </c>
      <c r="D3081" t="s">
        <v>3249</v>
      </c>
      <c r="F3081" s="1">
        <v>45897</v>
      </c>
      <c r="G3081" t="str">
        <f>IF(Table3[[#This Row],[Top Parent Account]]="",Table3[[#This Row],[Account Legal Name]],Table3[[#This Row],[Top Parent Account]])</f>
        <v>Ríos Corrugadora</v>
      </c>
      <c r="H3081" s="1"/>
    </row>
    <row r="3082" spans="1:8" x14ac:dyDescent="0.35">
      <c r="A3082" s="21"/>
      <c r="B3082" t="s">
        <v>207</v>
      </c>
      <c r="C3082" t="s">
        <v>6</v>
      </c>
      <c r="D3082" t="s">
        <v>3250</v>
      </c>
      <c r="E3082" t="s">
        <v>224</v>
      </c>
      <c r="F3082" s="1">
        <v>45897</v>
      </c>
      <c r="G3082" t="str">
        <f>IF(Table3[[#This Row],[Top Parent Account]]="",Table3[[#This Row],[Account Legal Name]],Table3[[#This Row],[Top Parent Account]])</f>
        <v>Atelier Post CO</v>
      </c>
      <c r="H3082" s="1"/>
    </row>
    <row r="3083" spans="1:8" x14ac:dyDescent="0.35">
      <c r="A3083" s="21"/>
      <c r="B3083" t="s">
        <v>10</v>
      </c>
      <c r="C3083" t="s">
        <v>6</v>
      </c>
      <c r="D3083" t="s">
        <v>3251</v>
      </c>
      <c r="E3083" t="s">
        <v>2057</v>
      </c>
      <c r="F3083" s="1">
        <v>45897</v>
      </c>
      <c r="G3083" t="str">
        <f>IF(Table3[[#This Row],[Top Parent Account]]="",Table3[[#This Row],[Account Legal Name]],Table3[[#This Row],[Top Parent Account]])</f>
        <v>Corporativo IMT</v>
      </c>
      <c r="H3083" s="1"/>
    </row>
    <row r="3084" spans="1:8" x14ac:dyDescent="0.35">
      <c r="A3084" s="21"/>
      <c r="B3084" t="s">
        <v>932</v>
      </c>
      <c r="C3084" t="s">
        <v>6</v>
      </c>
      <c r="D3084" t="s">
        <v>1171</v>
      </c>
      <c r="F3084" s="1">
        <v>45897</v>
      </c>
      <c r="G3084" t="str">
        <f>IF(Table3[[#This Row],[Top Parent Account]]="",Table3[[#This Row],[Account Legal Name]],Table3[[#This Row],[Top Parent Account]])</f>
        <v>Pakmail Centro Logístico</v>
      </c>
      <c r="H3084" s="1"/>
    </row>
    <row r="3085" spans="1:8" x14ac:dyDescent="0.35">
      <c r="A3085" s="21"/>
      <c r="B3085" t="s">
        <v>121</v>
      </c>
      <c r="C3085" t="s">
        <v>6</v>
      </c>
      <c r="D3085" t="s">
        <v>2937</v>
      </c>
      <c r="F3085" s="1">
        <v>45897</v>
      </c>
      <c r="G3085" t="str">
        <f>IF(Table3[[#This Row],[Top Parent Account]]="",Table3[[#This Row],[Account Legal Name]],Table3[[#This Row],[Top Parent Account]])</f>
        <v>TERRAFLUX</v>
      </c>
      <c r="H3085" s="1"/>
    </row>
    <row r="3086" spans="1:8" x14ac:dyDescent="0.35">
      <c r="A3086" s="21"/>
      <c r="B3086" t="s">
        <v>88</v>
      </c>
      <c r="C3086" t="s">
        <v>6</v>
      </c>
      <c r="D3086" t="s">
        <v>3252</v>
      </c>
      <c r="F3086" s="1">
        <v>45897</v>
      </c>
      <c r="G3086" t="str">
        <f>IF(Table3[[#This Row],[Top Parent Account]]="",Table3[[#This Row],[Account Legal Name]],Table3[[#This Row],[Top Parent Account]])</f>
        <v>Grupo 3R Ingeniería</v>
      </c>
      <c r="H3086" s="1"/>
    </row>
    <row r="3087" spans="1:8" x14ac:dyDescent="0.35">
      <c r="A3087" s="21"/>
      <c r="B3087" t="s">
        <v>51</v>
      </c>
      <c r="C3087" t="s">
        <v>6</v>
      </c>
      <c r="D3087" t="s">
        <v>3253</v>
      </c>
      <c r="F3087" s="1">
        <v>45897</v>
      </c>
      <c r="G3087" t="str">
        <f>IF(Table3[[#This Row],[Top Parent Account]]="",Table3[[#This Row],[Account Legal Name]],Table3[[#This Row],[Top Parent Account]])</f>
        <v>Artifibras</v>
      </c>
      <c r="H3087" s="1"/>
    </row>
    <row r="3088" spans="1:8" x14ac:dyDescent="0.35">
      <c r="A3088" s="21"/>
      <c r="B3088" t="s">
        <v>969</v>
      </c>
      <c r="C3088" t="s">
        <v>6</v>
      </c>
      <c r="D3088" t="s">
        <v>3254</v>
      </c>
      <c r="F3088" s="1">
        <v>45897</v>
      </c>
      <c r="G3088" t="str">
        <f>IF(Table3[[#This Row],[Top Parent Account]]="",Table3[[#This Row],[Account Legal Name]],Table3[[#This Row],[Top Parent Account]])</f>
        <v>Radio Huamantla</v>
      </c>
      <c r="H3088" s="1"/>
    </row>
    <row r="3089" spans="1:8" x14ac:dyDescent="0.35">
      <c r="A3089" s="21"/>
      <c r="B3089" t="s">
        <v>88</v>
      </c>
      <c r="C3089" t="s">
        <v>6</v>
      </c>
      <c r="D3089" t="s">
        <v>3255</v>
      </c>
      <c r="F3089" s="1">
        <v>45897</v>
      </c>
      <c r="G3089" t="str">
        <f>IF(Table3[[#This Row],[Top Parent Account]]="",Table3[[#This Row],[Account Legal Name]],Table3[[#This Row],[Top Parent Account]])</f>
        <v>COMERCIALIZADORA EIPRAC</v>
      </c>
      <c r="H3089" s="1"/>
    </row>
    <row r="3090" spans="1:8" x14ac:dyDescent="0.35">
      <c r="A3090" s="21"/>
      <c r="B3090" t="s">
        <v>29</v>
      </c>
      <c r="C3090" t="s">
        <v>6</v>
      </c>
      <c r="D3090" t="s">
        <v>3256</v>
      </c>
      <c r="F3090" s="1">
        <v>45897</v>
      </c>
      <c r="G3090" t="str">
        <f>IF(Table3[[#This Row],[Top Parent Account]]="",Table3[[#This Row],[Account Legal Name]],Table3[[#This Row],[Top Parent Account]])</f>
        <v>Laxma</v>
      </c>
      <c r="H3090" s="1"/>
    </row>
    <row r="3091" spans="1:8" x14ac:dyDescent="0.35">
      <c r="A3091" s="21"/>
      <c r="B3091" t="s">
        <v>989</v>
      </c>
      <c r="C3091" t="s">
        <v>6</v>
      </c>
      <c r="D3091" t="s">
        <v>1498</v>
      </c>
      <c r="F3091" s="1">
        <v>45897</v>
      </c>
      <c r="G3091" t="str">
        <f>IF(Table3[[#This Row],[Top Parent Account]]="",Table3[[#This Row],[Account Legal Name]],Table3[[#This Row],[Top Parent Account]])</f>
        <v>Grupo Canutarra</v>
      </c>
      <c r="H3091" s="1"/>
    </row>
    <row r="3092" spans="1:8" x14ac:dyDescent="0.35">
      <c r="A3092" s="21"/>
      <c r="B3092" t="s">
        <v>989</v>
      </c>
      <c r="C3092" t="s">
        <v>6</v>
      </c>
      <c r="D3092" t="s">
        <v>2134</v>
      </c>
      <c r="F3092" s="1">
        <v>45897</v>
      </c>
      <c r="G3092" t="str">
        <f>IF(Table3[[#This Row],[Top Parent Account]]="",Table3[[#This Row],[Account Legal Name]],Table3[[#This Row],[Top Parent Account]])</f>
        <v>SINOBOOM</v>
      </c>
      <c r="H3092" s="1"/>
    </row>
    <row r="3093" spans="1:8" x14ac:dyDescent="0.35">
      <c r="A3093" s="21"/>
      <c r="B3093" t="s">
        <v>989</v>
      </c>
      <c r="C3093" t="s">
        <v>6</v>
      </c>
      <c r="D3093" t="s">
        <v>3257</v>
      </c>
      <c r="F3093" s="1">
        <v>45897</v>
      </c>
      <c r="G3093" t="str">
        <f>IF(Table3[[#This Row],[Top Parent Account]]="",Table3[[#This Row],[Account Legal Name]],Table3[[#This Row],[Top Parent Account]])</f>
        <v>Seidor México</v>
      </c>
      <c r="H3093" s="1"/>
    </row>
    <row r="3094" spans="1:8" x14ac:dyDescent="0.35">
      <c r="A3094" s="21"/>
      <c r="B3094" t="s">
        <v>989</v>
      </c>
      <c r="C3094" t="s">
        <v>6</v>
      </c>
      <c r="D3094" t="s">
        <v>177</v>
      </c>
      <c r="F3094" s="1">
        <v>45897</v>
      </c>
      <c r="G3094" t="str">
        <f>IF(Table3[[#This Row],[Top Parent Account]]="",Table3[[#This Row],[Account Legal Name]],Table3[[#This Row],[Top Parent Account]])</f>
        <v>Cartonera Plástica</v>
      </c>
      <c r="H3094" s="1"/>
    </row>
    <row r="3095" spans="1:8" x14ac:dyDescent="0.35">
      <c r="A3095" s="21"/>
      <c r="B3095" t="s">
        <v>989</v>
      </c>
      <c r="C3095" t="s">
        <v>6</v>
      </c>
      <c r="D3095" t="s">
        <v>1751</v>
      </c>
      <c r="F3095" s="1">
        <v>45897</v>
      </c>
      <c r="G3095" t="str">
        <f>IF(Table3[[#This Row],[Top Parent Account]]="",Table3[[#This Row],[Account Legal Name]],Table3[[#This Row],[Top Parent Account]])</f>
        <v>Polychem</v>
      </c>
      <c r="H3095" s="1"/>
    </row>
    <row r="3096" spans="1:8" x14ac:dyDescent="0.35">
      <c r="A3096" s="21"/>
      <c r="B3096" t="s">
        <v>989</v>
      </c>
      <c r="C3096" t="s">
        <v>6</v>
      </c>
      <c r="D3096" t="s">
        <v>2491</v>
      </c>
      <c r="F3096" s="1">
        <v>45897</v>
      </c>
      <c r="G3096" t="str">
        <f>IF(Table3[[#This Row],[Top Parent Account]]="",Table3[[#This Row],[Account Legal Name]],Table3[[#This Row],[Top Parent Account]])</f>
        <v>Servicios Administrados Mexis</v>
      </c>
      <c r="H3096" s="1"/>
    </row>
    <row r="3097" spans="1:8" x14ac:dyDescent="0.35">
      <c r="A3097" s="21"/>
      <c r="B3097" t="s">
        <v>989</v>
      </c>
      <c r="C3097" t="s">
        <v>6</v>
      </c>
      <c r="D3097" t="s">
        <v>3047</v>
      </c>
      <c r="F3097" s="1">
        <v>45897</v>
      </c>
      <c r="G3097" t="str">
        <f>IF(Table3[[#This Row],[Top Parent Account]]="",Table3[[#This Row],[Account Legal Name]],Table3[[#This Row],[Top Parent Account]])</f>
        <v>OMNIA TECHNOLOGIES MEXICO</v>
      </c>
      <c r="H3097" s="1"/>
    </row>
    <row r="3098" spans="1:8" x14ac:dyDescent="0.35">
      <c r="A3098" s="21"/>
      <c r="B3098" t="s">
        <v>989</v>
      </c>
      <c r="C3098" t="s">
        <v>6</v>
      </c>
      <c r="D3098" t="s">
        <v>1123</v>
      </c>
      <c r="F3098" s="1">
        <v>45897</v>
      </c>
      <c r="G3098" t="str">
        <f>IF(Table3[[#This Row],[Top Parent Account]]="",Table3[[#This Row],[Account Legal Name]],Table3[[#This Row],[Top Parent Account]])</f>
        <v>Exel Servigrafica</v>
      </c>
      <c r="H3098" s="1"/>
    </row>
    <row r="3099" spans="1:8" x14ac:dyDescent="0.35">
      <c r="A3099" s="21"/>
      <c r="B3099" t="s">
        <v>88</v>
      </c>
      <c r="C3099" t="s">
        <v>6</v>
      </c>
      <c r="D3099" t="s">
        <v>3258</v>
      </c>
      <c r="F3099" s="1">
        <v>45897</v>
      </c>
      <c r="G3099" t="str">
        <f>IF(Table3[[#This Row],[Top Parent Account]]="",Table3[[#This Row],[Account Legal Name]],Table3[[#This Row],[Top Parent Account]])</f>
        <v>CMD LOGISTICA</v>
      </c>
      <c r="H3099" s="1"/>
    </row>
    <row r="3100" spans="1:8" x14ac:dyDescent="0.35">
      <c r="A3100" s="21"/>
      <c r="B3100" t="s">
        <v>1511</v>
      </c>
      <c r="C3100" t="s">
        <v>6</v>
      </c>
      <c r="D3100" t="s">
        <v>3259</v>
      </c>
      <c r="F3100" s="1">
        <v>45897</v>
      </c>
      <c r="G3100" t="str">
        <f>IF(Table3[[#This Row],[Top Parent Account]]="",Table3[[#This Row],[Account Legal Name]],Table3[[#This Row],[Top Parent Account]])</f>
        <v>GREENBRICK</v>
      </c>
      <c r="H3100" s="1"/>
    </row>
    <row r="3101" spans="1:8" x14ac:dyDescent="0.35">
      <c r="A3101" s="21"/>
      <c r="B3101" t="s">
        <v>2345</v>
      </c>
      <c r="C3101" t="s">
        <v>6</v>
      </c>
      <c r="D3101" t="s">
        <v>2709</v>
      </c>
      <c r="F3101" s="1">
        <v>45897</v>
      </c>
      <c r="G3101" t="str">
        <f>IF(Table3[[#This Row],[Top Parent Account]]="",Table3[[#This Row],[Account Legal Name]],Table3[[#This Row],[Top Parent Account]])</f>
        <v>Sandvik Mining And Construction de México</v>
      </c>
      <c r="H3101" s="1"/>
    </row>
    <row r="3102" spans="1:8" x14ac:dyDescent="0.35">
      <c r="A3102" s="21"/>
      <c r="B3102" t="s">
        <v>84</v>
      </c>
      <c r="C3102" t="s">
        <v>3260</v>
      </c>
      <c r="D3102" t="s">
        <v>1060</v>
      </c>
      <c r="F3102" s="1">
        <v>45897</v>
      </c>
      <c r="G3102" t="str">
        <f>IF(Table3[[#This Row],[Top Parent Account]]="",Table3[[#This Row],[Account Legal Name]],Table3[[#This Row],[Top Parent Account]])</f>
        <v>Cremería Del Yaqui</v>
      </c>
      <c r="H3102" s="1"/>
    </row>
    <row r="3103" spans="1:8" x14ac:dyDescent="0.35">
      <c r="A3103" s="21"/>
      <c r="B3103" t="s">
        <v>84</v>
      </c>
      <c r="C3103" t="s">
        <v>675</v>
      </c>
      <c r="D3103" t="s">
        <v>763</v>
      </c>
      <c r="F3103" s="1">
        <v>45897</v>
      </c>
      <c r="G3103" t="str">
        <f>IF(Table3[[#This Row],[Top Parent Account]]="",Table3[[#This Row],[Account Legal Name]],Table3[[#This Row],[Top Parent Account]])</f>
        <v>PROCESADORA UOVO</v>
      </c>
      <c r="H3103" s="1"/>
    </row>
    <row r="3104" spans="1:8" x14ac:dyDescent="0.35">
      <c r="A3104" s="21"/>
      <c r="B3104" t="s">
        <v>84</v>
      </c>
      <c r="C3104" t="s">
        <v>55</v>
      </c>
      <c r="D3104" t="s">
        <v>1121</v>
      </c>
      <c r="F3104" s="1">
        <v>45897</v>
      </c>
      <c r="G3104" t="str">
        <f>IF(Table3[[#This Row],[Top Parent Account]]="",Table3[[#This Row],[Account Legal Name]],Table3[[#This Row],[Top Parent Account]])</f>
        <v>Constructora Makro</v>
      </c>
      <c r="H3104" s="1"/>
    </row>
    <row r="3105" spans="1:8" x14ac:dyDescent="0.35">
      <c r="A3105" s="21"/>
      <c r="B3105" t="s">
        <v>84</v>
      </c>
      <c r="C3105" t="s">
        <v>193</v>
      </c>
      <c r="D3105" t="s">
        <v>3017</v>
      </c>
      <c r="F3105" s="1">
        <v>45897</v>
      </c>
      <c r="G3105" t="str">
        <f>IF(Table3[[#This Row],[Top Parent Account]]="",Table3[[#This Row],[Account Legal Name]],Table3[[#This Row],[Top Parent Account]])</f>
        <v>Procesos y Cultivos Marinos</v>
      </c>
      <c r="H3105" s="1"/>
    </row>
    <row r="3106" spans="1:8" x14ac:dyDescent="0.35">
      <c r="A3106" s="21"/>
      <c r="B3106" t="s">
        <v>84</v>
      </c>
      <c r="C3106" t="s">
        <v>844</v>
      </c>
      <c r="D3106" t="s">
        <v>382</v>
      </c>
      <c r="F3106" s="1">
        <v>45897</v>
      </c>
      <c r="G3106" t="str">
        <f>IF(Table3[[#This Row],[Top Parent Account]]="",Table3[[#This Row],[Account Legal Name]],Table3[[#This Row],[Top Parent Account]])</f>
        <v>Fruvemex Mexicali</v>
      </c>
      <c r="H3106" s="1"/>
    </row>
    <row r="3107" spans="1:8" x14ac:dyDescent="0.35">
      <c r="A3107" s="21"/>
      <c r="B3107" t="s">
        <v>84</v>
      </c>
      <c r="C3107" t="s">
        <v>67</v>
      </c>
      <c r="D3107" t="s">
        <v>3261</v>
      </c>
      <c r="F3107" s="1">
        <v>45897</v>
      </c>
      <c r="G3107" t="str">
        <f>IF(Table3[[#This Row],[Top Parent Account]]="",Table3[[#This Row],[Account Legal Name]],Table3[[#This Row],[Top Parent Account]])</f>
        <v>Cmi de México International</v>
      </c>
      <c r="H3107" s="1"/>
    </row>
    <row r="3108" spans="1:8" x14ac:dyDescent="0.35">
      <c r="A3108" s="21"/>
      <c r="B3108" t="s">
        <v>169</v>
      </c>
      <c r="C3108" t="s">
        <v>6</v>
      </c>
      <c r="D3108" t="s">
        <v>205</v>
      </c>
      <c r="F3108" s="1">
        <v>45897</v>
      </c>
      <c r="G3108" t="str">
        <f>IF(Table3[[#This Row],[Top Parent Account]]="",Table3[[#This Row],[Account Legal Name]],Table3[[#This Row],[Top Parent Account]])</f>
        <v>Grupo Velasco Servicios De Ingenieria y Arrendamiento</v>
      </c>
      <c r="H3108" s="1"/>
    </row>
    <row r="3109" spans="1:8" x14ac:dyDescent="0.35">
      <c r="A3109" s="21"/>
      <c r="B3109" t="s">
        <v>3095</v>
      </c>
      <c r="C3109" t="s">
        <v>6</v>
      </c>
      <c r="D3109" t="s">
        <v>3262</v>
      </c>
      <c r="F3109" s="1">
        <v>45897</v>
      </c>
      <c r="G3109" t="str">
        <f>IF(Table3[[#This Row],[Top Parent Account]]="",Table3[[#This Row],[Account Legal Name]],Table3[[#This Row],[Top Parent Account]])</f>
        <v>Idea Ingenieria</v>
      </c>
      <c r="H3109" s="1"/>
    </row>
    <row r="3110" spans="1:8" x14ac:dyDescent="0.35">
      <c r="A3110" s="21"/>
      <c r="B3110" t="s">
        <v>51</v>
      </c>
      <c r="C3110" t="s">
        <v>6</v>
      </c>
      <c r="D3110" t="s">
        <v>3263</v>
      </c>
      <c r="F3110" s="1">
        <v>45897</v>
      </c>
      <c r="G3110" t="str">
        <f>IF(Table3[[#This Row],[Top Parent Account]]="",Table3[[#This Row],[Account Legal Name]],Table3[[#This Row],[Top Parent Account]])</f>
        <v>Ucin Médica</v>
      </c>
      <c r="H3110" s="1"/>
    </row>
    <row r="3111" spans="1:8" x14ac:dyDescent="0.35">
      <c r="A3111" s="21"/>
      <c r="B3111" t="s">
        <v>37</v>
      </c>
      <c r="C3111" t="s">
        <v>6</v>
      </c>
      <c r="D3111" t="s">
        <v>782</v>
      </c>
      <c r="F3111" s="1">
        <v>45897</v>
      </c>
      <c r="G3111" t="str">
        <f>IF(Table3[[#This Row],[Top Parent Account]]="",Table3[[#This Row],[Account Legal Name]],Table3[[#This Row],[Top Parent Account]])</f>
        <v>Renovación Urbana</v>
      </c>
      <c r="H3111" s="1"/>
    </row>
    <row r="3112" spans="1:8" x14ac:dyDescent="0.35">
      <c r="A3112" s="21"/>
      <c r="B3112" t="s">
        <v>84</v>
      </c>
      <c r="C3112" t="s">
        <v>6</v>
      </c>
      <c r="D3112" t="s">
        <v>3264</v>
      </c>
      <c r="F3112" s="1">
        <v>45897</v>
      </c>
      <c r="G3112" t="str">
        <f>IF(Table3[[#This Row],[Top Parent Account]]="",Table3[[#This Row],[Account Legal Name]],Table3[[#This Row],[Top Parent Account]])</f>
        <v>Grupo Oceano Haman</v>
      </c>
      <c r="H3112" s="1"/>
    </row>
    <row r="3113" spans="1:8" x14ac:dyDescent="0.35">
      <c r="A3113" s="21"/>
      <c r="B3113" t="s">
        <v>925</v>
      </c>
      <c r="C3113" t="s">
        <v>6</v>
      </c>
      <c r="D3113" t="s">
        <v>3265</v>
      </c>
      <c r="F3113" s="1">
        <v>45897</v>
      </c>
      <c r="G3113" t="str">
        <f>IF(Table3[[#This Row],[Top Parent Account]]="",Table3[[#This Row],[Account Legal Name]],Table3[[#This Row],[Top Parent Account]])</f>
        <v>New Dynacast de México</v>
      </c>
      <c r="H3113" s="1"/>
    </row>
    <row r="3114" spans="1:8" x14ac:dyDescent="0.35">
      <c r="A3114" s="21"/>
      <c r="B3114" t="s">
        <v>21</v>
      </c>
      <c r="C3114" t="s">
        <v>6</v>
      </c>
      <c r="D3114" t="s">
        <v>3266</v>
      </c>
      <c r="F3114" s="1">
        <v>45897</v>
      </c>
      <c r="G3114" t="str">
        <f>IF(Table3[[#This Row],[Top Parent Account]]="",Table3[[#This Row],[Account Legal Name]],Table3[[#This Row],[Top Parent Account]])</f>
        <v>Doctowers</v>
      </c>
      <c r="H3114" s="1"/>
    </row>
    <row r="3115" spans="1:8" x14ac:dyDescent="0.35">
      <c r="A3115" s="21"/>
      <c r="B3115" t="s">
        <v>39</v>
      </c>
      <c r="C3115" t="s">
        <v>3270</v>
      </c>
      <c r="D3115" t="s">
        <v>794</v>
      </c>
      <c r="F3115" s="1">
        <v>45897</v>
      </c>
      <c r="G3115" t="str">
        <f>IF(Table3[[#This Row],[Top Parent Account]]="",Table3[[#This Row],[Account Legal Name]],Table3[[#This Row],[Top Parent Account]])</f>
        <v>Granjas Avicolas Rancho Grande</v>
      </c>
      <c r="H3115" s="1"/>
    </row>
    <row r="3116" spans="1:8" x14ac:dyDescent="0.35">
      <c r="A3116" s="21"/>
      <c r="B3116" t="s">
        <v>1511</v>
      </c>
      <c r="C3116" t="s">
        <v>6</v>
      </c>
      <c r="D3116" t="s">
        <v>3271</v>
      </c>
      <c r="F3116" s="1">
        <v>45897</v>
      </c>
      <c r="G3116" t="str">
        <f>IF(Table3[[#This Row],[Top Parent Account]]="",Table3[[#This Row],[Account Legal Name]],Table3[[#This Row],[Top Parent Account]])</f>
        <v>Vina Inmobiliaria</v>
      </c>
      <c r="H3116" s="1"/>
    </row>
    <row r="3117" spans="1:8" x14ac:dyDescent="0.35">
      <c r="A3117" s="21"/>
      <c r="B3117" t="s">
        <v>78</v>
      </c>
      <c r="C3117" t="s">
        <v>6</v>
      </c>
      <c r="D3117" t="s">
        <v>3267</v>
      </c>
      <c r="F3117" s="1">
        <v>45897</v>
      </c>
      <c r="G3117" t="str">
        <f>IF(Table3[[#This Row],[Top Parent Account]]="",Table3[[#This Row],[Account Legal Name]],Table3[[#This Row],[Top Parent Account]])</f>
        <v>Contenedor Inteligente</v>
      </c>
      <c r="H3117" s="1"/>
    </row>
    <row r="3118" spans="1:8" x14ac:dyDescent="0.35">
      <c r="A3118" s="21"/>
      <c r="B3118" t="s">
        <v>2658</v>
      </c>
      <c r="C3118" t="s">
        <v>6</v>
      </c>
      <c r="D3118" t="s">
        <v>449</v>
      </c>
      <c r="F3118" s="1">
        <v>45897</v>
      </c>
      <c r="G3118" t="str">
        <f>IF(Table3[[#This Row],[Top Parent Account]]="",Table3[[#This Row],[Account Legal Name]],Table3[[#This Row],[Top Parent Account]])</f>
        <v>American Poly Del Norte</v>
      </c>
      <c r="H3118" s="1"/>
    </row>
    <row r="3119" spans="1:8" x14ac:dyDescent="0.35">
      <c r="A3119" s="21"/>
      <c r="B3119" t="s">
        <v>2884</v>
      </c>
      <c r="C3119" t="s">
        <v>6</v>
      </c>
      <c r="D3119" t="s">
        <v>3268</v>
      </c>
      <c r="F3119" s="1">
        <v>45897</v>
      </c>
      <c r="G3119" t="str">
        <f>IF(Table3[[#This Row],[Top Parent Account]]="",Table3[[#This Row],[Account Legal Name]],Table3[[#This Row],[Top Parent Account]])</f>
        <v>EGO MOVIL</v>
      </c>
      <c r="H3119" s="1"/>
    </row>
    <row r="3120" spans="1:8" x14ac:dyDescent="0.35">
      <c r="A3120" s="21"/>
      <c r="B3120" t="s">
        <v>820</v>
      </c>
      <c r="C3120" t="s">
        <v>6</v>
      </c>
      <c r="D3120" t="s">
        <v>3269</v>
      </c>
      <c r="F3120" s="1">
        <v>45897</v>
      </c>
      <c r="G3120" t="str">
        <f>IF(Table3[[#This Row],[Top Parent Account]]="",Table3[[#This Row],[Account Legal Name]],Table3[[#This Row],[Top Parent Account]])</f>
        <v>Precisión Moderna</v>
      </c>
      <c r="H3120" s="1"/>
    </row>
    <row r="3121" spans="1:8" x14ac:dyDescent="0.35">
      <c r="A3121" s="21"/>
      <c r="B3121" t="s">
        <v>2309</v>
      </c>
      <c r="C3121" t="s">
        <v>6</v>
      </c>
      <c r="D3121" t="s">
        <v>3272</v>
      </c>
      <c r="F3121" s="1">
        <v>45897</v>
      </c>
      <c r="G3121" t="str">
        <f>IF(Table3[[#This Row],[Top Parent Account]]="",Table3[[#This Row],[Account Legal Name]],Table3[[#This Row],[Top Parent Account]])</f>
        <v>Euro Games Technology</v>
      </c>
      <c r="H3121" s="1"/>
    </row>
    <row r="3122" spans="1:8" x14ac:dyDescent="0.35">
      <c r="A3122" s="21"/>
      <c r="B3122" t="s">
        <v>1006</v>
      </c>
      <c r="C3122" t="s">
        <v>6</v>
      </c>
      <c r="D3122" t="s">
        <v>1007</v>
      </c>
      <c r="F3122" s="1">
        <v>45897</v>
      </c>
      <c r="G3122" t="str">
        <f>IF(Table3[[#This Row],[Top Parent Account]]="",Table3[[#This Row],[Account Legal Name]],Table3[[#This Row],[Top Parent Account]])</f>
        <v>INDAMEX Industrializadora de Alimentos Mexicanos</v>
      </c>
      <c r="H3122" s="1"/>
    </row>
    <row r="3123" spans="1:8" x14ac:dyDescent="0.35">
      <c r="A3123" s="21"/>
      <c r="B3123" t="s">
        <v>208</v>
      </c>
      <c r="C3123" t="s">
        <v>6</v>
      </c>
      <c r="D3123" t="s">
        <v>3273</v>
      </c>
      <c r="F3123" s="1">
        <v>45896</v>
      </c>
      <c r="G3123" t="str">
        <f>IF(Table3[[#This Row],[Top Parent Account]]="",Table3[[#This Row],[Account Legal Name]],Table3[[#This Row],[Top Parent Account]])</f>
        <v>Estambres Vero</v>
      </c>
      <c r="H3123" s="1"/>
    </row>
    <row r="3124" spans="1:8" x14ac:dyDescent="0.35">
      <c r="A3124" s="21"/>
      <c r="B3124" t="s">
        <v>1511</v>
      </c>
      <c r="C3124" t="s">
        <v>6</v>
      </c>
      <c r="D3124" t="s">
        <v>1895</v>
      </c>
      <c r="F3124" s="1">
        <v>45896</v>
      </c>
      <c r="G3124" t="str">
        <f>IF(Table3[[#This Row],[Top Parent Account]]="",Table3[[#This Row],[Account Legal Name]],Table3[[#This Row],[Top Parent Account]])</f>
        <v>Casa Rivero</v>
      </c>
      <c r="H3124" s="1"/>
    </row>
    <row r="3125" spans="1:8" x14ac:dyDescent="0.35">
      <c r="A3125" s="21"/>
      <c r="B3125" t="s">
        <v>23</v>
      </c>
      <c r="C3125" t="s">
        <v>6</v>
      </c>
      <c r="D3125" t="s">
        <v>918</v>
      </c>
      <c r="F3125" s="1">
        <v>45896</v>
      </c>
      <c r="G3125" t="str">
        <f>IF(Table3[[#This Row],[Top Parent Account]]="",Table3[[#This Row],[Account Legal Name]],Table3[[#This Row],[Top Parent Account]])</f>
        <v>TRAPIKA</v>
      </c>
      <c r="H3125" s="1"/>
    </row>
    <row r="3126" spans="1:8" x14ac:dyDescent="0.35">
      <c r="A3126" s="21"/>
      <c r="B3126" t="s">
        <v>1511</v>
      </c>
      <c r="C3126" t="s">
        <v>6</v>
      </c>
      <c r="D3126" t="s">
        <v>2715</v>
      </c>
      <c r="F3126" s="1">
        <v>45896</v>
      </c>
      <c r="G3126" t="str">
        <f>IF(Table3[[#This Row],[Top Parent Account]]="",Table3[[#This Row],[Account Legal Name]],Table3[[#This Row],[Top Parent Account]])</f>
        <v>Salve Administracion</v>
      </c>
      <c r="H3126" s="1"/>
    </row>
    <row r="3127" spans="1:8" x14ac:dyDescent="0.35">
      <c r="A3127" s="21"/>
      <c r="B3127" t="s">
        <v>2693</v>
      </c>
      <c r="C3127" t="s">
        <v>6</v>
      </c>
      <c r="D3127" t="s">
        <v>3096</v>
      </c>
      <c r="F3127" s="1">
        <v>45896</v>
      </c>
      <c r="G3127" t="str">
        <f>IF(Table3[[#This Row],[Top Parent Account]]="",Table3[[#This Row],[Account Legal Name]],Table3[[#This Row],[Top Parent Account]])</f>
        <v>Huertos de Cotzocon</v>
      </c>
      <c r="H3127" s="1"/>
    </row>
    <row r="3128" spans="1:8" x14ac:dyDescent="0.35">
      <c r="A3128" s="21"/>
      <c r="B3128" t="s">
        <v>88</v>
      </c>
      <c r="C3128" t="s">
        <v>6</v>
      </c>
      <c r="D3128" t="s">
        <v>3274</v>
      </c>
      <c r="F3128" s="1">
        <v>45896</v>
      </c>
      <c r="G3128" t="str">
        <f>IF(Table3[[#This Row],[Top Parent Account]]="",Table3[[#This Row],[Account Legal Name]],Table3[[#This Row],[Top Parent Account]])</f>
        <v>PAMELA ITZEL MONTENEGRO GARCIA</v>
      </c>
      <c r="H3128" s="1"/>
    </row>
    <row r="3129" spans="1:8" x14ac:dyDescent="0.35">
      <c r="A3129" s="21"/>
      <c r="B3129" t="s">
        <v>14</v>
      </c>
      <c r="C3129" t="s">
        <v>6</v>
      </c>
      <c r="D3129" t="s">
        <v>2713</v>
      </c>
      <c r="E3129" t="s">
        <v>2714</v>
      </c>
      <c r="F3129" s="1">
        <v>45896</v>
      </c>
      <c r="G3129" t="str">
        <f>IF(Table3[[#This Row],[Top Parent Account]]="",Table3[[#This Row],[Account Legal Name]],Table3[[#This Row],[Top Parent Account]])</f>
        <v>Concretos 3000</v>
      </c>
      <c r="H3129" s="1"/>
    </row>
    <row r="3130" spans="1:8" x14ac:dyDescent="0.35">
      <c r="A3130" s="21"/>
      <c r="B3130" t="s">
        <v>12</v>
      </c>
      <c r="C3130" t="s">
        <v>6</v>
      </c>
      <c r="D3130" t="s">
        <v>2721</v>
      </c>
      <c r="F3130" s="1">
        <v>45896</v>
      </c>
      <c r="G3130" t="str">
        <f>IF(Table3[[#This Row],[Top Parent Account]]="",Table3[[#This Row],[Account Legal Name]],Table3[[#This Row],[Top Parent Account]])</f>
        <v>Comercializadora Construgap</v>
      </c>
      <c r="H3130" s="1"/>
    </row>
    <row r="3131" spans="1:8" x14ac:dyDescent="0.35">
      <c r="A3131" s="21"/>
      <c r="B3131" t="s">
        <v>24</v>
      </c>
      <c r="C3131" t="s">
        <v>22</v>
      </c>
      <c r="D3131" t="s">
        <v>624</v>
      </c>
      <c r="F3131" s="1">
        <v>45896</v>
      </c>
      <c r="G3131" t="str">
        <f>IF(Table3[[#This Row],[Top Parent Account]]="",Table3[[#This Row],[Account Legal Name]],Table3[[#This Row],[Top Parent Account]])</f>
        <v>Grupo Viz</v>
      </c>
      <c r="H3131" s="1"/>
    </row>
    <row r="3132" spans="1:8" x14ac:dyDescent="0.35">
      <c r="A3132" s="21"/>
      <c r="B3132" t="s">
        <v>12</v>
      </c>
      <c r="C3132" t="s">
        <v>6</v>
      </c>
      <c r="D3132" t="s">
        <v>704</v>
      </c>
      <c r="F3132" s="1">
        <v>45896</v>
      </c>
      <c r="G3132" t="str">
        <f>IF(Table3[[#This Row],[Top Parent Account]]="",Table3[[#This Row],[Account Legal Name]],Table3[[#This Row],[Top Parent Account]])</f>
        <v>CICLO CORPORATIVO</v>
      </c>
      <c r="H3132" s="1"/>
    </row>
    <row r="3133" spans="1:8" x14ac:dyDescent="0.35">
      <c r="A3133" s="21"/>
      <c r="B3133" t="s">
        <v>25</v>
      </c>
      <c r="C3133" t="s">
        <v>6</v>
      </c>
      <c r="D3133" t="s">
        <v>1029</v>
      </c>
      <c r="F3133" s="1">
        <v>45896</v>
      </c>
      <c r="G3133" t="str">
        <f>IF(Table3[[#This Row],[Top Parent Account]]="",Table3[[#This Row],[Account Legal Name]],Table3[[#This Row],[Top Parent Account]])</f>
        <v>ELH Infraestructura</v>
      </c>
      <c r="H3133" s="1"/>
    </row>
    <row r="3134" spans="1:8" x14ac:dyDescent="0.35">
      <c r="A3134" s="21"/>
      <c r="B3134" t="s">
        <v>1899</v>
      </c>
      <c r="C3134" t="s">
        <v>6</v>
      </c>
      <c r="D3134" t="s">
        <v>3276</v>
      </c>
      <c r="F3134" s="1">
        <v>45896</v>
      </c>
      <c r="G3134" t="str">
        <f>IF(Table3[[#This Row],[Top Parent Account]]="",Table3[[#This Row],[Account Legal Name]],Table3[[#This Row],[Top Parent Account]])</f>
        <v>Dy Auto Mexico</v>
      </c>
      <c r="H3134" s="1"/>
    </row>
    <row r="3135" spans="1:8" x14ac:dyDescent="0.35">
      <c r="A3135" s="21"/>
      <c r="B3135" t="s">
        <v>12</v>
      </c>
      <c r="C3135" t="s">
        <v>6</v>
      </c>
      <c r="D3135" t="s">
        <v>3275</v>
      </c>
      <c r="F3135" s="1">
        <v>45896</v>
      </c>
      <c r="G3135" t="str">
        <f>IF(Table3[[#This Row],[Top Parent Account]]="",Table3[[#This Row],[Account Legal Name]],Table3[[#This Row],[Top Parent Account]])</f>
        <v>CATCH OF THE DAY</v>
      </c>
      <c r="H3135" s="1"/>
    </row>
    <row r="3136" spans="1:8" x14ac:dyDescent="0.35">
      <c r="A3136" s="21"/>
      <c r="B3136" t="s">
        <v>932</v>
      </c>
      <c r="C3136" t="s">
        <v>1693</v>
      </c>
      <c r="D3136" t="s">
        <v>3277</v>
      </c>
      <c r="F3136" s="1">
        <v>45896</v>
      </c>
      <c r="G3136" t="str">
        <f>IF(Table3[[#This Row],[Top Parent Account]]="",Table3[[#This Row],[Account Legal Name]],Table3[[#This Row],[Top Parent Account]])</f>
        <v>GRUPO SEP</v>
      </c>
      <c r="H3136" s="1"/>
    </row>
    <row r="3137" spans="1:8" x14ac:dyDescent="0.35">
      <c r="A3137" s="21"/>
      <c r="B3137" t="s">
        <v>2658</v>
      </c>
      <c r="C3137" t="s">
        <v>6</v>
      </c>
      <c r="D3137" t="s">
        <v>3097</v>
      </c>
      <c r="F3137" s="1">
        <v>45896</v>
      </c>
      <c r="G3137" t="str">
        <f>IF(Table3[[#This Row],[Top Parent Account]]="",Table3[[#This Row],[Account Legal Name]],Table3[[#This Row],[Top Parent Account]])</f>
        <v>BGA</v>
      </c>
      <c r="H3137" s="1"/>
    </row>
    <row r="3138" spans="1:8" x14ac:dyDescent="0.35">
      <c r="A3138" s="21"/>
      <c r="B3138" t="s">
        <v>10</v>
      </c>
      <c r="C3138" t="s">
        <v>6</v>
      </c>
      <c r="D3138" t="s">
        <v>451</v>
      </c>
      <c r="F3138" s="1">
        <v>45896</v>
      </c>
      <c r="G3138" t="str">
        <f>IF(Table3[[#This Row],[Top Parent Account]]="",Table3[[#This Row],[Account Legal Name]],Table3[[#This Row],[Top Parent Account]])</f>
        <v>Distribuidora y Comercializadora Dcc</v>
      </c>
      <c r="H3138" s="1"/>
    </row>
    <row r="3139" spans="1:8" x14ac:dyDescent="0.35">
      <c r="A3139" s="21"/>
      <c r="B3139" t="s">
        <v>1006</v>
      </c>
      <c r="C3139" t="s">
        <v>6</v>
      </c>
      <c r="D3139" t="s">
        <v>3278</v>
      </c>
      <c r="F3139" s="1">
        <v>45896</v>
      </c>
      <c r="G3139" t="str">
        <f>IF(Table3[[#This Row],[Top Parent Account]]="",Table3[[#This Row],[Account Legal Name]],Table3[[#This Row],[Top Parent Account]])</f>
        <v>HOSPITAL SOMAPLUS</v>
      </c>
      <c r="H3139" s="1"/>
    </row>
    <row r="3140" spans="1:8" x14ac:dyDescent="0.35">
      <c r="A3140" s="21"/>
      <c r="B3140" t="s">
        <v>26</v>
      </c>
      <c r="C3140" t="s">
        <v>6</v>
      </c>
      <c r="D3140" t="s">
        <v>3279</v>
      </c>
      <c r="F3140" s="1">
        <v>45896</v>
      </c>
      <c r="G3140" t="str">
        <f>IF(Table3[[#This Row],[Top Parent Account]]="",Table3[[#This Row],[Account Legal Name]],Table3[[#This Row],[Top Parent Account]])</f>
        <v>FABRICA DE CERILLOS Y FOSFOROS LA INDEPENDIENTE</v>
      </c>
      <c r="H3140" s="1"/>
    </row>
    <row r="3141" spans="1:8" x14ac:dyDescent="0.35">
      <c r="A3141" s="21"/>
      <c r="B3141" t="s">
        <v>88</v>
      </c>
      <c r="C3141" t="s">
        <v>6</v>
      </c>
      <c r="D3141" t="s">
        <v>3280</v>
      </c>
      <c r="F3141" s="1">
        <v>45896</v>
      </c>
      <c r="G3141" t="str">
        <f>IF(Table3[[#This Row],[Top Parent Account]]="",Table3[[#This Row],[Account Legal Name]],Table3[[#This Row],[Top Parent Account]])</f>
        <v>Mallas Plasticas Mexicanas</v>
      </c>
      <c r="H3141" s="1"/>
    </row>
    <row r="3142" spans="1:8" x14ac:dyDescent="0.35">
      <c r="A3142" s="21"/>
      <c r="B3142" t="s">
        <v>169</v>
      </c>
      <c r="C3142" t="s">
        <v>3281</v>
      </c>
      <c r="D3142" t="s">
        <v>987</v>
      </c>
      <c r="F3142" s="1">
        <v>45896</v>
      </c>
      <c r="G3142" t="str">
        <f>IF(Table3[[#This Row],[Top Parent Account]]="",Table3[[#This Row],[Account Legal Name]],Table3[[#This Row],[Top Parent Account]])</f>
        <v>Elaboradora De Alimentos Pachuca</v>
      </c>
      <c r="H3142" s="1"/>
    </row>
    <row r="3143" spans="1:8" x14ac:dyDescent="0.35">
      <c r="A3143" s="21"/>
      <c r="B3143" t="s">
        <v>37</v>
      </c>
      <c r="C3143" t="s">
        <v>6</v>
      </c>
      <c r="D3143" t="s">
        <v>772</v>
      </c>
      <c r="F3143" s="1">
        <v>45896</v>
      </c>
      <c r="G3143" t="str">
        <f>IF(Table3[[#This Row],[Top Parent Account]]="",Table3[[#This Row],[Account Legal Name]],Table3[[#This Row],[Top Parent Account]])</f>
        <v>ALGAS Y EXTRACTOS DEL PACIFICO NORTE AEP</v>
      </c>
      <c r="H3143" s="1"/>
    </row>
    <row r="3144" spans="1:8" x14ac:dyDescent="0.35">
      <c r="A3144" s="21"/>
      <c r="B3144" t="s">
        <v>21</v>
      </c>
      <c r="C3144" t="s">
        <v>6</v>
      </c>
      <c r="D3144" t="s">
        <v>3282</v>
      </c>
      <c r="F3144" s="1">
        <v>45896</v>
      </c>
      <c r="G3144" t="str">
        <f>IF(Table3[[#This Row],[Top Parent Account]]="",Table3[[#This Row],[Account Legal Name]],Table3[[#This Row],[Top Parent Account]])</f>
        <v>Clinica San Elian</v>
      </c>
      <c r="H3144" s="1"/>
    </row>
    <row r="3145" spans="1:8" x14ac:dyDescent="0.35">
      <c r="A3145" s="21"/>
      <c r="B3145" t="s">
        <v>169</v>
      </c>
      <c r="C3145" t="s">
        <v>6</v>
      </c>
      <c r="D3145" t="s">
        <v>2166</v>
      </c>
      <c r="F3145" s="1">
        <v>45896</v>
      </c>
      <c r="G3145" t="str">
        <f>IF(Table3[[#This Row],[Top Parent Account]]="",Table3[[#This Row],[Account Legal Name]],Table3[[#This Row],[Top Parent Account]])</f>
        <v>Congelados Alysa</v>
      </c>
      <c r="H3145" s="1"/>
    </row>
    <row r="3146" spans="1:8" x14ac:dyDescent="0.35">
      <c r="A3146" s="21"/>
      <c r="B3146" t="s">
        <v>1006</v>
      </c>
      <c r="C3146" t="s">
        <v>6</v>
      </c>
      <c r="D3146" t="s">
        <v>3098</v>
      </c>
      <c r="F3146" s="1">
        <v>45896</v>
      </c>
      <c r="G3146" t="str">
        <f>IF(Table3[[#This Row],[Top Parent Account]]="",Table3[[#This Row],[Account Legal Name]],Table3[[#This Row],[Top Parent Account]])</f>
        <v>CENTRO DE DIAGNOSTICO CUAUTLA</v>
      </c>
      <c r="H3146" s="1"/>
    </row>
    <row r="3147" spans="1:8" x14ac:dyDescent="0.35">
      <c r="A3147" s="21"/>
      <c r="B3147" t="s">
        <v>38</v>
      </c>
      <c r="C3147" t="s">
        <v>6</v>
      </c>
      <c r="D3147" t="s">
        <v>670</v>
      </c>
      <c r="F3147" s="1">
        <v>45896</v>
      </c>
      <c r="G3147" t="str">
        <f>IF(Table3[[#This Row],[Top Parent Account]]="",Table3[[#This Row],[Account Legal Name]],Table3[[#This Row],[Top Parent Account]])</f>
        <v>Aluprint</v>
      </c>
      <c r="H3147" s="1"/>
    </row>
    <row r="3148" spans="1:8" x14ac:dyDescent="0.35">
      <c r="A3148" s="21"/>
      <c r="B3148" t="s">
        <v>925</v>
      </c>
      <c r="C3148" t="s">
        <v>6</v>
      </c>
      <c r="D3148" t="s">
        <v>3283</v>
      </c>
      <c r="F3148" s="1">
        <v>45896</v>
      </c>
      <c r="G3148" t="str">
        <f>IF(Table3[[#This Row],[Top Parent Account]]="",Table3[[#This Row],[Account Legal Name]],Table3[[#This Row],[Top Parent Account]])</f>
        <v>Hongos El Dorado Gpo</v>
      </c>
      <c r="H3148" s="1"/>
    </row>
    <row r="3149" spans="1:8" x14ac:dyDescent="0.35">
      <c r="A3149" s="21"/>
      <c r="B3149" t="s">
        <v>10</v>
      </c>
      <c r="C3149" t="s">
        <v>6</v>
      </c>
      <c r="D3149" t="s">
        <v>672</v>
      </c>
      <c r="F3149" s="1">
        <v>45896</v>
      </c>
      <c r="G3149" t="str">
        <f>IF(Table3[[#This Row],[Top Parent Account]]="",Table3[[#This Row],[Account Legal Name]],Table3[[#This Row],[Top Parent Account]])</f>
        <v>Universidad Del Valle De Atemajac</v>
      </c>
      <c r="H3149" s="1"/>
    </row>
    <row r="3150" spans="1:8" x14ac:dyDescent="0.35">
      <c r="A3150" s="21"/>
      <c r="B3150" t="s">
        <v>14</v>
      </c>
      <c r="C3150" t="s">
        <v>6</v>
      </c>
      <c r="D3150" t="s">
        <v>2713</v>
      </c>
      <c r="E3150" t="s">
        <v>2714</v>
      </c>
      <c r="F3150" s="1">
        <v>45895</v>
      </c>
      <c r="G3150" t="str">
        <f>IF(Table3[[#This Row],[Top Parent Account]]="",Table3[[#This Row],[Account Legal Name]],Table3[[#This Row],[Top Parent Account]])</f>
        <v>Concretos 3000</v>
      </c>
      <c r="H3150" s="1"/>
    </row>
    <row r="3151" spans="1:8" x14ac:dyDescent="0.35">
      <c r="A3151" s="21"/>
      <c r="B3151" t="s">
        <v>84</v>
      </c>
      <c r="C3151" t="s">
        <v>6</v>
      </c>
      <c r="D3151" t="s">
        <v>3284</v>
      </c>
      <c r="F3151" s="1">
        <v>45895</v>
      </c>
      <c r="G3151" t="str">
        <f>IF(Table3[[#This Row],[Top Parent Account]]="",Table3[[#This Row],[Account Legal Name]],Table3[[#This Row],[Top Parent Account]])</f>
        <v>TRITUASFALTOS</v>
      </c>
      <c r="H3151" s="1"/>
    </row>
    <row r="3152" spans="1:8" x14ac:dyDescent="0.35">
      <c r="A3152" s="21"/>
      <c r="B3152" t="s">
        <v>37</v>
      </c>
      <c r="C3152" t="s">
        <v>6</v>
      </c>
      <c r="D3152" t="s">
        <v>3285</v>
      </c>
      <c r="F3152" s="1">
        <v>45895</v>
      </c>
      <c r="G3152" t="str">
        <f>IF(Table3[[#This Row],[Top Parent Account]]="",Table3[[#This Row],[Account Legal Name]],Table3[[#This Row],[Top Parent Account]])</f>
        <v>VIÑEDOS ALDO CESAR PALAFOX</v>
      </c>
      <c r="H3152" s="1"/>
    </row>
    <row r="3153" spans="1:8" x14ac:dyDescent="0.35">
      <c r="A3153" s="21"/>
      <c r="B3153" t="s">
        <v>969</v>
      </c>
      <c r="C3153" t="s">
        <v>6</v>
      </c>
      <c r="D3153" t="s">
        <v>3286</v>
      </c>
      <c r="F3153" s="1">
        <v>45895</v>
      </c>
      <c r="G3153" t="str">
        <f>IF(Table3[[#This Row],[Top Parent Account]]="",Table3[[#This Row],[Account Legal Name]],Table3[[#This Row],[Top Parent Account]])</f>
        <v>Industrias Buin Mor</v>
      </c>
      <c r="H3153" s="1"/>
    </row>
    <row r="3154" spans="1:8" x14ac:dyDescent="0.35">
      <c r="A3154" s="21"/>
      <c r="B3154" t="s">
        <v>3092</v>
      </c>
      <c r="C3154" t="s">
        <v>6</v>
      </c>
      <c r="D3154" t="s">
        <v>3287</v>
      </c>
      <c r="F3154" s="1">
        <v>45895</v>
      </c>
      <c r="G3154" t="str">
        <f>IF(Table3[[#This Row],[Top Parent Account]]="",Table3[[#This Row],[Account Legal Name]],Table3[[#This Row],[Top Parent Account]])</f>
        <v>Unidad de Servicios de Patología Clínica</v>
      </c>
      <c r="H3154" s="1"/>
    </row>
    <row r="3155" spans="1:8" x14ac:dyDescent="0.35">
      <c r="A3155" s="21"/>
      <c r="B3155" t="s">
        <v>56</v>
      </c>
      <c r="C3155" t="s">
        <v>6</v>
      </c>
      <c r="D3155" t="s">
        <v>484</v>
      </c>
      <c r="F3155" s="1">
        <v>45895</v>
      </c>
      <c r="G3155" t="str">
        <f>IF(Table3[[#This Row],[Top Parent Account]]="",Table3[[#This Row],[Account Legal Name]],Table3[[#This Row],[Top Parent Account]])</f>
        <v>C3NTRO Telecom</v>
      </c>
      <c r="H3155" s="1"/>
    </row>
    <row r="3156" spans="1:8" x14ac:dyDescent="0.35">
      <c r="A3156" s="21"/>
      <c r="B3156" t="s">
        <v>989</v>
      </c>
      <c r="C3156" t="s">
        <v>6</v>
      </c>
      <c r="D3156" t="s">
        <v>2351</v>
      </c>
      <c r="F3156" s="1">
        <v>45895</v>
      </c>
      <c r="G3156" t="str">
        <f>IF(Table3[[#This Row],[Top Parent Account]]="",Table3[[#This Row],[Account Legal Name]],Table3[[#This Row],[Top Parent Account]])</f>
        <v>Tubos y Depresibles Mexicanos</v>
      </c>
      <c r="H3156" s="1"/>
    </row>
    <row r="3157" spans="1:8" x14ac:dyDescent="0.35">
      <c r="A3157" s="21"/>
      <c r="B3157" t="s">
        <v>969</v>
      </c>
      <c r="C3157" t="s">
        <v>6</v>
      </c>
      <c r="D3157" t="s">
        <v>2726</v>
      </c>
      <c r="F3157" s="1">
        <v>45895</v>
      </c>
      <c r="G3157" t="str">
        <f>IF(Table3[[#This Row],[Top Parent Account]]="",Table3[[#This Row],[Account Legal Name]],Table3[[#This Row],[Top Parent Account]])</f>
        <v>Poliuretanos</v>
      </c>
      <c r="H3157" s="1"/>
    </row>
    <row r="3158" spans="1:8" x14ac:dyDescent="0.35">
      <c r="A3158" s="21"/>
      <c r="B3158" t="s">
        <v>84</v>
      </c>
      <c r="C3158" t="s">
        <v>52</v>
      </c>
      <c r="D3158" t="s">
        <v>3289</v>
      </c>
      <c r="F3158" s="1">
        <v>45895</v>
      </c>
      <c r="G3158" t="str">
        <f>IF(Table3[[#This Row],[Top Parent Account]]="",Table3[[#This Row],[Account Legal Name]],Table3[[#This Row],[Top Parent Account]])</f>
        <v>IMPULSORA DE SALUD DE BAJA CALIFORNIA</v>
      </c>
      <c r="H3158" s="1"/>
    </row>
    <row r="3159" spans="1:8" x14ac:dyDescent="0.35">
      <c r="A3159" s="21"/>
      <c r="B3159" t="s">
        <v>3092</v>
      </c>
      <c r="C3159" t="s">
        <v>6</v>
      </c>
      <c r="D3159" t="s">
        <v>3290</v>
      </c>
      <c r="F3159" s="1">
        <v>45895</v>
      </c>
      <c r="G3159" t="str">
        <f>IF(Table3[[#This Row],[Top Parent Account]]="",Table3[[#This Row],[Account Legal Name]],Table3[[#This Row],[Top Parent Account]])</f>
        <v>Grupo Trigave</v>
      </c>
      <c r="H3159" s="1"/>
    </row>
    <row r="3160" spans="1:8" x14ac:dyDescent="0.35">
      <c r="A3160" s="21"/>
      <c r="B3160" t="s">
        <v>12</v>
      </c>
      <c r="C3160" t="s">
        <v>6</v>
      </c>
      <c r="D3160" t="s">
        <v>3288</v>
      </c>
      <c r="F3160" s="1">
        <v>45895</v>
      </c>
      <c r="G3160" t="str">
        <f>IF(Table3[[#This Row],[Top Parent Account]]="",Table3[[#This Row],[Account Legal Name]],Table3[[#This Row],[Top Parent Account]])</f>
        <v>Vestir y Confeccion</v>
      </c>
      <c r="H3160" s="1"/>
    </row>
    <row r="3161" spans="1:8" x14ac:dyDescent="0.35">
      <c r="A3161" s="21"/>
      <c r="B3161" t="s">
        <v>24</v>
      </c>
      <c r="C3161" t="s">
        <v>6</v>
      </c>
      <c r="D3161" t="s">
        <v>346</v>
      </c>
      <c r="F3161" s="1">
        <v>45895</v>
      </c>
      <c r="G3161" t="str">
        <f>IF(Table3[[#This Row],[Top Parent Account]]="",Table3[[#This Row],[Account Legal Name]],Table3[[#This Row],[Top Parent Account]])</f>
        <v>Productora Pecuaria Alpera</v>
      </c>
      <c r="H3161" s="1"/>
    </row>
    <row r="3162" spans="1:8" x14ac:dyDescent="0.35">
      <c r="A3162" s="21"/>
      <c r="B3162" t="s">
        <v>11</v>
      </c>
      <c r="C3162" t="s">
        <v>6</v>
      </c>
      <c r="D3162" t="s">
        <v>3291</v>
      </c>
      <c r="F3162" s="1">
        <v>45895</v>
      </c>
      <c r="G3162" t="str">
        <f>IF(Table3[[#This Row],[Top Parent Account]]="",Table3[[#This Row],[Account Legal Name]],Table3[[#This Row],[Top Parent Account]])</f>
        <v>Grupo Ica</v>
      </c>
      <c r="H3162" s="1"/>
    </row>
    <row r="3163" spans="1:8" x14ac:dyDescent="0.35">
      <c r="A3163" s="21"/>
      <c r="B3163" t="s">
        <v>207</v>
      </c>
      <c r="C3163" t="s">
        <v>6</v>
      </c>
      <c r="D3163" t="s">
        <v>3292</v>
      </c>
      <c r="F3163" s="1">
        <v>45895</v>
      </c>
      <c r="G3163" t="str">
        <f>IF(Table3[[#This Row],[Top Parent Account]]="",Table3[[#This Row],[Account Legal Name]],Table3[[#This Row],[Top Parent Account]])</f>
        <v>Flores de Chiltepec</v>
      </c>
      <c r="H3163" s="1"/>
    </row>
    <row r="3164" spans="1:8" x14ac:dyDescent="0.35">
      <c r="A3164" s="21"/>
      <c r="B3164" t="s">
        <v>88</v>
      </c>
      <c r="C3164" t="s">
        <v>6</v>
      </c>
      <c r="D3164" t="s">
        <v>3293</v>
      </c>
      <c r="F3164" s="1">
        <v>45895</v>
      </c>
      <c r="G3164" t="str">
        <f>IF(Table3[[#This Row],[Top Parent Account]]="",Table3[[#This Row],[Account Legal Name]],Table3[[#This Row],[Top Parent Account]])</f>
        <v>Fall-Pro de México</v>
      </c>
      <c r="H3164" s="1"/>
    </row>
    <row r="3165" spans="1:8" x14ac:dyDescent="0.35">
      <c r="A3165" s="21"/>
      <c r="B3165" t="s">
        <v>932</v>
      </c>
      <c r="C3165" t="s">
        <v>1693</v>
      </c>
      <c r="D3165" t="s">
        <v>3294</v>
      </c>
      <c r="F3165" s="1">
        <v>45895</v>
      </c>
      <c r="G3165" t="str">
        <f>IF(Table3[[#This Row],[Top Parent Account]]="",Table3[[#This Row],[Account Legal Name]],Table3[[#This Row],[Top Parent Account]])</f>
        <v>BESS | ADVANCED BATTERIES &amp; ENERGY STORAGE</v>
      </c>
      <c r="H3165" s="1"/>
    </row>
    <row r="3166" spans="1:8" x14ac:dyDescent="0.35">
      <c r="A3166" s="21"/>
      <c r="B3166" t="s">
        <v>969</v>
      </c>
      <c r="C3166" t="s">
        <v>6</v>
      </c>
      <c r="D3166" t="s">
        <v>3295</v>
      </c>
      <c r="F3166" s="1">
        <v>45895</v>
      </c>
      <c r="G3166" t="str">
        <f>IF(Table3[[#This Row],[Top Parent Account]]="",Table3[[#This Row],[Account Legal Name]],Table3[[#This Row],[Top Parent Account]])</f>
        <v>Armoring Group</v>
      </c>
      <c r="H3166" s="1"/>
    </row>
    <row r="3167" spans="1:8" x14ac:dyDescent="0.35">
      <c r="A3167" s="21"/>
      <c r="B3167" t="s">
        <v>27</v>
      </c>
      <c r="C3167" t="s">
        <v>6</v>
      </c>
      <c r="D3167" t="s">
        <v>1295</v>
      </c>
      <c r="F3167" s="1">
        <v>45895</v>
      </c>
      <c r="G3167" t="str">
        <f>IF(Table3[[#This Row],[Top Parent Account]]="",Table3[[#This Row],[Account Legal Name]],Table3[[#This Row],[Top Parent Account]])</f>
        <v>Proteina Animal</v>
      </c>
      <c r="H3167" s="1"/>
    </row>
    <row r="3168" spans="1:8" x14ac:dyDescent="0.35">
      <c r="A3168" s="21"/>
      <c r="B3168" t="s">
        <v>14</v>
      </c>
      <c r="C3168" t="s">
        <v>6</v>
      </c>
      <c r="D3168" t="s">
        <v>3099</v>
      </c>
      <c r="F3168" s="1">
        <v>45895</v>
      </c>
      <c r="G3168" t="str">
        <f>IF(Table3[[#This Row],[Top Parent Account]]="",Table3[[#This Row],[Account Legal Name]],Table3[[#This Row],[Top Parent Account]])</f>
        <v>Hidroponica Sustentable</v>
      </c>
      <c r="H3168" s="1"/>
    </row>
    <row r="3169" spans="1:8" x14ac:dyDescent="0.35">
      <c r="A3169" s="21"/>
      <c r="B3169" t="s">
        <v>1899</v>
      </c>
      <c r="C3169" t="s">
        <v>6</v>
      </c>
      <c r="D3169" t="s">
        <v>3296</v>
      </c>
      <c r="F3169" s="1">
        <v>45895</v>
      </c>
      <c r="G3169" t="str">
        <f>IF(Table3[[#This Row],[Top Parent Account]]="",Table3[[#This Row],[Account Legal Name]],Table3[[#This Row],[Top Parent Account]])</f>
        <v>NPC INDUSTRIAL DE MONTERREY</v>
      </c>
      <c r="H3169" s="1"/>
    </row>
    <row r="3170" spans="1:8" x14ac:dyDescent="0.35">
      <c r="A3170" s="21"/>
      <c r="B3170" t="s">
        <v>88</v>
      </c>
      <c r="C3170" t="s">
        <v>6</v>
      </c>
      <c r="D3170" t="s">
        <v>270</v>
      </c>
      <c r="F3170" s="1">
        <v>45895</v>
      </c>
      <c r="G3170" t="str">
        <f>IF(Table3[[#This Row],[Top Parent Account]]="",Table3[[#This Row],[Account Legal Name]],Table3[[#This Row],[Top Parent Account]])</f>
        <v>Condisis</v>
      </c>
      <c r="H3170" s="1"/>
    </row>
    <row r="3171" spans="1:8" x14ac:dyDescent="0.35">
      <c r="A3171" s="21"/>
      <c r="B3171" t="s">
        <v>1131</v>
      </c>
      <c r="C3171" t="s">
        <v>6</v>
      </c>
      <c r="D3171" t="s">
        <v>3100</v>
      </c>
      <c r="F3171" s="1">
        <v>45895</v>
      </c>
      <c r="G3171" t="str">
        <f>IF(Table3[[#This Row],[Top Parent Account]]="",Table3[[#This Row],[Account Legal Name]],Table3[[#This Row],[Top Parent Account]])</f>
        <v>JUMANDI GROUP</v>
      </c>
      <c r="H3171" s="1"/>
    </row>
    <row r="3172" spans="1:8" x14ac:dyDescent="0.35">
      <c r="A3172" s="21"/>
      <c r="B3172" t="s">
        <v>12</v>
      </c>
      <c r="C3172" t="s">
        <v>6</v>
      </c>
      <c r="D3172" t="s">
        <v>1099</v>
      </c>
      <c r="F3172" s="1">
        <v>45895</v>
      </c>
      <c r="G3172" t="str">
        <f>IF(Table3[[#This Row],[Top Parent Account]]="",Table3[[#This Row],[Account Legal Name]],Table3[[#This Row],[Top Parent Account]])</f>
        <v>EMPACADORA GRUMA DEL SURESTE</v>
      </c>
      <c r="H3172" s="1"/>
    </row>
    <row r="3173" spans="1:8" x14ac:dyDescent="0.35">
      <c r="A3173" s="21"/>
      <c r="B3173" t="s">
        <v>970</v>
      </c>
      <c r="C3173" t="s">
        <v>6</v>
      </c>
      <c r="D3173" t="s">
        <v>1037</v>
      </c>
      <c r="F3173" s="1">
        <v>45895</v>
      </c>
      <c r="G3173" t="str">
        <f>IF(Table3[[#This Row],[Top Parent Account]]="",Table3[[#This Row],[Account Legal Name]],Table3[[#This Row],[Top Parent Account]])</f>
        <v>Cox Energy</v>
      </c>
      <c r="H3173" s="1"/>
    </row>
    <row r="3174" spans="1:8" x14ac:dyDescent="0.35">
      <c r="A3174" s="21"/>
      <c r="B3174" t="s">
        <v>116</v>
      </c>
      <c r="C3174" t="s">
        <v>6</v>
      </c>
      <c r="D3174" t="s">
        <v>3297</v>
      </c>
      <c r="F3174" s="1">
        <v>45895</v>
      </c>
      <c r="G3174" t="str">
        <f>IF(Table3[[#This Row],[Top Parent Account]]="",Table3[[#This Row],[Account Legal Name]],Table3[[#This Row],[Top Parent Account]])</f>
        <v>Productos Sane Chapala</v>
      </c>
      <c r="H3174" s="1"/>
    </row>
    <row r="3175" spans="1:8" x14ac:dyDescent="0.35">
      <c r="A3175" s="21"/>
      <c r="B3175" t="s">
        <v>2658</v>
      </c>
      <c r="C3175" t="s">
        <v>6</v>
      </c>
      <c r="D3175" t="s">
        <v>3298</v>
      </c>
      <c r="F3175" s="1">
        <v>45895</v>
      </c>
      <c r="G3175" t="str">
        <f>IF(Table3[[#This Row],[Top Parent Account]]="",Table3[[#This Row],[Account Legal Name]],Table3[[#This Row],[Top Parent Account]])</f>
        <v>Tersa del Golfo</v>
      </c>
      <c r="H3175" s="1"/>
    </row>
    <row r="3176" spans="1:8" x14ac:dyDescent="0.35">
      <c r="A3176" s="21"/>
      <c r="B3176" t="s">
        <v>27</v>
      </c>
      <c r="C3176" t="s">
        <v>6</v>
      </c>
      <c r="D3176" t="s">
        <v>3299</v>
      </c>
      <c r="F3176" s="1">
        <v>45895</v>
      </c>
      <c r="G3176" t="str">
        <f>IF(Table3[[#This Row],[Top Parent Account]]="",Table3[[#This Row],[Account Legal Name]],Table3[[#This Row],[Top Parent Account]])</f>
        <v>Procesadora De Alimentos Cale</v>
      </c>
      <c r="H3176" s="1"/>
    </row>
    <row r="3177" spans="1:8" x14ac:dyDescent="0.35">
      <c r="A3177" s="21"/>
      <c r="B3177" t="s">
        <v>10</v>
      </c>
      <c r="C3177" t="s">
        <v>6</v>
      </c>
      <c r="D3177" t="s">
        <v>239</v>
      </c>
      <c r="F3177" s="1">
        <v>45895</v>
      </c>
      <c r="G3177" t="str">
        <f>IF(Table3[[#This Row],[Top Parent Account]]="",Table3[[#This Row],[Account Legal Name]],Table3[[#This Row],[Top Parent Account]])</f>
        <v>High Pack</v>
      </c>
      <c r="H3177" s="1"/>
    </row>
    <row r="3178" spans="1:8" x14ac:dyDescent="0.35">
      <c r="A3178" s="21"/>
      <c r="B3178" t="s">
        <v>2345</v>
      </c>
      <c r="C3178" t="s">
        <v>6</v>
      </c>
      <c r="D3178" t="s">
        <v>3300</v>
      </c>
      <c r="F3178" s="1">
        <v>45895</v>
      </c>
      <c r="G3178" t="str">
        <f>IF(Table3[[#This Row],[Top Parent Account]]="",Table3[[#This Row],[Account Legal Name]],Table3[[#This Row],[Top Parent Account]])</f>
        <v>COMERCIALIZADORA DEPOSITO EL VALOR</v>
      </c>
      <c r="H3178" s="1"/>
    </row>
    <row r="3179" spans="1:8" x14ac:dyDescent="0.35">
      <c r="A3179" s="21"/>
      <c r="B3179" t="s">
        <v>989</v>
      </c>
      <c r="C3179" t="s">
        <v>6</v>
      </c>
      <c r="D3179" t="s">
        <v>3301</v>
      </c>
      <c r="F3179" s="1">
        <v>45894</v>
      </c>
      <c r="G3179" t="str">
        <f>IF(Table3[[#This Row],[Top Parent Account]]="",Table3[[#This Row],[Account Legal Name]],Table3[[#This Row],[Top Parent Account]])</f>
        <v>Servicios de Ingeniería Desarrollo de Proyectos y Mantenimiento General</v>
      </c>
      <c r="H3179" s="1"/>
    </row>
    <row r="3180" spans="1:8" x14ac:dyDescent="0.35">
      <c r="A3180" s="21"/>
      <c r="B3180" t="s">
        <v>70</v>
      </c>
      <c r="C3180" t="s">
        <v>6</v>
      </c>
      <c r="D3180" t="s">
        <v>3302</v>
      </c>
      <c r="F3180" s="1">
        <v>45894</v>
      </c>
      <c r="G3180" t="str">
        <f>IF(Table3[[#This Row],[Top Parent Account]]="",Table3[[#This Row],[Account Legal Name]],Table3[[#This Row],[Top Parent Account]])</f>
        <v>KALI SERVICIOS MEDICOS Y SUMINISTROS HOSPITALARIOS</v>
      </c>
      <c r="H3180" s="1"/>
    </row>
    <row r="3181" spans="1:8" x14ac:dyDescent="0.35">
      <c r="A3181" s="21"/>
      <c r="B3181" t="s">
        <v>820</v>
      </c>
      <c r="C3181" t="s">
        <v>6</v>
      </c>
      <c r="D3181" t="s">
        <v>3303</v>
      </c>
      <c r="F3181" s="1">
        <v>45894</v>
      </c>
      <c r="G3181" t="str">
        <f>IF(Table3[[#This Row],[Top Parent Account]]="",Table3[[#This Row],[Account Legal Name]],Table3[[#This Row],[Top Parent Account]])</f>
        <v>Triohmtec de México</v>
      </c>
      <c r="H3181" s="1"/>
    </row>
    <row r="3182" spans="1:8" x14ac:dyDescent="0.35">
      <c r="A3182" s="21"/>
      <c r="B3182" t="s">
        <v>2912</v>
      </c>
      <c r="C3182" t="s">
        <v>6</v>
      </c>
      <c r="D3182" t="s">
        <v>188</v>
      </c>
      <c r="F3182" s="1">
        <v>45894</v>
      </c>
      <c r="G3182" t="str">
        <f>IF(Table3[[#This Row],[Top Parent Account]]="",Table3[[#This Row],[Account Legal Name]],Table3[[#This Row],[Top Parent Account]])</f>
        <v>Camiones y Tractocamiones JR</v>
      </c>
      <c r="H3182" s="1"/>
    </row>
    <row r="3183" spans="1:8" x14ac:dyDescent="0.35">
      <c r="A3183" s="21"/>
      <c r="B3183" t="s">
        <v>11</v>
      </c>
      <c r="C3183" t="s">
        <v>6</v>
      </c>
      <c r="D3183" t="s">
        <v>399</v>
      </c>
      <c r="F3183" s="1">
        <v>45894</v>
      </c>
      <c r="G3183" t="str">
        <f>IF(Table3[[#This Row],[Top Parent Account]]="",Table3[[#This Row],[Account Legal Name]],Table3[[#This Row],[Top Parent Account]])</f>
        <v>Grupo Corporativo Papelera</v>
      </c>
      <c r="H3183" s="1"/>
    </row>
    <row r="3184" spans="1:8" x14ac:dyDescent="0.35">
      <c r="A3184" s="21"/>
      <c r="B3184" t="s">
        <v>932</v>
      </c>
      <c r="C3184" t="s">
        <v>1693</v>
      </c>
      <c r="D3184" t="s">
        <v>3305</v>
      </c>
      <c r="F3184" s="1">
        <v>45894</v>
      </c>
      <c r="G3184" t="str">
        <f>IF(Table3[[#This Row],[Top Parent Account]]="",Table3[[#This Row],[Account Legal Name]],Table3[[#This Row],[Top Parent Account]])</f>
        <v>Eurogerm México</v>
      </c>
      <c r="H3184" s="1"/>
    </row>
    <row r="3185" spans="1:8" x14ac:dyDescent="0.35">
      <c r="A3185" s="21"/>
      <c r="B3185" t="s">
        <v>2884</v>
      </c>
      <c r="C3185" t="s">
        <v>6</v>
      </c>
      <c r="D3185" t="s">
        <v>3306</v>
      </c>
      <c r="F3185" s="1">
        <v>45894</v>
      </c>
      <c r="G3185" t="str">
        <f>IF(Table3[[#This Row],[Top Parent Account]]="",Table3[[#This Row],[Account Legal Name]],Table3[[#This Row],[Top Parent Account]])</f>
        <v>VETRO GALO</v>
      </c>
      <c r="H3185" s="1"/>
    </row>
    <row r="3186" spans="1:8" x14ac:dyDescent="0.35">
      <c r="A3186" s="21"/>
      <c r="B3186" t="s">
        <v>2693</v>
      </c>
      <c r="C3186" t="s">
        <v>6</v>
      </c>
      <c r="D3186" t="s">
        <v>3304</v>
      </c>
      <c r="F3186" s="1">
        <v>45894</v>
      </c>
      <c r="G3186" t="str">
        <f>IF(Table3[[#This Row],[Top Parent Account]]="",Table3[[#This Row],[Account Legal Name]],Table3[[#This Row],[Top Parent Account]])</f>
        <v>Strech Film Supplier</v>
      </c>
      <c r="H3186" s="1"/>
    </row>
    <row r="3187" spans="1:8" x14ac:dyDescent="0.35">
      <c r="A3187" s="21"/>
      <c r="B3187" t="s">
        <v>70</v>
      </c>
      <c r="C3187" t="s">
        <v>6</v>
      </c>
      <c r="D3187" t="s">
        <v>533</v>
      </c>
      <c r="E3187" t="s">
        <v>236</v>
      </c>
      <c r="F3187" s="1">
        <v>45894</v>
      </c>
      <c r="G3187" t="str">
        <f>IF(Table3[[#This Row],[Top Parent Account]]="",Table3[[#This Row],[Account Legal Name]],Table3[[#This Row],[Top Parent Account]])</f>
        <v>Grupo Smurfit</v>
      </c>
      <c r="H3187" s="1"/>
    </row>
    <row r="3188" spans="1:8" x14ac:dyDescent="0.35">
      <c r="A3188" s="21"/>
      <c r="B3188" t="s">
        <v>1511</v>
      </c>
      <c r="C3188" t="s">
        <v>6</v>
      </c>
      <c r="D3188" t="s">
        <v>2194</v>
      </c>
      <c r="F3188" s="1">
        <v>45894</v>
      </c>
      <c r="G3188" t="str">
        <f>IF(Table3[[#This Row],[Top Parent Account]]="",Table3[[#This Row],[Account Legal Name]],Table3[[#This Row],[Top Parent Account]])</f>
        <v>Forestal La Reforma</v>
      </c>
      <c r="H3188" s="1"/>
    </row>
    <row r="3189" spans="1:8" x14ac:dyDescent="0.35">
      <c r="A3189" s="21"/>
      <c r="B3189" t="s">
        <v>88</v>
      </c>
      <c r="C3189" t="s">
        <v>6</v>
      </c>
      <c r="D3189" t="s">
        <v>3307</v>
      </c>
      <c r="F3189" s="1">
        <v>45894</v>
      </c>
      <c r="G3189" t="str">
        <f>IF(Table3[[#This Row],[Top Parent Account]]="",Table3[[#This Row],[Account Legal Name]],Table3[[#This Row],[Top Parent Account]])</f>
        <v>Baja Frio</v>
      </c>
      <c r="H3189" s="1"/>
    </row>
    <row r="3190" spans="1:8" x14ac:dyDescent="0.35">
      <c r="A3190" s="21"/>
      <c r="B3190" t="s">
        <v>1006</v>
      </c>
      <c r="C3190" t="s">
        <v>6</v>
      </c>
      <c r="D3190" t="s">
        <v>1061</v>
      </c>
      <c r="F3190" s="1">
        <v>45894</v>
      </c>
      <c r="G3190" t="str">
        <f>IF(Table3[[#This Row],[Top Parent Account]]="",Table3[[#This Row],[Account Legal Name]],Table3[[#This Row],[Top Parent Account]])</f>
        <v>Lácteos Mojica</v>
      </c>
      <c r="H3190" s="1"/>
    </row>
    <row r="3191" spans="1:8" x14ac:dyDescent="0.35">
      <c r="A3191" s="21"/>
      <c r="B3191" t="s">
        <v>10</v>
      </c>
      <c r="C3191" t="s">
        <v>6</v>
      </c>
      <c r="D3191" t="s">
        <v>764</v>
      </c>
      <c r="F3191" s="1">
        <v>45894</v>
      </c>
      <c r="G3191" t="str">
        <f>IF(Table3[[#This Row],[Top Parent Account]]="",Table3[[#This Row],[Account Legal Name]],Table3[[#This Row],[Top Parent Account]])</f>
        <v>Industrial Pecuaria De Los Altos</v>
      </c>
      <c r="H3191" s="1"/>
    </row>
    <row r="3192" spans="1:8" x14ac:dyDescent="0.35">
      <c r="A3192" s="21"/>
      <c r="B3192" t="s">
        <v>375</v>
      </c>
      <c r="C3192" t="s">
        <v>6</v>
      </c>
      <c r="D3192" t="s">
        <v>1426</v>
      </c>
      <c r="F3192" s="1">
        <v>45891</v>
      </c>
      <c r="G3192" t="str">
        <f>IF(Table3[[#This Row],[Top Parent Account]]="",Table3[[#This Row],[Account Legal Name]],Table3[[#This Row],[Top Parent Account]])</f>
        <v>Silodisa Servicio Integral De Logística y Distribución</v>
      </c>
      <c r="H3192" s="1"/>
    </row>
    <row r="3193" spans="1:8" x14ac:dyDescent="0.35">
      <c r="A3193" s="21"/>
      <c r="B3193" t="s">
        <v>989</v>
      </c>
      <c r="C3193" t="s">
        <v>6</v>
      </c>
      <c r="D3193" t="s">
        <v>2656</v>
      </c>
      <c r="F3193" s="1">
        <v>45891</v>
      </c>
      <c r="G3193" t="str">
        <f>IF(Table3[[#This Row],[Top Parent Account]]="",Table3[[#This Row],[Account Legal Name]],Table3[[#This Row],[Top Parent Account]])</f>
        <v>Grupo Técnico Impresor</v>
      </c>
      <c r="H3193" s="1"/>
    </row>
    <row r="3194" spans="1:8" x14ac:dyDescent="0.35">
      <c r="A3194" s="21"/>
      <c r="B3194" t="s">
        <v>989</v>
      </c>
      <c r="C3194" t="s">
        <v>6</v>
      </c>
      <c r="D3194" t="s">
        <v>2938</v>
      </c>
      <c r="F3194" s="1">
        <v>45891</v>
      </c>
      <c r="G3194" t="str">
        <f>IF(Table3[[#This Row],[Top Parent Account]]="",Table3[[#This Row],[Account Legal Name]],Table3[[#This Row],[Top Parent Account]])</f>
        <v>Karalundi</v>
      </c>
      <c r="H3194" s="1"/>
    </row>
    <row r="3195" spans="1:8" x14ac:dyDescent="0.35">
      <c r="A3195" s="21"/>
      <c r="B3195" t="s">
        <v>77</v>
      </c>
      <c r="C3195" t="s">
        <v>6</v>
      </c>
      <c r="D3195" t="s">
        <v>3308</v>
      </c>
      <c r="F3195" s="1">
        <v>45891</v>
      </c>
      <c r="G3195" t="str">
        <f>IF(Table3[[#This Row],[Top Parent Account]]="",Table3[[#This Row],[Account Legal Name]],Table3[[#This Row],[Top Parent Account]])</f>
        <v>ANUNCIOS UNIPOLARES</v>
      </c>
      <c r="H3195" s="1"/>
    </row>
    <row r="3196" spans="1:8" x14ac:dyDescent="0.35">
      <c r="A3196" s="21"/>
      <c r="B3196" t="s">
        <v>207</v>
      </c>
      <c r="C3196" t="s">
        <v>6</v>
      </c>
      <c r="D3196" t="s">
        <v>3309</v>
      </c>
      <c r="F3196" s="1">
        <v>45891</v>
      </c>
      <c r="G3196" t="str">
        <f>IF(Table3[[#This Row],[Top Parent Account]]="",Table3[[#This Row],[Account Legal Name]],Table3[[#This Row],[Top Parent Account]])</f>
        <v>Horbis Group</v>
      </c>
      <c r="H3196" s="1"/>
    </row>
    <row r="3197" spans="1:8" x14ac:dyDescent="0.35">
      <c r="A3197" s="21"/>
      <c r="B3197" t="s">
        <v>207</v>
      </c>
      <c r="C3197" t="s">
        <v>6</v>
      </c>
      <c r="D3197" t="s">
        <v>3310</v>
      </c>
      <c r="F3197" s="1">
        <v>45891</v>
      </c>
      <c r="G3197" t="str">
        <f>IF(Table3[[#This Row],[Top Parent Account]]="",Table3[[#This Row],[Account Legal Name]],Table3[[#This Row],[Top Parent Account]])</f>
        <v>Cremeria el Saucito</v>
      </c>
      <c r="H3197" s="1"/>
    </row>
    <row r="3198" spans="1:8" x14ac:dyDescent="0.35">
      <c r="A3198" s="21"/>
      <c r="B3198" t="s">
        <v>88</v>
      </c>
      <c r="C3198" t="s">
        <v>6</v>
      </c>
      <c r="D3198" t="s">
        <v>3311</v>
      </c>
      <c r="F3198" s="1">
        <v>45891</v>
      </c>
      <c r="G3198" t="str">
        <f>IF(Table3[[#This Row],[Top Parent Account]]="",Table3[[#This Row],[Account Legal Name]],Table3[[#This Row],[Top Parent Account]])</f>
        <v>Productos para el hogar lotus</v>
      </c>
      <c r="H3198" s="1"/>
    </row>
    <row r="3199" spans="1:8" x14ac:dyDescent="0.35">
      <c r="A3199" s="21"/>
      <c r="B3199" t="s">
        <v>169</v>
      </c>
      <c r="C3199" t="s">
        <v>6</v>
      </c>
      <c r="D3199" t="s">
        <v>2808</v>
      </c>
      <c r="F3199" s="1">
        <v>45891</v>
      </c>
      <c r="G3199" t="str">
        <f>IF(Table3[[#This Row],[Top Parent Account]]="",Table3[[#This Row],[Account Legal Name]],Table3[[#This Row],[Top Parent Account]])</f>
        <v>Empaque y Diseño</v>
      </c>
      <c r="H3199" s="1"/>
    </row>
    <row r="3200" spans="1:8" x14ac:dyDescent="0.35">
      <c r="A3200" s="21"/>
      <c r="B3200" t="s">
        <v>8</v>
      </c>
      <c r="C3200" t="s">
        <v>6</v>
      </c>
      <c r="D3200" t="s">
        <v>3312</v>
      </c>
      <c r="F3200" s="1">
        <v>45891</v>
      </c>
      <c r="G3200" t="str">
        <f>IF(Table3[[#This Row],[Top Parent Account]]="",Table3[[#This Row],[Account Legal Name]],Table3[[#This Row],[Top Parent Account]])</f>
        <v>compañia minera avino</v>
      </c>
      <c r="H3200" s="1"/>
    </row>
    <row r="3201" spans="1:8" x14ac:dyDescent="0.35">
      <c r="A3201" s="21"/>
      <c r="B3201" t="s">
        <v>208</v>
      </c>
      <c r="C3201" t="s">
        <v>6</v>
      </c>
      <c r="D3201" t="s">
        <v>3313</v>
      </c>
      <c r="F3201" s="1">
        <v>45891</v>
      </c>
      <c r="G3201" t="str">
        <f>IF(Table3[[#This Row],[Top Parent Account]]="",Table3[[#This Row],[Account Legal Name]],Table3[[#This Row],[Top Parent Account]])</f>
        <v>Belara</v>
      </c>
      <c r="H3201" s="1"/>
    </row>
    <row r="3202" spans="1:8" x14ac:dyDescent="0.35">
      <c r="A3202" s="21"/>
      <c r="B3202" t="s">
        <v>121</v>
      </c>
      <c r="C3202" t="s">
        <v>6</v>
      </c>
      <c r="D3202" t="s">
        <v>3314</v>
      </c>
      <c r="F3202" s="1">
        <v>45891</v>
      </c>
      <c r="G3202" t="str">
        <f>IF(Table3[[#This Row],[Top Parent Account]]="",Table3[[#This Row],[Account Legal Name]],Table3[[#This Row],[Top Parent Account]])</f>
        <v>MANUFACTURERA PARSEC</v>
      </c>
      <c r="H3202" s="1"/>
    </row>
    <row r="3203" spans="1:8" x14ac:dyDescent="0.35">
      <c r="A3203" s="21"/>
      <c r="B3203" t="s">
        <v>39</v>
      </c>
      <c r="C3203" t="s">
        <v>1094</v>
      </c>
      <c r="D3203" t="s">
        <v>3315</v>
      </c>
      <c r="F3203" s="1">
        <v>45891</v>
      </c>
      <c r="G3203" t="str">
        <f>IF(Table3[[#This Row],[Top Parent Account]]="",Table3[[#This Row],[Account Legal Name]],Table3[[#This Row],[Top Parent Account]])</f>
        <v>Grupo Securitas México</v>
      </c>
      <c r="H3203" s="1"/>
    </row>
    <row r="3204" spans="1:8" x14ac:dyDescent="0.35">
      <c r="A3204" s="21"/>
      <c r="B3204" t="s">
        <v>77</v>
      </c>
      <c r="C3204" t="s">
        <v>6</v>
      </c>
      <c r="D3204" t="s">
        <v>3006</v>
      </c>
      <c r="F3204" s="1">
        <v>45891</v>
      </c>
      <c r="G3204" t="str">
        <f>IF(Table3[[#This Row],[Top Parent Account]]="",Table3[[#This Row],[Account Legal Name]],Table3[[#This Row],[Top Parent Account]])</f>
        <v>Agroganadera waggoner</v>
      </c>
      <c r="H3204" s="1"/>
    </row>
    <row r="3205" spans="1:8" x14ac:dyDescent="0.35">
      <c r="A3205" s="21"/>
      <c r="B3205" t="s">
        <v>2693</v>
      </c>
      <c r="C3205" t="s">
        <v>6</v>
      </c>
      <c r="D3205" t="s">
        <v>3316</v>
      </c>
      <c r="F3205" s="1">
        <v>45891</v>
      </c>
      <c r="G3205" t="str">
        <f>IF(Table3[[#This Row],[Top Parent Account]]="",Table3[[#This Row],[Account Legal Name]],Table3[[#This Row],[Top Parent Account]])</f>
        <v>SOFIPA CORPORATION</v>
      </c>
      <c r="H3205" s="1"/>
    </row>
    <row r="3206" spans="1:8" x14ac:dyDescent="0.35">
      <c r="A3206" s="21"/>
      <c r="B3206" t="s">
        <v>38</v>
      </c>
      <c r="C3206" t="s">
        <v>6</v>
      </c>
      <c r="D3206" t="s">
        <v>648</v>
      </c>
      <c r="F3206" s="1">
        <v>45891</v>
      </c>
      <c r="G3206" t="str">
        <f>IF(Table3[[#This Row],[Top Parent Account]]="",Table3[[#This Row],[Account Legal Name]],Table3[[#This Row],[Top Parent Account]])</f>
        <v>TS Trucking (Charger Logisitcs)</v>
      </c>
      <c r="H3206" s="1"/>
    </row>
    <row r="3207" spans="1:8" x14ac:dyDescent="0.35">
      <c r="A3207" s="21"/>
      <c r="B3207" t="s">
        <v>1006</v>
      </c>
      <c r="C3207" t="s">
        <v>6</v>
      </c>
      <c r="D3207" t="s">
        <v>846</v>
      </c>
      <c r="F3207" s="1">
        <v>45891</v>
      </c>
      <c r="G3207" t="str">
        <f>IF(Table3[[#This Row],[Top Parent Account]]="",Table3[[#This Row],[Account Legal Name]],Table3[[#This Row],[Top Parent Account]])</f>
        <v>VALMER PAQUETERÍA Y MENSAJERÍA</v>
      </c>
      <c r="H3207" s="1"/>
    </row>
    <row r="3208" spans="1:8" x14ac:dyDescent="0.35">
      <c r="A3208" s="21"/>
      <c r="B3208" t="s">
        <v>1131</v>
      </c>
      <c r="C3208" t="s">
        <v>6</v>
      </c>
      <c r="D3208" t="s">
        <v>3317</v>
      </c>
      <c r="F3208" s="1">
        <v>45891</v>
      </c>
      <c r="G3208" t="str">
        <f>IF(Table3[[#This Row],[Top Parent Account]]="",Table3[[#This Row],[Account Legal Name]],Table3[[#This Row],[Top Parent Account]])</f>
        <v>Mc Gourmet</v>
      </c>
      <c r="H3208" s="1"/>
    </row>
    <row r="3209" spans="1:8" x14ac:dyDescent="0.35">
      <c r="A3209" s="21"/>
      <c r="B3209" t="s">
        <v>2912</v>
      </c>
      <c r="C3209" t="s">
        <v>6</v>
      </c>
      <c r="D3209" t="s">
        <v>3318</v>
      </c>
      <c r="F3209" s="1">
        <v>45890</v>
      </c>
      <c r="G3209" t="str">
        <f>IF(Table3[[#This Row],[Top Parent Account]]="",Table3[[#This Row],[Account Legal Name]],Table3[[#This Row],[Top Parent Account]])</f>
        <v>Grupo Trimex</v>
      </c>
      <c r="H3209" s="1"/>
    </row>
    <row r="3210" spans="1:8" x14ac:dyDescent="0.35">
      <c r="A3210" s="21"/>
      <c r="B3210" t="s">
        <v>375</v>
      </c>
      <c r="C3210" t="s">
        <v>6</v>
      </c>
      <c r="D3210" t="s">
        <v>3319</v>
      </c>
      <c r="F3210" s="1">
        <v>45890</v>
      </c>
      <c r="G3210" t="str">
        <f>IF(Table3[[#This Row],[Top Parent Account]]="",Table3[[#This Row],[Account Legal Name]],Table3[[#This Row],[Top Parent Account]])</f>
        <v>Clavos Nacionales de México</v>
      </c>
      <c r="H3210" s="1"/>
    </row>
    <row r="3211" spans="1:8" x14ac:dyDescent="0.35">
      <c r="A3211" s="21"/>
      <c r="B3211" t="s">
        <v>56</v>
      </c>
      <c r="C3211" t="s">
        <v>6</v>
      </c>
      <c r="D3211" t="s">
        <v>421</v>
      </c>
      <c r="F3211" s="1">
        <v>45890</v>
      </c>
      <c r="G3211" t="str">
        <f>IF(Table3[[#This Row],[Top Parent Account]]="",Table3[[#This Row],[Account Legal Name]],Table3[[#This Row],[Top Parent Account]])</f>
        <v>Grupo Aguaviento</v>
      </c>
      <c r="H3211" s="1"/>
    </row>
    <row r="3212" spans="1:8" x14ac:dyDescent="0.35">
      <c r="A3212" s="21"/>
      <c r="B3212" t="s">
        <v>1643</v>
      </c>
      <c r="C3212" t="s">
        <v>6</v>
      </c>
      <c r="D3212" t="s">
        <v>858</v>
      </c>
      <c r="F3212" s="1">
        <v>45890</v>
      </c>
      <c r="G3212" t="str">
        <f>IF(Table3[[#This Row],[Top Parent Account]]="",Table3[[#This Row],[Account Legal Name]],Table3[[#This Row],[Top Parent Account]])</f>
        <v>Alimentos Finos Del Norte</v>
      </c>
      <c r="H3212" s="1"/>
    </row>
    <row r="3213" spans="1:8" x14ac:dyDescent="0.35">
      <c r="A3213" s="21"/>
      <c r="B3213" t="s">
        <v>375</v>
      </c>
      <c r="C3213" t="s">
        <v>6</v>
      </c>
      <c r="D3213" t="s">
        <v>2878</v>
      </c>
      <c r="F3213" s="1">
        <v>45890</v>
      </c>
      <c r="G3213" t="str">
        <f>IF(Table3[[#This Row],[Top Parent Account]]="",Table3[[#This Row],[Account Legal Name]],Table3[[#This Row],[Top Parent Account]])</f>
        <v>Fletes Mex</v>
      </c>
      <c r="H3213" s="1"/>
    </row>
    <row r="3214" spans="1:8" x14ac:dyDescent="0.35">
      <c r="A3214" s="21"/>
      <c r="B3214" t="s">
        <v>26</v>
      </c>
      <c r="C3214" t="s">
        <v>6</v>
      </c>
      <c r="D3214" t="s">
        <v>398</v>
      </c>
      <c r="F3214" s="1">
        <v>45890</v>
      </c>
      <c r="G3214" t="str">
        <f>IF(Table3[[#This Row],[Top Parent Account]]="",Table3[[#This Row],[Account Legal Name]],Table3[[#This Row],[Top Parent Account]])</f>
        <v>Almacenes Refrigerados Consolidados</v>
      </c>
      <c r="H3214" s="1"/>
    </row>
    <row r="3215" spans="1:8" x14ac:dyDescent="0.35">
      <c r="A3215" s="21"/>
      <c r="B3215" t="s">
        <v>2693</v>
      </c>
      <c r="C3215" t="s">
        <v>6</v>
      </c>
      <c r="D3215" t="s">
        <v>3091</v>
      </c>
      <c r="F3215" s="1">
        <v>45890</v>
      </c>
      <c r="G3215" t="str">
        <f>IF(Table3[[#This Row],[Top Parent Account]]="",Table3[[#This Row],[Account Legal Name]],Table3[[#This Row],[Top Parent Account]])</f>
        <v>Leonel Alejandro Reyes Leyva</v>
      </c>
      <c r="H3215" s="1"/>
    </row>
    <row r="3216" spans="1:8" x14ac:dyDescent="0.35">
      <c r="A3216" s="21"/>
      <c r="B3216" t="s">
        <v>84</v>
      </c>
      <c r="C3216" t="s">
        <v>189</v>
      </c>
      <c r="D3216" t="s">
        <v>3320</v>
      </c>
      <c r="F3216" s="1">
        <v>45890</v>
      </c>
      <c r="G3216" t="str">
        <f>IF(Table3[[#This Row],[Top Parent Account]]="",Table3[[#This Row],[Account Legal Name]],Table3[[#This Row],[Top Parent Account]])</f>
        <v>Materiales Industrializados</v>
      </c>
      <c r="H3216" s="1"/>
    </row>
    <row r="3217" spans="1:8" x14ac:dyDescent="0.35">
      <c r="A3217" s="21"/>
      <c r="B3217" t="s">
        <v>84</v>
      </c>
      <c r="C3217" t="s">
        <v>844</v>
      </c>
      <c r="D3217" t="s">
        <v>1252</v>
      </c>
      <c r="F3217" s="1">
        <v>45890</v>
      </c>
      <c r="G3217" t="str">
        <f>IF(Table3[[#This Row],[Top Parent Account]]="",Table3[[#This Row],[Account Legal Name]],Table3[[#This Row],[Top Parent Account]])</f>
        <v>Maverick Express Carriers</v>
      </c>
      <c r="H3217" s="1"/>
    </row>
    <row r="3218" spans="1:8" x14ac:dyDescent="0.35">
      <c r="A3218" s="21"/>
      <c r="B3218" t="s">
        <v>28</v>
      </c>
      <c r="C3218" t="s">
        <v>6</v>
      </c>
      <c r="D3218" t="s">
        <v>950</v>
      </c>
      <c r="F3218" s="1">
        <v>45890</v>
      </c>
      <c r="G3218" t="str">
        <f>IF(Table3[[#This Row],[Top Parent Account]]="",Table3[[#This Row],[Account Legal Name]],Table3[[#This Row],[Top Parent Account]])</f>
        <v>Meccano de México</v>
      </c>
      <c r="H3218" s="1"/>
    </row>
    <row r="3219" spans="1:8" x14ac:dyDescent="0.35">
      <c r="A3219" s="21"/>
      <c r="B3219" t="s">
        <v>84</v>
      </c>
      <c r="C3219" t="s">
        <v>3321</v>
      </c>
      <c r="D3219" t="s">
        <v>3322</v>
      </c>
      <c r="F3219" s="1">
        <v>45890</v>
      </c>
      <c r="G3219" t="str">
        <f>IF(Table3[[#This Row],[Top Parent Account]]="",Table3[[#This Row],[Account Legal Name]],Table3[[#This Row],[Top Parent Account]])</f>
        <v>FRACH MINERIA Y MAQUINARIA</v>
      </c>
      <c r="H3219" s="1"/>
    </row>
    <row r="3220" spans="1:8" x14ac:dyDescent="0.35">
      <c r="A3220" s="21"/>
      <c r="B3220" t="s">
        <v>84</v>
      </c>
      <c r="C3220" t="s">
        <v>1176</v>
      </c>
      <c r="D3220" t="s">
        <v>3323</v>
      </c>
      <c r="F3220" s="1">
        <v>45890</v>
      </c>
      <c r="G3220" t="str">
        <f>IF(Table3[[#This Row],[Top Parent Account]]="",Table3[[#This Row],[Account Legal Name]],Table3[[#This Row],[Top Parent Account]])</f>
        <v>PRESTADORA DE SERVICIOS Y PRODUCTOS INDUSTRIAL MINEROS KIA</v>
      </c>
      <c r="H3220" s="1"/>
    </row>
    <row r="3221" spans="1:8" x14ac:dyDescent="0.35">
      <c r="A3221" s="21"/>
      <c r="B3221" t="s">
        <v>1006</v>
      </c>
      <c r="C3221" t="s">
        <v>6</v>
      </c>
      <c r="D3221" t="s">
        <v>1007</v>
      </c>
      <c r="F3221" s="1">
        <v>45890</v>
      </c>
      <c r="G3221" t="str">
        <f>IF(Table3[[#This Row],[Top Parent Account]]="",Table3[[#This Row],[Account Legal Name]],Table3[[#This Row],[Top Parent Account]])</f>
        <v>INDAMEX Industrializadora de Alimentos Mexicanos</v>
      </c>
      <c r="H3221" s="1"/>
    </row>
    <row r="3222" spans="1:8" x14ac:dyDescent="0.35">
      <c r="A3222" s="21"/>
      <c r="B3222" t="s">
        <v>77</v>
      </c>
      <c r="C3222" t="s">
        <v>6</v>
      </c>
      <c r="D3222" t="s">
        <v>3163</v>
      </c>
      <c r="F3222" s="1">
        <v>45890</v>
      </c>
      <c r="G3222" t="str">
        <f>IF(Table3[[#This Row],[Top Parent Account]]="",Table3[[#This Row],[Account Legal Name]],Table3[[#This Row],[Top Parent Account]])</f>
        <v>Comercializadora de maiz Sierra Azul</v>
      </c>
      <c r="H3222" s="1"/>
    </row>
    <row r="3223" spans="1:8" x14ac:dyDescent="0.35">
      <c r="A3223" s="21"/>
      <c r="B3223" t="s">
        <v>1131</v>
      </c>
      <c r="C3223" t="s">
        <v>6</v>
      </c>
      <c r="D3223" t="s">
        <v>1342</v>
      </c>
      <c r="F3223" s="1">
        <v>45890</v>
      </c>
      <c r="G3223" t="str">
        <f>IF(Table3[[#This Row],[Top Parent Account]]="",Table3[[#This Row],[Account Legal Name]],Table3[[#This Row],[Top Parent Account]])</f>
        <v>Edvesa</v>
      </c>
      <c r="H3223" s="1"/>
    </row>
    <row r="3224" spans="1:8" x14ac:dyDescent="0.35">
      <c r="A3224" s="21"/>
      <c r="B3224" t="s">
        <v>70</v>
      </c>
      <c r="C3224" t="s">
        <v>6</v>
      </c>
      <c r="D3224" t="s">
        <v>3324</v>
      </c>
      <c r="F3224" s="1">
        <v>45890</v>
      </c>
      <c r="G3224" t="str">
        <f>IF(Table3[[#This Row],[Top Parent Account]]="",Table3[[#This Row],[Account Legal Name]],Table3[[#This Row],[Top Parent Account]])</f>
        <v>Hospital San Felipe de Jesús</v>
      </c>
      <c r="H3224" s="1"/>
    </row>
    <row r="3225" spans="1:8" x14ac:dyDescent="0.35">
      <c r="A3225" s="21"/>
      <c r="B3225" t="s">
        <v>2693</v>
      </c>
      <c r="C3225" t="s">
        <v>6</v>
      </c>
      <c r="D3225" t="s">
        <v>3325</v>
      </c>
      <c r="F3225" s="1">
        <v>45890</v>
      </c>
      <c r="G3225" t="str">
        <f>IF(Table3[[#This Row],[Top Parent Account]]="",Table3[[#This Row],[Account Legal Name]],Table3[[#This Row],[Top Parent Account]])</f>
        <v>Productos Mora</v>
      </c>
      <c r="H3225" s="1"/>
    </row>
    <row r="3226" spans="1:8" x14ac:dyDescent="0.35">
      <c r="A3226" s="21"/>
      <c r="B3226" t="s">
        <v>820</v>
      </c>
      <c r="C3226" t="s">
        <v>6</v>
      </c>
      <c r="D3226" t="s">
        <v>1137</v>
      </c>
      <c r="F3226" s="1">
        <v>45890</v>
      </c>
      <c r="G3226" t="str">
        <f>IF(Table3[[#This Row],[Top Parent Account]]="",Table3[[#This Row],[Account Legal Name]],Table3[[#This Row],[Top Parent Account]])</f>
        <v>Universidad Anahuac Del Sur</v>
      </c>
      <c r="H3226" s="1"/>
    </row>
    <row r="3227" spans="1:8" x14ac:dyDescent="0.35">
      <c r="A3227" s="21"/>
      <c r="B3227" t="s">
        <v>3092</v>
      </c>
      <c r="C3227" t="s">
        <v>6</v>
      </c>
      <c r="D3227" t="s">
        <v>3326</v>
      </c>
      <c r="F3227" s="1">
        <v>45890</v>
      </c>
      <c r="G3227" t="str">
        <f>IF(Table3[[#This Row],[Top Parent Account]]="",Table3[[#This Row],[Account Legal Name]],Table3[[#This Row],[Top Parent Account]])</f>
        <v>Cortes Especializados de Papel</v>
      </c>
      <c r="H3227" s="1"/>
    </row>
    <row r="3228" spans="1:8" x14ac:dyDescent="0.35">
      <c r="A3228" s="21"/>
      <c r="B3228" t="s">
        <v>2912</v>
      </c>
      <c r="C3228" t="s">
        <v>6</v>
      </c>
      <c r="D3228" t="s">
        <v>3327</v>
      </c>
      <c r="F3228" s="1">
        <v>45890</v>
      </c>
      <c r="G3228" t="str">
        <f>IF(Table3[[#This Row],[Top Parent Account]]="",Table3[[#This Row],[Account Legal Name]],Table3[[#This Row],[Top Parent Account]])</f>
        <v>Akzo Nobel Chemicals</v>
      </c>
      <c r="H3228" s="1"/>
    </row>
    <row r="3229" spans="1:8" x14ac:dyDescent="0.35">
      <c r="A3229" s="21"/>
      <c r="B3229" t="s">
        <v>208</v>
      </c>
      <c r="C3229" t="s">
        <v>6</v>
      </c>
      <c r="D3229" t="s">
        <v>810</v>
      </c>
      <c r="F3229" s="1">
        <v>45890</v>
      </c>
      <c r="G3229" t="str">
        <f>IF(Table3[[#This Row],[Top Parent Account]]="",Table3[[#This Row],[Account Legal Name]],Table3[[#This Row],[Top Parent Account]])</f>
        <v>PULPISSIMO</v>
      </c>
      <c r="H3229" s="1"/>
    </row>
    <row r="3230" spans="1:8" x14ac:dyDescent="0.35">
      <c r="A3230" s="21"/>
      <c r="B3230" t="s">
        <v>2658</v>
      </c>
      <c r="C3230" t="s">
        <v>6</v>
      </c>
      <c r="D3230" t="s">
        <v>3328</v>
      </c>
      <c r="F3230" s="1">
        <v>45890</v>
      </c>
      <c r="G3230" t="str">
        <f>IF(Table3[[#This Row],[Top Parent Account]]="",Table3[[#This Row],[Account Legal Name]],Table3[[#This Row],[Top Parent Account]])</f>
        <v>Plasticos Industriales De Monterrey</v>
      </c>
      <c r="H3230" s="1"/>
    </row>
    <row r="3231" spans="1:8" x14ac:dyDescent="0.35">
      <c r="A3231" s="21"/>
      <c r="B3231" t="s">
        <v>18</v>
      </c>
      <c r="C3231" t="s">
        <v>6</v>
      </c>
      <c r="D3231" t="s">
        <v>3329</v>
      </c>
      <c r="F3231" s="1">
        <v>45890</v>
      </c>
      <c r="G3231" t="str">
        <f>IF(Table3[[#This Row],[Top Parent Account]]="",Table3[[#This Row],[Account Legal Name]],Table3[[#This Row],[Top Parent Account]])</f>
        <v>Mauser Plastienvases Internacionals</v>
      </c>
      <c r="H3231" s="1"/>
    </row>
    <row r="3232" spans="1:8" x14ac:dyDescent="0.35">
      <c r="A3232" s="21"/>
      <c r="B3232" t="s">
        <v>37</v>
      </c>
      <c r="C3232" t="s">
        <v>6</v>
      </c>
      <c r="D3232" t="s">
        <v>3330</v>
      </c>
      <c r="F3232" s="1">
        <v>45890</v>
      </c>
      <c r="G3232" t="str">
        <f>IF(Table3[[#This Row],[Top Parent Account]]="",Table3[[#This Row],[Account Legal Name]],Table3[[#This Row],[Top Parent Account]])</f>
        <v>Yarda Castellanos</v>
      </c>
      <c r="H3232" s="1"/>
    </row>
    <row r="3233" spans="1:8" x14ac:dyDescent="0.35">
      <c r="A3233" s="21"/>
      <c r="B3233" t="s">
        <v>1006</v>
      </c>
      <c r="C3233" t="s">
        <v>6</v>
      </c>
      <c r="D3233" t="s">
        <v>1061</v>
      </c>
      <c r="F3233" s="1">
        <v>45890</v>
      </c>
      <c r="G3233" t="str">
        <f>IF(Table3[[#This Row],[Top Parent Account]]="",Table3[[#This Row],[Account Legal Name]],Table3[[#This Row],[Top Parent Account]])</f>
        <v>Lácteos Mojica</v>
      </c>
      <c r="H3233" s="1"/>
    </row>
    <row r="3234" spans="1:8" x14ac:dyDescent="0.35">
      <c r="A3234" s="21"/>
      <c r="B3234" t="s">
        <v>2912</v>
      </c>
      <c r="C3234" t="s">
        <v>6</v>
      </c>
      <c r="D3234" t="s">
        <v>477</v>
      </c>
      <c r="F3234" s="1">
        <v>45890</v>
      </c>
      <c r="G3234" t="str">
        <f>IF(Table3[[#This Row],[Top Parent Account]]="",Table3[[#This Row],[Account Legal Name]],Table3[[#This Row],[Top Parent Account]])</f>
        <v>EVENT EXPRESS</v>
      </c>
      <c r="H3234" s="1"/>
    </row>
    <row r="3235" spans="1:8" x14ac:dyDescent="0.35">
      <c r="A3235" s="21"/>
      <c r="B3235" t="s">
        <v>51</v>
      </c>
      <c r="C3235" t="s">
        <v>6</v>
      </c>
      <c r="D3235" t="s">
        <v>3331</v>
      </c>
      <c r="F3235" s="1">
        <v>45890</v>
      </c>
      <c r="G3235" t="str">
        <f>IF(Table3[[#This Row],[Top Parent Account]]="",Table3[[#This Row],[Account Legal Name]],Table3[[#This Row],[Top Parent Account]])</f>
        <v>Arrendadora y Constructora Maya</v>
      </c>
      <c r="H3235" s="1"/>
    </row>
    <row r="3236" spans="1:8" x14ac:dyDescent="0.35">
      <c r="A3236" s="21"/>
      <c r="B3236" t="s">
        <v>969</v>
      </c>
      <c r="C3236" t="s">
        <v>6</v>
      </c>
      <c r="D3236" t="s">
        <v>3332</v>
      </c>
      <c r="F3236" s="1">
        <v>45890</v>
      </c>
      <c r="G3236" t="str">
        <f>IF(Table3[[#This Row],[Top Parent Account]]="",Table3[[#This Row],[Account Legal Name]],Table3[[#This Row],[Top Parent Account]])</f>
        <v>Ontop Nutrition</v>
      </c>
      <c r="H3236" s="1"/>
    </row>
    <row r="3237" spans="1:8" x14ac:dyDescent="0.35">
      <c r="A3237" s="21"/>
      <c r="B3237" t="s">
        <v>18</v>
      </c>
      <c r="C3237" t="s">
        <v>6</v>
      </c>
      <c r="D3237" t="s">
        <v>2944</v>
      </c>
      <c r="F3237" s="1">
        <v>45890</v>
      </c>
      <c r="G3237" t="str">
        <f>IF(Table3[[#This Row],[Top Parent Account]]="",Table3[[#This Row],[Account Legal Name]],Table3[[#This Row],[Top Parent Account]])</f>
        <v>Prexon Prefabricados</v>
      </c>
      <c r="H3237" s="1"/>
    </row>
    <row r="3238" spans="1:8" x14ac:dyDescent="0.35">
      <c r="A3238" s="21"/>
      <c r="B3238" t="s">
        <v>1511</v>
      </c>
      <c r="C3238" t="s">
        <v>6</v>
      </c>
      <c r="D3238" t="s">
        <v>3271</v>
      </c>
      <c r="F3238" s="1">
        <v>45890</v>
      </c>
      <c r="G3238" t="str">
        <f>IF(Table3[[#This Row],[Top Parent Account]]="",Table3[[#This Row],[Account Legal Name]],Table3[[#This Row],[Top Parent Account]])</f>
        <v>Vina Inmobiliaria</v>
      </c>
      <c r="H3238" s="1"/>
    </row>
    <row r="3239" spans="1:8" x14ac:dyDescent="0.35">
      <c r="A3239" s="21"/>
      <c r="B3239" t="s">
        <v>375</v>
      </c>
      <c r="C3239" t="s">
        <v>6</v>
      </c>
      <c r="D3239" t="s">
        <v>563</v>
      </c>
      <c r="F3239" s="1">
        <v>45890</v>
      </c>
      <c r="G3239" t="str">
        <f>IF(Table3[[#This Row],[Top Parent Account]]="",Table3[[#This Row],[Account Legal Name]],Table3[[#This Row],[Top Parent Account]])</f>
        <v>Integradora De Servicios De Transportación Xihutec</v>
      </c>
      <c r="H3239" s="1"/>
    </row>
    <row r="3240" spans="1:8" x14ac:dyDescent="0.35">
      <c r="A3240" s="21"/>
      <c r="B3240" t="s">
        <v>970</v>
      </c>
      <c r="C3240" t="s">
        <v>6</v>
      </c>
      <c r="D3240" t="s">
        <v>3124</v>
      </c>
      <c r="F3240" s="1">
        <v>45890</v>
      </c>
      <c r="G3240" t="str">
        <f>IF(Table3[[#This Row],[Top Parent Account]]="",Table3[[#This Row],[Account Legal Name]],Table3[[#This Row],[Top Parent Account]])</f>
        <v>Corporación Zapata</v>
      </c>
      <c r="H3240" s="1"/>
    </row>
    <row r="3241" spans="1:8" x14ac:dyDescent="0.35">
      <c r="A3241" s="21"/>
      <c r="B3241" t="s">
        <v>2309</v>
      </c>
      <c r="C3241" t="s">
        <v>1150</v>
      </c>
      <c r="D3241" t="s">
        <v>3333</v>
      </c>
      <c r="F3241" s="1">
        <v>45890</v>
      </c>
      <c r="G3241" t="str">
        <f>IF(Table3[[#This Row],[Top Parent Account]]="",Table3[[#This Row],[Account Legal Name]],Table3[[#This Row],[Top Parent Account]])</f>
        <v>Cromher De Mexico</v>
      </c>
      <c r="H3241" s="1"/>
    </row>
    <row r="3242" spans="1:8" x14ac:dyDescent="0.35">
      <c r="A3242" s="21"/>
      <c r="B3242" t="s">
        <v>1643</v>
      </c>
      <c r="C3242" t="s">
        <v>6</v>
      </c>
      <c r="D3242" t="s">
        <v>2030</v>
      </c>
      <c r="F3242" s="1">
        <v>45890</v>
      </c>
      <c r="G3242" t="str">
        <f>IF(Table3[[#This Row],[Top Parent Account]]="",Table3[[#This Row],[Account Legal Name]],Table3[[#This Row],[Top Parent Account]])</f>
        <v>Trak Transportaciones</v>
      </c>
      <c r="H3242" s="1"/>
    </row>
    <row r="3243" spans="1:8" x14ac:dyDescent="0.35">
      <c r="A3243" s="21"/>
      <c r="B3243" t="s">
        <v>78</v>
      </c>
      <c r="C3243" t="s">
        <v>6</v>
      </c>
      <c r="D3243" t="s">
        <v>3334</v>
      </c>
      <c r="F3243" s="1">
        <v>45890</v>
      </c>
      <c r="G3243" t="str">
        <f>IF(Table3[[#This Row],[Top Parent Account]]="",Table3[[#This Row],[Account Legal Name]],Table3[[#This Row],[Top Parent Account]])</f>
        <v>Fructus Via</v>
      </c>
      <c r="H3243" s="1"/>
    </row>
    <row r="3244" spans="1:8" x14ac:dyDescent="0.35">
      <c r="A3244" s="21"/>
      <c r="B3244" t="s">
        <v>1511</v>
      </c>
      <c r="C3244" t="s">
        <v>6</v>
      </c>
      <c r="D3244" t="s">
        <v>2113</v>
      </c>
      <c r="F3244" s="1">
        <v>45890</v>
      </c>
      <c r="G3244" t="str">
        <f>IF(Table3[[#This Row],[Top Parent Account]]="",Table3[[#This Row],[Account Legal Name]],Table3[[#This Row],[Top Parent Account]])</f>
        <v>Prome Del Norte</v>
      </c>
      <c r="H3244" s="1"/>
    </row>
    <row r="3245" spans="1:8" x14ac:dyDescent="0.35">
      <c r="A3245" s="21"/>
      <c r="B3245" t="s">
        <v>11</v>
      </c>
      <c r="C3245" t="s">
        <v>6</v>
      </c>
      <c r="D3245" t="s">
        <v>3335</v>
      </c>
      <c r="F3245" s="1">
        <v>45889</v>
      </c>
      <c r="G3245" t="str">
        <f>IF(Table3[[#This Row],[Top Parent Account]]="",Table3[[#This Row],[Account Legal Name]],Table3[[#This Row],[Top Parent Account]])</f>
        <v>Distribuidora Toymark</v>
      </c>
      <c r="H3245" s="1"/>
    </row>
    <row r="3246" spans="1:8" x14ac:dyDescent="0.35">
      <c r="A3246" s="21"/>
      <c r="B3246" t="s">
        <v>739</v>
      </c>
      <c r="C3246" t="s">
        <v>6</v>
      </c>
      <c r="D3246" t="s">
        <v>3336</v>
      </c>
      <c r="F3246" s="1">
        <v>45889</v>
      </c>
      <c r="G3246" t="str">
        <f>IF(Table3[[#This Row],[Top Parent Account]]="",Table3[[#This Row],[Account Legal Name]],Table3[[#This Row],[Top Parent Account]])</f>
        <v>Destileria Los Danzantes</v>
      </c>
      <c r="H3246" s="1"/>
    </row>
    <row r="3247" spans="1:8" x14ac:dyDescent="0.35">
      <c r="A3247" s="21"/>
      <c r="B3247" t="s">
        <v>2912</v>
      </c>
      <c r="C3247" t="s">
        <v>6</v>
      </c>
      <c r="D3247" t="s">
        <v>3337</v>
      </c>
      <c r="F3247" s="1">
        <v>45889</v>
      </c>
      <c r="G3247" t="str">
        <f>IF(Table3[[#This Row],[Top Parent Account]]="",Table3[[#This Row],[Account Legal Name]],Table3[[#This Row],[Top Parent Account]])</f>
        <v>Industrias John Crane de México</v>
      </c>
      <c r="H3247" s="1"/>
    </row>
    <row r="3248" spans="1:8" x14ac:dyDescent="0.35">
      <c r="A3248" s="21"/>
      <c r="B3248" t="s">
        <v>2693</v>
      </c>
      <c r="C3248" t="s">
        <v>6</v>
      </c>
      <c r="D3248" t="s">
        <v>3338</v>
      </c>
      <c r="F3248" s="1">
        <v>45889</v>
      </c>
      <c r="G3248" t="str">
        <f>IF(Table3[[#This Row],[Top Parent Account]]="",Table3[[#This Row],[Account Legal Name]],Table3[[#This Row],[Top Parent Account]])</f>
        <v>Hyrcosa</v>
      </c>
      <c r="H3248" s="1"/>
    </row>
    <row r="3249" spans="1:8" x14ac:dyDescent="0.35">
      <c r="A3249" s="21"/>
      <c r="B3249" t="s">
        <v>70</v>
      </c>
      <c r="C3249" t="s">
        <v>6</v>
      </c>
      <c r="D3249" t="s">
        <v>345</v>
      </c>
      <c r="F3249" s="1">
        <v>45889</v>
      </c>
      <c r="G3249" t="str">
        <f>IF(Table3[[#This Row],[Top Parent Account]]="",Table3[[#This Row],[Account Legal Name]],Table3[[#This Row],[Top Parent Account]])</f>
        <v>Hydal</v>
      </c>
      <c r="H3249" s="1"/>
    </row>
    <row r="3250" spans="1:8" x14ac:dyDescent="0.35">
      <c r="A3250" s="21"/>
      <c r="B3250" t="s">
        <v>925</v>
      </c>
      <c r="C3250" t="s">
        <v>6</v>
      </c>
      <c r="D3250" t="s">
        <v>3339</v>
      </c>
      <c r="F3250" s="1">
        <v>45889</v>
      </c>
      <c r="G3250" t="str">
        <f>IF(Table3[[#This Row],[Top Parent Account]]="",Table3[[#This Row],[Account Legal Name]],Table3[[#This Row],[Top Parent Account]])</f>
        <v>Fungiterra</v>
      </c>
      <c r="H3250" s="1"/>
    </row>
    <row r="3251" spans="1:8" x14ac:dyDescent="0.35">
      <c r="A3251" s="21"/>
      <c r="B3251" t="s">
        <v>1511</v>
      </c>
      <c r="C3251" t="s">
        <v>6</v>
      </c>
      <c r="D3251" t="s">
        <v>2715</v>
      </c>
      <c r="F3251" s="1">
        <v>45889</v>
      </c>
      <c r="G3251" t="str">
        <f>IF(Table3[[#This Row],[Top Parent Account]]="",Table3[[#This Row],[Account Legal Name]],Table3[[#This Row],[Top Parent Account]])</f>
        <v>Salve Administracion</v>
      </c>
      <c r="H3251" s="1"/>
    </row>
    <row r="3252" spans="1:8" x14ac:dyDescent="0.35">
      <c r="A3252" s="21"/>
      <c r="B3252" t="s">
        <v>2884</v>
      </c>
      <c r="C3252" t="s">
        <v>6</v>
      </c>
      <c r="D3252" t="s">
        <v>3340</v>
      </c>
      <c r="F3252" s="1">
        <v>45889</v>
      </c>
      <c r="G3252" t="str">
        <f>IF(Table3[[#This Row],[Top Parent Account]]="",Table3[[#This Row],[Account Legal Name]],Table3[[#This Row],[Top Parent Account]])</f>
        <v>SKY LEASING</v>
      </c>
      <c r="H3252" s="1"/>
    </row>
    <row r="3253" spans="1:8" x14ac:dyDescent="0.35">
      <c r="A3253" s="21"/>
      <c r="B3253" t="s">
        <v>70</v>
      </c>
      <c r="C3253" t="s">
        <v>22</v>
      </c>
      <c r="D3253" t="s">
        <v>3341</v>
      </c>
      <c r="F3253" s="1">
        <v>45889</v>
      </c>
      <c r="G3253" t="str">
        <f>IF(Table3[[#This Row],[Top Parent Account]]="",Table3[[#This Row],[Account Legal Name]],Table3[[#This Row],[Top Parent Account]])</f>
        <v>UPL Agro</v>
      </c>
      <c r="H3253" s="1"/>
    </row>
    <row r="3254" spans="1:8" x14ac:dyDescent="0.35">
      <c r="A3254" s="21"/>
      <c r="B3254" t="s">
        <v>3093</v>
      </c>
      <c r="C3254" t="s">
        <v>6</v>
      </c>
      <c r="D3254" t="s">
        <v>975</v>
      </c>
      <c r="F3254" s="1">
        <v>45889</v>
      </c>
      <c r="G3254" t="str">
        <f>IF(Table3[[#This Row],[Top Parent Account]]="",Table3[[#This Row],[Account Legal Name]],Table3[[#This Row],[Top Parent Account]])</f>
        <v>Tiba México</v>
      </c>
      <c r="H3254" s="1"/>
    </row>
    <row r="3255" spans="1:8" x14ac:dyDescent="0.35">
      <c r="A3255" s="21"/>
      <c r="B3255" t="s">
        <v>1511</v>
      </c>
      <c r="C3255" t="s">
        <v>6</v>
      </c>
      <c r="D3255" t="s">
        <v>2194</v>
      </c>
      <c r="F3255" s="1">
        <v>45889</v>
      </c>
      <c r="G3255" t="str">
        <f>IF(Table3[[#This Row],[Top Parent Account]]="",Table3[[#This Row],[Account Legal Name]],Table3[[#This Row],[Top Parent Account]])</f>
        <v>Forestal La Reforma</v>
      </c>
      <c r="H3255" s="1"/>
    </row>
    <row r="3256" spans="1:8" x14ac:dyDescent="0.35">
      <c r="A3256" s="21"/>
      <c r="B3256" t="s">
        <v>1511</v>
      </c>
      <c r="C3256" t="s">
        <v>6</v>
      </c>
      <c r="D3256" t="s">
        <v>2194</v>
      </c>
      <c r="F3256" s="1">
        <v>45889</v>
      </c>
      <c r="G3256" t="str">
        <f>IF(Table3[[#This Row],[Top Parent Account]]="",Table3[[#This Row],[Account Legal Name]],Table3[[#This Row],[Top Parent Account]])</f>
        <v>Forestal La Reforma</v>
      </c>
      <c r="H3256" s="1"/>
    </row>
    <row r="3257" spans="1:8" x14ac:dyDescent="0.35">
      <c r="A3257" s="21"/>
      <c r="B3257" t="s">
        <v>1643</v>
      </c>
      <c r="C3257" t="s">
        <v>6</v>
      </c>
      <c r="D3257" t="s">
        <v>1647</v>
      </c>
      <c r="F3257" s="1">
        <v>45889</v>
      </c>
      <c r="G3257" t="str">
        <f>IF(Table3[[#This Row],[Top Parent Account]]="",Table3[[#This Row],[Account Legal Name]],Table3[[#This Row],[Top Parent Account]])</f>
        <v>Fundicion Aguilas</v>
      </c>
      <c r="H3257" s="1"/>
    </row>
    <row r="3258" spans="1:8" x14ac:dyDescent="0.35">
      <c r="A3258" s="21"/>
      <c r="B3258" t="s">
        <v>88</v>
      </c>
      <c r="C3258" t="s">
        <v>6</v>
      </c>
      <c r="D3258" t="s">
        <v>3342</v>
      </c>
      <c r="F3258" s="1">
        <v>45889</v>
      </c>
      <c r="G3258" t="str">
        <f>IF(Table3[[#This Row],[Top Parent Account]]="",Table3[[#This Row],[Account Legal Name]],Table3[[#This Row],[Top Parent Account]])</f>
        <v>REACK</v>
      </c>
      <c r="H3258" s="1"/>
    </row>
    <row r="3259" spans="1:8" x14ac:dyDescent="0.35">
      <c r="A3259" s="21"/>
      <c r="B3259" t="s">
        <v>14</v>
      </c>
      <c r="C3259" t="s">
        <v>6</v>
      </c>
      <c r="D3259" t="s">
        <v>2627</v>
      </c>
      <c r="F3259" s="1">
        <v>45889</v>
      </c>
      <c r="G3259" t="str">
        <f>IF(Table3[[#This Row],[Top Parent Account]]="",Table3[[#This Row],[Account Legal Name]],Table3[[#This Row],[Top Parent Account]])</f>
        <v>TEQUILA LOS ABUELOS</v>
      </c>
      <c r="H3259" s="1"/>
    </row>
    <row r="3260" spans="1:8" x14ac:dyDescent="0.35">
      <c r="A3260" s="21"/>
      <c r="B3260" t="s">
        <v>27</v>
      </c>
      <c r="C3260" t="s">
        <v>22</v>
      </c>
      <c r="D3260" t="s">
        <v>1294</v>
      </c>
      <c r="F3260" s="1">
        <v>45889</v>
      </c>
      <c r="G3260" t="str">
        <f>IF(Table3[[#This Row],[Top Parent Account]]="",Table3[[#This Row],[Account Legal Name]],Table3[[#This Row],[Top Parent Account]])</f>
        <v>Mar Bran</v>
      </c>
      <c r="H3260" s="1"/>
    </row>
    <row r="3261" spans="1:8" x14ac:dyDescent="0.35">
      <c r="A3261" s="21"/>
      <c r="B3261" t="s">
        <v>21</v>
      </c>
      <c r="C3261" t="s">
        <v>6</v>
      </c>
      <c r="D3261" t="s">
        <v>3343</v>
      </c>
      <c r="F3261" s="1">
        <v>45889</v>
      </c>
      <c r="G3261" t="str">
        <f>IF(Table3[[#This Row],[Top Parent Account]]="",Table3[[#This Row],[Account Legal Name]],Table3[[#This Row],[Top Parent Account]])</f>
        <v>Hospital Nuestra Señora de Guadalupe</v>
      </c>
      <c r="H3261" s="1"/>
    </row>
    <row r="3262" spans="1:8" x14ac:dyDescent="0.35">
      <c r="A3262" s="21"/>
      <c r="B3262" t="s">
        <v>24</v>
      </c>
      <c r="C3262" t="s">
        <v>6</v>
      </c>
      <c r="D3262" t="s">
        <v>999</v>
      </c>
      <c r="E3262" t="s">
        <v>538</v>
      </c>
      <c r="F3262" s="1">
        <v>45889</v>
      </c>
      <c r="G3262" t="str">
        <f>IF(Table3[[#This Row],[Top Parent Account]]="",Table3[[#This Row],[Account Legal Name]],Table3[[#This Row],[Top Parent Account]])</f>
        <v>ARN de Occidente</v>
      </c>
      <c r="H3262" s="1"/>
    </row>
    <row r="3263" spans="1:8" x14ac:dyDescent="0.35">
      <c r="A3263" s="21"/>
      <c r="B3263" t="s">
        <v>207</v>
      </c>
      <c r="C3263" t="s">
        <v>3344</v>
      </c>
      <c r="D3263" t="s">
        <v>3345</v>
      </c>
      <c r="F3263" s="1">
        <v>45889</v>
      </c>
      <c r="G3263" t="str">
        <f>IF(Table3[[#This Row],[Top Parent Account]]="",Table3[[#This Row],[Account Legal Name]],Table3[[#This Row],[Top Parent Account]])</f>
        <v>Decorados y Satinados Mexicanos</v>
      </c>
      <c r="H3263" s="1"/>
    </row>
    <row r="3264" spans="1:8" x14ac:dyDescent="0.35">
      <c r="A3264" s="21"/>
      <c r="B3264" t="s">
        <v>24</v>
      </c>
      <c r="C3264" t="s">
        <v>6</v>
      </c>
      <c r="D3264" t="s">
        <v>3346</v>
      </c>
      <c r="F3264" s="1">
        <v>45889</v>
      </c>
      <c r="G3264" t="str">
        <f>IF(Table3[[#This Row],[Top Parent Account]]="",Table3[[#This Row],[Account Legal Name]],Table3[[#This Row],[Top Parent Account]])</f>
        <v>El Cid Vacations Club</v>
      </c>
      <c r="H3264" s="1"/>
    </row>
    <row r="3265" spans="1:8" x14ac:dyDescent="0.35">
      <c r="A3265" s="21"/>
      <c r="B3265" t="s">
        <v>77</v>
      </c>
      <c r="C3265" t="s">
        <v>6</v>
      </c>
      <c r="D3265" t="s">
        <v>696</v>
      </c>
      <c r="F3265" s="1">
        <v>45889</v>
      </c>
      <c r="G3265" t="str">
        <f>IF(Table3[[#This Row],[Top Parent Account]]="",Table3[[#This Row],[Account Legal Name]],Table3[[#This Row],[Top Parent Account]])</f>
        <v>Rancho Pecana Products</v>
      </c>
      <c r="H3265" s="1"/>
    </row>
    <row r="3266" spans="1:8" x14ac:dyDescent="0.35">
      <c r="A3266" s="21"/>
      <c r="B3266" t="s">
        <v>2309</v>
      </c>
      <c r="C3266" t="s">
        <v>3347</v>
      </c>
      <c r="D3266" t="s">
        <v>3348</v>
      </c>
      <c r="F3266" s="1">
        <v>45889</v>
      </c>
      <c r="G3266" t="str">
        <f>IF(Table3[[#This Row],[Top Parent Account]]="",Table3[[#This Row],[Account Legal Name]],Table3[[#This Row],[Top Parent Account]])</f>
        <v>Yukapioca</v>
      </c>
      <c r="H3266" s="1"/>
    </row>
    <row r="3267" spans="1:8" x14ac:dyDescent="0.35">
      <c r="A3267" s="21"/>
      <c r="B3267" t="s">
        <v>1899</v>
      </c>
      <c r="C3267" t="s">
        <v>6</v>
      </c>
      <c r="D3267" t="s">
        <v>2266</v>
      </c>
      <c r="F3267" s="1">
        <v>45889</v>
      </c>
      <c r="G3267" t="str">
        <f>IF(Table3[[#This Row],[Top Parent Account]]="",Table3[[#This Row],[Account Legal Name]],Table3[[#This Row],[Top Parent Account]])</f>
        <v>Industrias Dinamek</v>
      </c>
      <c r="H3267" s="1"/>
    </row>
    <row r="3268" spans="1:8" x14ac:dyDescent="0.35">
      <c r="A3268" s="21"/>
      <c r="B3268" t="s">
        <v>29</v>
      </c>
      <c r="C3268" t="s">
        <v>6</v>
      </c>
      <c r="D3268" t="s">
        <v>845</v>
      </c>
      <c r="F3268" s="1">
        <v>45889</v>
      </c>
      <c r="G3268" t="str">
        <f>IF(Table3[[#This Row],[Top Parent Account]]="",Table3[[#This Row],[Account Legal Name]],Table3[[#This Row],[Top Parent Account]])</f>
        <v>UNIVERSAL WIPES</v>
      </c>
      <c r="H3268" s="1"/>
    </row>
    <row r="3269" spans="1:8" x14ac:dyDescent="0.35">
      <c r="A3269" s="21"/>
      <c r="B3269" t="s">
        <v>739</v>
      </c>
      <c r="C3269" t="s">
        <v>6</v>
      </c>
      <c r="D3269" t="s">
        <v>3336</v>
      </c>
      <c r="F3269" s="1">
        <v>45889</v>
      </c>
      <c r="G3269" t="str">
        <f>IF(Table3[[#This Row],[Top Parent Account]]="",Table3[[#This Row],[Account Legal Name]],Table3[[#This Row],[Top Parent Account]])</f>
        <v>Destileria Los Danzantes</v>
      </c>
      <c r="H3269" s="1"/>
    </row>
    <row r="3270" spans="1:8" x14ac:dyDescent="0.35">
      <c r="A3270" s="21"/>
      <c r="B3270" t="s">
        <v>2693</v>
      </c>
      <c r="C3270" t="s">
        <v>6</v>
      </c>
      <c r="D3270" t="s">
        <v>3349</v>
      </c>
      <c r="F3270" s="1">
        <v>45889</v>
      </c>
      <c r="G3270" t="str">
        <f>IF(Table3[[#This Row],[Top Parent Account]]="",Table3[[#This Row],[Account Legal Name]],Table3[[#This Row],[Top Parent Account]])</f>
        <v>Industrialización de Maderas Santa María Coyotepec</v>
      </c>
      <c r="H3270" s="1"/>
    </row>
    <row r="3271" spans="1:8" x14ac:dyDescent="0.35">
      <c r="A3271" s="21"/>
      <c r="B3271" t="s">
        <v>932</v>
      </c>
      <c r="C3271" t="s">
        <v>6</v>
      </c>
      <c r="D3271" t="s">
        <v>3350</v>
      </c>
      <c r="F3271" s="1">
        <v>45888</v>
      </c>
      <c r="G3271" t="str">
        <f>IF(Table3[[#This Row],[Top Parent Account]]="",Table3[[#This Row],[Account Legal Name]],Table3[[#This Row],[Top Parent Account]])</f>
        <v>ELITE SOLUCIONES DE INFRAESTRUCTURA ELECTRICA Y SUBESTACIONES</v>
      </c>
      <c r="H3271" s="1"/>
    </row>
    <row r="3272" spans="1:8" x14ac:dyDescent="0.35">
      <c r="A3272" s="21"/>
      <c r="B3272" t="s">
        <v>25</v>
      </c>
      <c r="C3272" t="s">
        <v>6</v>
      </c>
      <c r="D3272" t="s">
        <v>3101</v>
      </c>
      <c r="F3272" s="1">
        <v>45888</v>
      </c>
      <c r="G3272" t="str">
        <f>IF(Table3[[#This Row],[Top Parent Account]]="",Table3[[#This Row],[Account Legal Name]],Table3[[#This Row],[Top Parent Account]])</f>
        <v>SAJITEX</v>
      </c>
      <c r="H3272" s="1"/>
    </row>
    <row r="3273" spans="1:8" x14ac:dyDescent="0.35">
      <c r="A3273" s="21"/>
      <c r="B3273" t="s">
        <v>2884</v>
      </c>
      <c r="C3273" t="s">
        <v>6</v>
      </c>
      <c r="D3273" t="s">
        <v>3351</v>
      </c>
      <c r="E3273" t="s">
        <v>3352</v>
      </c>
      <c r="F3273" s="1">
        <v>45888</v>
      </c>
      <c r="G3273" t="str">
        <f>IF(Table3[[#This Row],[Top Parent Account]]="",Table3[[#This Row],[Account Legal Name]],Table3[[#This Row],[Top Parent Account]])</f>
        <v>Mobility Holdco</v>
      </c>
      <c r="H3273" s="1"/>
    </row>
    <row r="3274" spans="1:8" x14ac:dyDescent="0.35">
      <c r="A3274" s="21"/>
      <c r="B3274" t="s">
        <v>29</v>
      </c>
      <c r="C3274" t="s">
        <v>6</v>
      </c>
      <c r="D3274" t="s">
        <v>849</v>
      </c>
      <c r="F3274" s="1">
        <v>45888</v>
      </c>
      <c r="G3274" t="str">
        <f>IF(Table3[[#This Row],[Top Parent Account]]="",Table3[[#This Row],[Account Legal Name]],Table3[[#This Row],[Top Parent Account]])</f>
        <v>Grupo Plastikrom</v>
      </c>
      <c r="H3274" s="1"/>
    </row>
    <row r="3275" spans="1:8" x14ac:dyDescent="0.35">
      <c r="A3275" s="21"/>
      <c r="B3275" t="s">
        <v>23</v>
      </c>
      <c r="C3275" t="s">
        <v>6</v>
      </c>
      <c r="D3275" t="s">
        <v>3353</v>
      </c>
      <c r="F3275" s="1">
        <v>45888</v>
      </c>
      <c r="G3275" t="str">
        <f>IF(Table3[[#This Row],[Top Parent Account]]="",Table3[[#This Row],[Account Legal Name]],Table3[[#This Row],[Top Parent Account]])</f>
        <v>Guerrero Azteca</v>
      </c>
      <c r="H3275" s="1"/>
    </row>
    <row r="3276" spans="1:8" x14ac:dyDescent="0.35">
      <c r="A3276" s="21"/>
      <c r="B3276" t="s">
        <v>77</v>
      </c>
      <c r="C3276" t="s">
        <v>6</v>
      </c>
      <c r="D3276" t="s">
        <v>2056</v>
      </c>
      <c r="F3276" s="1">
        <v>45888</v>
      </c>
      <c r="G3276" t="str">
        <f>IF(Table3[[#This Row],[Top Parent Account]]="",Table3[[#This Row],[Account Legal Name]],Table3[[#This Row],[Top Parent Account]])</f>
        <v>PICK-ONE</v>
      </c>
      <c r="H3276" s="1"/>
    </row>
    <row r="3277" spans="1:8" x14ac:dyDescent="0.35">
      <c r="A3277" s="21"/>
      <c r="B3277" t="s">
        <v>172</v>
      </c>
      <c r="C3277" t="s">
        <v>6</v>
      </c>
      <c r="D3277" t="s">
        <v>3354</v>
      </c>
      <c r="F3277" s="1">
        <v>45888</v>
      </c>
      <c r="G3277" t="str">
        <f>IF(Table3[[#This Row],[Top Parent Account]]="",Table3[[#This Row],[Account Legal Name]],Table3[[#This Row],[Top Parent Account]])</f>
        <v>Printel</v>
      </c>
      <c r="H3277" s="1"/>
    </row>
    <row r="3278" spans="1:8" x14ac:dyDescent="0.35">
      <c r="A3278" s="21"/>
      <c r="B3278" t="s">
        <v>78</v>
      </c>
      <c r="C3278" t="s">
        <v>6</v>
      </c>
      <c r="D3278" t="s">
        <v>3355</v>
      </c>
      <c r="F3278" s="1">
        <v>45888</v>
      </c>
      <c r="G3278" t="str">
        <f>IF(Table3[[#This Row],[Top Parent Account]]="",Table3[[#This Row],[Account Legal Name]],Table3[[#This Row],[Top Parent Account]])</f>
        <v>ANGEL JIMENEZ DE LA CRUZ</v>
      </c>
      <c r="H3278" s="1"/>
    </row>
    <row r="3279" spans="1:8" x14ac:dyDescent="0.35">
      <c r="A3279" s="21"/>
      <c r="B3279" t="s">
        <v>14</v>
      </c>
      <c r="C3279" t="s">
        <v>6</v>
      </c>
      <c r="D3279" t="s">
        <v>3356</v>
      </c>
      <c r="F3279" s="1">
        <v>45888</v>
      </c>
      <c r="G3279" t="str">
        <f>IF(Table3[[#This Row],[Top Parent Account]]="",Table3[[#This Row],[Account Legal Name]],Table3[[#This Row],[Top Parent Account]])</f>
        <v>Roberto Ambriz García</v>
      </c>
      <c r="H3279" s="1"/>
    </row>
    <row r="3280" spans="1:8" x14ac:dyDescent="0.35">
      <c r="A3280" s="21"/>
      <c r="B3280" t="s">
        <v>589</v>
      </c>
      <c r="C3280" t="s">
        <v>6</v>
      </c>
      <c r="D3280" t="s">
        <v>3357</v>
      </c>
      <c r="F3280" s="1">
        <v>45888</v>
      </c>
      <c r="G3280" t="str">
        <f>IF(Table3[[#This Row],[Top Parent Account]]="",Table3[[#This Row],[Account Legal Name]],Table3[[#This Row],[Top Parent Account]])</f>
        <v>4 Soluciones en Construcción</v>
      </c>
      <c r="H3280" s="1"/>
    </row>
    <row r="3281" spans="1:8" x14ac:dyDescent="0.35">
      <c r="A3281" s="21"/>
      <c r="B3281" t="s">
        <v>121</v>
      </c>
      <c r="C3281" t="s">
        <v>6</v>
      </c>
      <c r="D3281" t="s">
        <v>746</v>
      </c>
      <c r="F3281" s="1">
        <v>45888</v>
      </c>
      <c r="G3281" t="str">
        <f>IF(Table3[[#This Row],[Top Parent Account]]="",Table3[[#This Row],[Account Legal Name]],Table3[[#This Row],[Top Parent Account]])</f>
        <v>Ambienta Tus Momentos</v>
      </c>
      <c r="H3281" s="1"/>
    </row>
    <row r="3282" spans="1:8" x14ac:dyDescent="0.35">
      <c r="A3282" s="21"/>
      <c r="B3282" t="s">
        <v>21</v>
      </c>
      <c r="C3282" t="s">
        <v>6</v>
      </c>
      <c r="D3282" t="s">
        <v>3360</v>
      </c>
      <c r="E3282" t="s">
        <v>1202</v>
      </c>
      <c r="F3282" s="1">
        <v>45888</v>
      </c>
      <c r="G3282" t="str">
        <f>IF(Table3[[#This Row],[Top Parent Account]]="",Table3[[#This Row],[Account Legal Name]],Table3[[#This Row],[Top Parent Account]])</f>
        <v>Grupo las Américas</v>
      </c>
      <c r="H3282" s="1"/>
    </row>
    <row r="3283" spans="1:8" x14ac:dyDescent="0.35">
      <c r="A3283" s="21"/>
      <c r="B3283" t="s">
        <v>88</v>
      </c>
      <c r="C3283" t="s">
        <v>22</v>
      </c>
      <c r="D3283" t="s">
        <v>3358</v>
      </c>
      <c r="F3283" s="1">
        <v>45888</v>
      </c>
      <c r="G3283" t="str">
        <f>IF(Table3[[#This Row],[Top Parent Account]]="",Table3[[#This Row],[Account Legal Name]],Table3[[#This Row],[Top Parent Account]])</f>
        <v>Servicios Medicos Bmg</v>
      </c>
      <c r="H3283" s="1"/>
    </row>
    <row r="3284" spans="1:8" x14ac:dyDescent="0.35">
      <c r="A3284" s="21"/>
      <c r="B3284" t="s">
        <v>14</v>
      </c>
      <c r="C3284" t="s">
        <v>6</v>
      </c>
      <c r="D3284" t="s">
        <v>3359</v>
      </c>
      <c r="F3284" s="1">
        <v>45888</v>
      </c>
      <c r="G3284" t="str">
        <f>IF(Table3[[#This Row],[Top Parent Account]]="",Table3[[#This Row],[Account Legal Name]],Table3[[#This Row],[Top Parent Account]])</f>
        <v>Dasavena Gourmet</v>
      </c>
      <c r="H3284" s="1"/>
    </row>
    <row r="3285" spans="1:8" x14ac:dyDescent="0.35">
      <c r="A3285" s="21"/>
      <c r="B3285" t="s">
        <v>589</v>
      </c>
      <c r="C3285" t="s">
        <v>6</v>
      </c>
      <c r="D3285" t="s">
        <v>2181</v>
      </c>
      <c r="F3285" s="1">
        <v>45888</v>
      </c>
      <c r="G3285" t="str">
        <f>IF(Table3[[#This Row],[Top Parent Account]]="",Table3[[#This Row],[Account Legal Name]],Table3[[#This Row],[Top Parent Account]])</f>
        <v>Logistorage</v>
      </c>
      <c r="H3285" s="1"/>
    </row>
    <row r="3286" spans="1:8" x14ac:dyDescent="0.35">
      <c r="A3286" s="21"/>
      <c r="B3286" t="s">
        <v>1643</v>
      </c>
      <c r="C3286" t="s">
        <v>6</v>
      </c>
      <c r="D3286" t="s">
        <v>1748</v>
      </c>
      <c r="F3286" s="1">
        <v>45888</v>
      </c>
      <c r="G3286" t="str">
        <f>IF(Table3[[#This Row],[Top Parent Account]]="",Table3[[#This Row],[Account Legal Name]],Table3[[#This Row],[Top Parent Account]])</f>
        <v>RECUPERACIONES INDUSTRIALES INTERNACIONALES</v>
      </c>
      <c r="H3286" s="1"/>
    </row>
    <row r="3287" spans="1:8" x14ac:dyDescent="0.35">
      <c r="A3287" s="21"/>
      <c r="B3287" t="s">
        <v>26</v>
      </c>
      <c r="C3287" t="s">
        <v>6</v>
      </c>
      <c r="D3287" t="s">
        <v>3361</v>
      </c>
      <c r="F3287" s="1">
        <v>45888</v>
      </c>
      <c r="G3287" t="str">
        <f>IF(Table3[[#This Row],[Top Parent Account]]="",Table3[[#This Row],[Account Legal Name]],Table3[[#This Row],[Top Parent Account]])</f>
        <v>Movimientos Terrestres De Carga</v>
      </c>
      <c r="H3287" s="1"/>
    </row>
    <row r="3288" spans="1:8" x14ac:dyDescent="0.35">
      <c r="A3288" s="21"/>
      <c r="B3288" t="s">
        <v>1643</v>
      </c>
      <c r="C3288" t="s">
        <v>6</v>
      </c>
      <c r="D3288" t="s">
        <v>3366</v>
      </c>
      <c r="E3288" t="s">
        <v>2158</v>
      </c>
      <c r="F3288" s="1">
        <v>45888</v>
      </c>
      <c r="G3288" t="str">
        <f>IF(Table3[[#This Row],[Top Parent Account]]="",Table3[[#This Row],[Account Legal Name]],Table3[[#This Row],[Top Parent Account]])</f>
        <v>Regio Gas</v>
      </c>
      <c r="H3288" s="1"/>
    </row>
    <row r="3289" spans="1:8" x14ac:dyDescent="0.35">
      <c r="A3289" s="21"/>
      <c r="B3289" t="s">
        <v>26</v>
      </c>
      <c r="C3289" t="s">
        <v>6</v>
      </c>
      <c r="D3289" t="s">
        <v>3367</v>
      </c>
      <c r="E3289" t="s">
        <v>90</v>
      </c>
      <c r="F3289" s="1">
        <v>45888</v>
      </c>
      <c r="G3289" t="str">
        <f>IF(Table3[[#This Row],[Top Parent Account]]="",Table3[[#This Row],[Account Legal Name]],Table3[[#This Row],[Top Parent Account]])</f>
        <v>Plesa Anahuac</v>
      </c>
      <c r="H3289" s="1"/>
    </row>
    <row r="3290" spans="1:8" x14ac:dyDescent="0.35">
      <c r="A3290" s="21"/>
      <c r="B3290" t="s">
        <v>88</v>
      </c>
      <c r="C3290" t="s">
        <v>6</v>
      </c>
      <c r="D3290" t="s">
        <v>3362</v>
      </c>
      <c r="F3290" s="1">
        <v>45888</v>
      </c>
      <c r="G3290" t="str">
        <f>IF(Table3[[#This Row],[Top Parent Account]]="",Table3[[#This Row],[Account Legal Name]],Table3[[#This Row],[Top Parent Account]])</f>
        <v>Distribuidora Zinacantán</v>
      </c>
      <c r="H3290" s="1"/>
    </row>
    <row r="3291" spans="1:8" x14ac:dyDescent="0.35">
      <c r="A3291" s="21"/>
      <c r="B3291" t="s">
        <v>77</v>
      </c>
      <c r="C3291" t="s">
        <v>6</v>
      </c>
      <c r="D3291" t="s">
        <v>3162</v>
      </c>
      <c r="F3291" s="1">
        <v>45888</v>
      </c>
      <c r="G3291" t="str">
        <f>IF(Table3[[#This Row],[Top Parent Account]]="",Table3[[#This Row],[Account Legal Name]],Table3[[#This Row],[Top Parent Account]])</f>
        <v>JP CONVEYORS</v>
      </c>
      <c r="H3291" s="1"/>
    </row>
    <row r="3292" spans="1:8" x14ac:dyDescent="0.35">
      <c r="A3292" s="21"/>
      <c r="B3292" t="s">
        <v>169</v>
      </c>
      <c r="C3292" t="s">
        <v>6</v>
      </c>
      <c r="D3292" t="s">
        <v>3364</v>
      </c>
      <c r="F3292" s="1">
        <v>45888</v>
      </c>
      <c r="G3292" t="str">
        <f>IF(Table3[[#This Row],[Top Parent Account]]="",Table3[[#This Row],[Account Legal Name]],Table3[[#This Row],[Top Parent Account]])</f>
        <v>INDUSTRIAS PLASTICAS MAGICA</v>
      </c>
      <c r="H3292" s="1"/>
    </row>
    <row r="3293" spans="1:8" x14ac:dyDescent="0.35">
      <c r="A3293" s="21"/>
      <c r="B3293" t="s">
        <v>2345</v>
      </c>
      <c r="C3293" t="s">
        <v>6</v>
      </c>
      <c r="D3293" t="s">
        <v>3363</v>
      </c>
      <c r="F3293" s="1">
        <v>45888</v>
      </c>
      <c r="G3293" t="str">
        <f>IF(Table3[[#This Row],[Top Parent Account]]="",Table3[[#This Row],[Account Legal Name]],Table3[[#This Row],[Top Parent Account]])</f>
        <v>Plásticos Uribe</v>
      </c>
      <c r="H3293" s="1"/>
    </row>
    <row r="3294" spans="1:8" x14ac:dyDescent="0.35">
      <c r="A3294" s="21"/>
      <c r="B3294" t="s">
        <v>26</v>
      </c>
      <c r="C3294" t="s">
        <v>6</v>
      </c>
      <c r="D3294" t="s">
        <v>3365</v>
      </c>
      <c r="F3294" s="1">
        <v>45888</v>
      </c>
      <c r="G3294" t="str">
        <f>IF(Table3[[#This Row],[Top Parent Account]]="",Table3[[#This Row],[Account Legal Name]],Table3[[#This Row],[Top Parent Account]])</f>
        <v>Hendek Cimentación</v>
      </c>
      <c r="H3294" s="1"/>
    </row>
    <row r="3295" spans="1:8" x14ac:dyDescent="0.35">
      <c r="A3295" s="21"/>
      <c r="B3295" t="s">
        <v>78</v>
      </c>
      <c r="C3295" t="s">
        <v>6</v>
      </c>
      <c r="D3295" t="s">
        <v>2132</v>
      </c>
      <c r="F3295" s="1">
        <v>45888</v>
      </c>
      <c r="G3295" t="str">
        <f>IF(Table3[[#This Row],[Top Parent Account]]="",Table3[[#This Row],[Account Legal Name]],Table3[[#This Row],[Top Parent Account]])</f>
        <v>Driller Cimentaciones</v>
      </c>
      <c r="H3295" s="1"/>
    </row>
    <row r="3296" spans="1:8" x14ac:dyDescent="0.35">
      <c r="A3296" s="21"/>
      <c r="B3296" t="s">
        <v>11</v>
      </c>
      <c r="C3296" t="s">
        <v>6</v>
      </c>
      <c r="D3296" t="s">
        <v>98</v>
      </c>
      <c r="F3296" s="1">
        <v>45888</v>
      </c>
      <c r="G3296" t="str">
        <f>IF(Table3[[#This Row],[Top Parent Account]]="",Table3[[#This Row],[Account Legal Name]],Table3[[#This Row],[Top Parent Account]])</f>
        <v>Grupo Papelero Gabor</v>
      </c>
      <c r="H3296" s="1"/>
    </row>
    <row r="3297" spans="1:8" x14ac:dyDescent="0.35">
      <c r="A3297" s="21"/>
      <c r="B3297" t="s">
        <v>39</v>
      </c>
      <c r="C3297" t="s">
        <v>3368</v>
      </c>
      <c r="D3297" t="s">
        <v>794</v>
      </c>
      <c r="F3297" s="1">
        <v>45888</v>
      </c>
      <c r="G3297" t="str">
        <f>IF(Table3[[#This Row],[Top Parent Account]]="",Table3[[#This Row],[Account Legal Name]],Table3[[#This Row],[Top Parent Account]])</f>
        <v>Granjas Avicolas Rancho Grande</v>
      </c>
      <c r="H3297" s="1"/>
    </row>
    <row r="3298" spans="1:8" x14ac:dyDescent="0.35">
      <c r="A3298" s="21"/>
      <c r="B3298" t="s">
        <v>88</v>
      </c>
      <c r="C3298" t="s">
        <v>6</v>
      </c>
      <c r="D3298" t="s">
        <v>3369</v>
      </c>
      <c r="F3298" s="1">
        <v>45888</v>
      </c>
      <c r="G3298" t="str">
        <f>IF(Table3[[#This Row],[Top Parent Account]]="",Table3[[#This Row],[Account Legal Name]],Table3[[#This Row],[Top Parent Account]])</f>
        <v>GRUPO GILBERT CONCEPTOS ESTRUCTURALES</v>
      </c>
      <c r="H3298" s="1"/>
    </row>
    <row r="3299" spans="1:8" x14ac:dyDescent="0.35">
      <c r="A3299" s="21"/>
      <c r="B3299" t="s">
        <v>1006</v>
      </c>
      <c r="C3299" t="s">
        <v>6</v>
      </c>
      <c r="D3299" t="s">
        <v>824</v>
      </c>
      <c r="E3299" t="s">
        <v>817</v>
      </c>
      <c r="F3299" s="1">
        <v>45888</v>
      </c>
      <c r="G3299" t="str">
        <f>IF(Table3[[#This Row],[Top Parent Account]]="",Table3[[#This Row],[Account Legal Name]],Table3[[#This Row],[Top Parent Account]])</f>
        <v>GRUPO CIMA</v>
      </c>
      <c r="H3299" s="1"/>
    </row>
    <row r="3300" spans="1:8" x14ac:dyDescent="0.35">
      <c r="A3300" s="21"/>
      <c r="B3300" t="s">
        <v>29</v>
      </c>
      <c r="C3300" t="s">
        <v>6</v>
      </c>
      <c r="D3300" t="s">
        <v>3370</v>
      </c>
      <c r="F3300" s="1">
        <v>45887</v>
      </c>
      <c r="G3300" t="str">
        <f>IF(Table3[[#This Row],[Top Parent Account]]="",Table3[[#This Row],[Account Legal Name]],Table3[[#This Row],[Top Parent Account]])</f>
        <v>Etiquetas Jalisco</v>
      </c>
      <c r="H3300" s="1"/>
    </row>
    <row r="3301" spans="1:8" x14ac:dyDescent="0.35">
      <c r="A3301" s="21"/>
      <c r="B3301" t="s">
        <v>2658</v>
      </c>
      <c r="C3301" t="s">
        <v>6</v>
      </c>
      <c r="D3301" t="s">
        <v>982</v>
      </c>
      <c r="F3301" s="1">
        <v>45887</v>
      </c>
      <c r="G3301" t="str">
        <f>IF(Table3[[#This Row],[Top Parent Account]]="",Table3[[#This Row],[Account Legal Name]],Table3[[#This Row],[Top Parent Account]])</f>
        <v>Bulkmatic de México</v>
      </c>
      <c r="H3301" s="1"/>
    </row>
    <row r="3302" spans="1:8" x14ac:dyDescent="0.35">
      <c r="A3302" s="21"/>
      <c r="B3302" t="s">
        <v>78</v>
      </c>
      <c r="C3302" t="s">
        <v>6</v>
      </c>
      <c r="D3302" t="s">
        <v>2517</v>
      </c>
      <c r="F3302" s="1">
        <v>45887</v>
      </c>
      <c r="G3302" t="str">
        <f>IF(Table3[[#This Row],[Top Parent Account]]="",Table3[[#This Row],[Account Legal Name]],Table3[[#This Row],[Top Parent Account]])</f>
        <v>ACMI MEXICO</v>
      </c>
      <c r="H3302" s="1"/>
    </row>
    <row r="3303" spans="1:8" x14ac:dyDescent="0.35">
      <c r="A3303" s="21"/>
      <c r="B3303" t="s">
        <v>3092</v>
      </c>
      <c r="C3303" t="s">
        <v>22</v>
      </c>
      <c r="D3303" t="s">
        <v>3106</v>
      </c>
      <c r="F3303" s="1">
        <v>45887</v>
      </c>
      <c r="G3303" t="str">
        <f>IF(Table3[[#This Row],[Top Parent Account]]="",Table3[[#This Row],[Account Legal Name]],Table3[[#This Row],[Top Parent Account]])</f>
        <v>Servicios de Anuncios Publicitarios</v>
      </c>
      <c r="H3303" s="1"/>
    </row>
    <row r="3304" spans="1:8" x14ac:dyDescent="0.35">
      <c r="A3304" s="21"/>
      <c r="B3304" t="s">
        <v>29</v>
      </c>
      <c r="C3304" t="s">
        <v>6</v>
      </c>
      <c r="D3304" t="s">
        <v>273</v>
      </c>
      <c r="F3304" s="1">
        <v>45887</v>
      </c>
      <c r="G3304" t="str">
        <f>IF(Table3[[#This Row],[Top Parent Account]]="",Table3[[#This Row],[Account Legal Name]],Table3[[#This Row],[Top Parent Account]])</f>
        <v>Exportadora de Postes GDL</v>
      </c>
      <c r="H3304" s="1"/>
    </row>
    <row r="3305" spans="1:8" x14ac:dyDescent="0.35">
      <c r="A3305" s="21"/>
      <c r="B3305" t="s">
        <v>925</v>
      </c>
      <c r="C3305" t="s">
        <v>6</v>
      </c>
      <c r="D3305" t="s">
        <v>2957</v>
      </c>
      <c r="F3305" s="1">
        <v>45887</v>
      </c>
      <c r="G3305" t="str">
        <f>IF(Table3[[#This Row],[Top Parent Account]]="",Table3[[#This Row],[Account Legal Name]],Table3[[#This Row],[Top Parent Account]])</f>
        <v>Somaki de México</v>
      </c>
      <c r="H3305" s="1"/>
    </row>
    <row r="3306" spans="1:8" x14ac:dyDescent="0.35">
      <c r="A3306" s="21"/>
      <c r="B3306" t="s">
        <v>121</v>
      </c>
      <c r="C3306" t="s">
        <v>6</v>
      </c>
      <c r="D3306" t="s">
        <v>3371</v>
      </c>
      <c r="F3306" s="1">
        <v>45887</v>
      </c>
      <c r="G3306" t="str">
        <f>IF(Table3[[#This Row],[Top Parent Account]]="",Table3[[#This Row],[Account Legal Name]],Table3[[#This Row],[Top Parent Account]])</f>
        <v>Picalsa</v>
      </c>
      <c r="H3306" s="1"/>
    </row>
    <row r="3307" spans="1:8" x14ac:dyDescent="0.35">
      <c r="A3307" s="21"/>
      <c r="B3307" t="s">
        <v>14</v>
      </c>
      <c r="C3307" t="s">
        <v>6</v>
      </c>
      <c r="D3307" t="s">
        <v>2047</v>
      </c>
      <c r="F3307" s="1">
        <v>45887</v>
      </c>
      <c r="G3307" t="str">
        <f>IF(Table3[[#This Row],[Top Parent Account]]="",Table3[[#This Row],[Account Legal Name]],Table3[[#This Row],[Top Parent Account]])</f>
        <v>Grupo Aldaramiz</v>
      </c>
      <c r="H3307" s="1"/>
    </row>
    <row r="3308" spans="1:8" x14ac:dyDescent="0.35">
      <c r="A3308" s="21"/>
      <c r="B3308" t="s">
        <v>10</v>
      </c>
      <c r="C3308" t="s">
        <v>6</v>
      </c>
      <c r="D3308" t="s">
        <v>410</v>
      </c>
      <c r="F3308" s="1">
        <v>45887</v>
      </c>
      <c r="G3308" t="str">
        <f>IF(Table3[[#This Row],[Top Parent Account]]="",Table3[[#This Row],[Account Legal Name]],Table3[[#This Row],[Top Parent Account]])</f>
        <v>CORPORATIVO SERYSI</v>
      </c>
      <c r="H3308" s="1"/>
    </row>
    <row r="3309" spans="1:8" x14ac:dyDescent="0.35">
      <c r="A3309" s="21"/>
      <c r="B3309" t="s">
        <v>70</v>
      </c>
      <c r="C3309" t="s">
        <v>6</v>
      </c>
      <c r="D3309" t="s">
        <v>3372</v>
      </c>
      <c r="F3309" s="1">
        <v>45887</v>
      </c>
      <c r="G3309" t="str">
        <f>IF(Table3[[#This Row],[Top Parent Account]]="",Table3[[#This Row],[Account Legal Name]],Table3[[#This Row],[Top Parent Account]])</f>
        <v>Inmobiliaria Canels</v>
      </c>
      <c r="H3309" s="1"/>
    </row>
    <row r="3310" spans="1:8" x14ac:dyDescent="0.35">
      <c r="A3310" s="21"/>
      <c r="B3310" t="s">
        <v>88</v>
      </c>
      <c r="C3310" t="s">
        <v>6</v>
      </c>
      <c r="D3310" t="s">
        <v>3373</v>
      </c>
      <c r="F3310" s="1">
        <v>45887</v>
      </c>
      <c r="G3310" t="str">
        <f>IF(Table3[[#This Row],[Top Parent Account]]="",Table3[[#This Row],[Account Legal Name]],Table3[[#This Row],[Top Parent Account]])</f>
        <v>Beatriz García Ortega</v>
      </c>
      <c r="H3310" s="1"/>
    </row>
    <row r="3311" spans="1:8" x14ac:dyDescent="0.35">
      <c r="A3311" s="21"/>
      <c r="B3311" t="s">
        <v>7</v>
      </c>
      <c r="C3311" t="s">
        <v>6</v>
      </c>
      <c r="D3311" t="s">
        <v>3374</v>
      </c>
      <c r="F3311" s="1">
        <v>45887</v>
      </c>
      <c r="G3311" t="str">
        <f>IF(Table3[[#This Row],[Top Parent Account]]="",Table3[[#This Row],[Account Legal Name]],Table3[[#This Row],[Top Parent Account]])</f>
        <v>Siem Ingenieria</v>
      </c>
      <c r="H3311" s="1"/>
    </row>
    <row r="3312" spans="1:8" x14ac:dyDescent="0.35">
      <c r="A3312" s="21"/>
      <c r="B3312" t="s">
        <v>25</v>
      </c>
      <c r="C3312" t="s">
        <v>6</v>
      </c>
      <c r="D3312" t="s">
        <v>3375</v>
      </c>
      <c r="F3312" s="1">
        <v>45887</v>
      </c>
      <c r="G3312" t="str">
        <f>IF(Table3[[#This Row],[Top Parent Account]]="",Table3[[#This Row],[Account Legal Name]],Table3[[#This Row],[Top Parent Account]])</f>
        <v>Prodegal</v>
      </c>
      <c r="H3312" s="1"/>
    </row>
    <row r="3313" spans="1:8" x14ac:dyDescent="0.35">
      <c r="A3313" s="21"/>
      <c r="B3313" t="s">
        <v>969</v>
      </c>
      <c r="C3313" t="s">
        <v>6</v>
      </c>
      <c r="D3313" t="s">
        <v>3376</v>
      </c>
      <c r="F3313" s="1">
        <v>45887</v>
      </c>
      <c r="G3313" t="str">
        <f>IF(Table3[[#This Row],[Top Parent Account]]="",Table3[[#This Row],[Account Legal Name]],Table3[[#This Row],[Top Parent Account]])</f>
        <v>Acabados Jupiter</v>
      </c>
      <c r="H3313" s="1"/>
    </row>
    <row r="3314" spans="1:8" x14ac:dyDescent="0.35">
      <c r="A3314" s="21"/>
      <c r="B3314" t="s">
        <v>38</v>
      </c>
      <c r="C3314" t="s">
        <v>6</v>
      </c>
      <c r="D3314" t="s">
        <v>3109</v>
      </c>
      <c r="F3314" s="1">
        <v>45887</v>
      </c>
      <c r="G3314" t="str">
        <f>IF(Table3[[#This Row],[Top Parent Account]]="",Table3[[#This Row],[Account Legal Name]],Table3[[#This Row],[Top Parent Account]])</f>
        <v>Tres cg group</v>
      </c>
      <c r="H3314" s="1"/>
    </row>
    <row r="3315" spans="1:8" x14ac:dyDescent="0.35">
      <c r="A3315" s="21"/>
      <c r="B3315" t="s">
        <v>11</v>
      </c>
      <c r="C3315" t="s">
        <v>6</v>
      </c>
      <c r="D3315" t="s">
        <v>3377</v>
      </c>
      <c r="F3315" s="1">
        <v>45887</v>
      </c>
      <c r="G3315" t="str">
        <f>IF(Table3[[#This Row],[Top Parent Account]]="",Table3[[#This Row],[Account Legal Name]],Table3[[#This Row],[Top Parent Account]])</f>
        <v>Mexflex Logistics</v>
      </c>
      <c r="H3315" s="1"/>
    </row>
    <row r="3316" spans="1:8" x14ac:dyDescent="0.35">
      <c r="A3316" s="21"/>
      <c r="B3316" t="s">
        <v>969</v>
      </c>
      <c r="C3316" t="s">
        <v>6</v>
      </c>
      <c r="D3316" t="s">
        <v>3295</v>
      </c>
      <c r="F3316" s="1">
        <v>45887</v>
      </c>
      <c r="G3316" t="str">
        <f>IF(Table3[[#This Row],[Top Parent Account]]="",Table3[[#This Row],[Account Legal Name]],Table3[[#This Row],[Top Parent Account]])</f>
        <v>Armoring Group</v>
      </c>
      <c r="H3316" s="1"/>
    </row>
    <row r="3317" spans="1:8" x14ac:dyDescent="0.35">
      <c r="A3317" s="21"/>
      <c r="B3317" t="s">
        <v>2693</v>
      </c>
      <c r="C3317" t="s">
        <v>6</v>
      </c>
      <c r="D3317" t="s">
        <v>3378</v>
      </c>
      <c r="F3317" s="1">
        <v>45884</v>
      </c>
      <c r="G3317" t="str">
        <f>IF(Table3[[#This Row],[Top Parent Account]]="",Table3[[#This Row],[Account Legal Name]],Table3[[#This Row],[Top Parent Account]])</f>
        <v>CEMENTOS, ACEROS Y ACABADOS XOCHITL</v>
      </c>
      <c r="H3317" s="1"/>
    </row>
    <row r="3318" spans="1:8" x14ac:dyDescent="0.35">
      <c r="A3318" s="21"/>
      <c r="B3318" t="s">
        <v>2693</v>
      </c>
      <c r="C3318" t="s">
        <v>22</v>
      </c>
      <c r="D3318" t="s">
        <v>3378</v>
      </c>
      <c r="F3318" s="1">
        <v>45884</v>
      </c>
      <c r="G3318" t="str">
        <f>IF(Table3[[#This Row],[Top Parent Account]]="",Table3[[#This Row],[Account Legal Name]],Table3[[#This Row],[Top Parent Account]])</f>
        <v>CEMENTOS, ACEROS Y ACABADOS XOCHITL</v>
      </c>
      <c r="H3318" s="1"/>
    </row>
    <row r="3319" spans="1:8" x14ac:dyDescent="0.35">
      <c r="A3319" s="21"/>
      <c r="B3319" t="s">
        <v>26</v>
      </c>
      <c r="C3319" t="s">
        <v>6</v>
      </c>
      <c r="D3319" t="s">
        <v>3379</v>
      </c>
      <c r="F3319" s="1">
        <v>45884</v>
      </c>
      <c r="G3319" t="str">
        <f>IF(Table3[[#This Row],[Top Parent Account]]="",Table3[[#This Row],[Account Legal Name]],Table3[[#This Row],[Top Parent Account]])</f>
        <v>ALLAN CRUZ</v>
      </c>
      <c r="H3319" s="1"/>
    </row>
    <row r="3320" spans="1:8" x14ac:dyDescent="0.35">
      <c r="A3320" s="21"/>
      <c r="B3320" t="s">
        <v>2912</v>
      </c>
      <c r="C3320" t="s">
        <v>6</v>
      </c>
      <c r="D3320" t="s">
        <v>407</v>
      </c>
      <c r="F3320" s="1">
        <v>45884</v>
      </c>
      <c r="G3320" t="str">
        <f>IF(Table3[[#This Row],[Top Parent Account]]="",Table3[[#This Row],[Account Legal Name]],Table3[[#This Row],[Top Parent Account]])</f>
        <v>Frialsa</v>
      </c>
      <c r="H3320" s="1"/>
    </row>
    <row r="3321" spans="1:8" x14ac:dyDescent="0.35">
      <c r="A3321" s="21"/>
      <c r="B3321" t="s">
        <v>10</v>
      </c>
      <c r="C3321" t="s">
        <v>6</v>
      </c>
      <c r="D3321" t="s">
        <v>3380</v>
      </c>
      <c r="F3321" s="1">
        <v>45884</v>
      </c>
      <c r="G3321" t="str">
        <f>IF(Table3[[#This Row],[Top Parent Account]]="",Table3[[#This Row],[Account Legal Name]],Table3[[#This Row],[Top Parent Account]])</f>
        <v>Vitasanitas</v>
      </c>
      <c r="H3321" s="1"/>
    </row>
    <row r="3322" spans="1:8" x14ac:dyDescent="0.35">
      <c r="A3322" s="21"/>
      <c r="B3322" t="s">
        <v>28</v>
      </c>
      <c r="C3322" t="s">
        <v>6</v>
      </c>
      <c r="D3322" t="s">
        <v>3381</v>
      </c>
      <c r="F3322" s="1">
        <v>45884</v>
      </c>
      <c r="G3322" t="str">
        <f>IF(Table3[[#This Row],[Top Parent Account]]="",Table3[[#This Row],[Account Legal Name]],Table3[[#This Row],[Top Parent Account]])</f>
        <v>MINERA JAYNO</v>
      </c>
      <c r="H3322" s="1"/>
    </row>
    <row r="3323" spans="1:8" x14ac:dyDescent="0.35">
      <c r="A3323" s="21"/>
      <c r="B3323" t="s">
        <v>51</v>
      </c>
      <c r="C3323" t="s">
        <v>6</v>
      </c>
      <c r="D3323" t="s">
        <v>3382</v>
      </c>
      <c r="F3323" s="1">
        <v>45884</v>
      </c>
      <c r="G3323" t="str">
        <f>IF(Table3[[#This Row],[Top Parent Account]]="",Table3[[#This Row],[Account Legal Name]],Table3[[#This Row],[Top Parent Account]])</f>
        <v>Manlift Servicios</v>
      </c>
      <c r="H3323" s="1"/>
    </row>
    <row r="3324" spans="1:8" x14ac:dyDescent="0.35">
      <c r="A3324" s="21"/>
      <c r="B3324" t="s">
        <v>1899</v>
      </c>
      <c r="C3324" t="s">
        <v>6</v>
      </c>
      <c r="D3324" t="s">
        <v>3383</v>
      </c>
      <c r="F3324" s="1">
        <v>45884</v>
      </c>
      <c r="G3324" t="str">
        <f>IF(Table3[[#This Row],[Top Parent Account]]="",Table3[[#This Row],[Account Legal Name]],Table3[[#This Row],[Top Parent Account]])</f>
        <v>Segrove Agencia</v>
      </c>
      <c r="H3324" s="1"/>
    </row>
    <row r="3325" spans="1:8" x14ac:dyDescent="0.35">
      <c r="A3325" s="21"/>
      <c r="B3325" t="s">
        <v>989</v>
      </c>
      <c r="C3325" t="s">
        <v>6</v>
      </c>
      <c r="D3325" t="s">
        <v>3102</v>
      </c>
      <c r="F3325" s="1">
        <v>45884</v>
      </c>
      <c r="G3325" t="str">
        <f>IF(Table3[[#This Row],[Top Parent Account]]="",Table3[[#This Row],[Account Legal Name]],Table3[[#This Row],[Top Parent Account]])</f>
        <v>Enterprise Telecomm</v>
      </c>
      <c r="H3325" s="1"/>
    </row>
    <row r="3326" spans="1:8" x14ac:dyDescent="0.35">
      <c r="A3326" s="21"/>
      <c r="B3326" t="s">
        <v>10</v>
      </c>
      <c r="C3326" t="s">
        <v>6</v>
      </c>
      <c r="D3326" t="s">
        <v>1317</v>
      </c>
      <c r="F3326" s="1">
        <v>45884</v>
      </c>
      <c r="G3326" t="str">
        <f>IF(Table3[[#This Row],[Top Parent Account]]="",Table3[[#This Row],[Account Legal Name]],Table3[[#This Row],[Top Parent Account]])</f>
        <v>Laboratorios Pisa</v>
      </c>
      <c r="H3326" s="1"/>
    </row>
    <row r="3327" spans="1:8" x14ac:dyDescent="0.35">
      <c r="A3327" s="21"/>
      <c r="B3327" t="s">
        <v>121</v>
      </c>
      <c r="C3327" t="s">
        <v>6</v>
      </c>
      <c r="D3327" t="s">
        <v>3384</v>
      </c>
      <c r="F3327" s="1">
        <v>45884</v>
      </c>
      <c r="G3327" t="str">
        <f>IF(Table3[[#This Row],[Top Parent Account]]="",Table3[[#This Row],[Account Legal Name]],Table3[[#This Row],[Top Parent Account]])</f>
        <v>Marchesi Manufactring Mexico</v>
      </c>
      <c r="H3327" s="1"/>
    </row>
    <row r="3328" spans="1:8" x14ac:dyDescent="0.35">
      <c r="A3328" s="21"/>
      <c r="B3328" t="s">
        <v>10</v>
      </c>
      <c r="C3328" t="s">
        <v>6</v>
      </c>
      <c r="D3328" t="s">
        <v>481</v>
      </c>
      <c r="F3328" s="1">
        <v>45884</v>
      </c>
      <c r="G3328" t="str">
        <f>IF(Table3[[#This Row],[Top Parent Account]]="",Table3[[#This Row],[Account Legal Name]],Table3[[#This Row],[Top Parent Account]])</f>
        <v>Laboratorios Virbac México</v>
      </c>
      <c r="H3328" s="1"/>
    </row>
    <row r="3329" spans="1:8" x14ac:dyDescent="0.35">
      <c r="A3329" s="21"/>
      <c r="B3329" t="s">
        <v>21</v>
      </c>
      <c r="C3329" t="s">
        <v>6</v>
      </c>
      <c r="D3329" t="s">
        <v>3385</v>
      </c>
      <c r="F3329" s="1">
        <v>45884</v>
      </c>
      <c r="G3329" t="str">
        <f>IF(Table3[[#This Row],[Top Parent Account]]="",Table3[[#This Row],[Account Legal Name]],Table3[[#This Row],[Top Parent Account]])</f>
        <v>Gandara Bienes de Capital</v>
      </c>
      <c r="H3329" s="1"/>
    </row>
    <row r="3330" spans="1:8" x14ac:dyDescent="0.35">
      <c r="A3330" s="21"/>
      <c r="B3330" t="s">
        <v>84</v>
      </c>
      <c r="C3330" t="s">
        <v>243</v>
      </c>
      <c r="D3330" t="s">
        <v>3387</v>
      </c>
      <c r="E3330" t="s">
        <v>1026</v>
      </c>
      <c r="F3330" s="1">
        <v>45884</v>
      </c>
      <c r="G3330" t="str">
        <f>IF(Table3[[#This Row],[Top Parent Account]]="",Table3[[#This Row],[Account Legal Name]],Table3[[#This Row],[Top Parent Account]])</f>
        <v>Acumuladores Omega</v>
      </c>
      <c r="H3330" s="1"/>
    </row>
    <row r="3331" spans="1:8" x14ac:dyDescent="0.35">
      <c r="A3331" s="21"/>
      <c r="B3331" t="s">
        <v>739</v>
      </c>
      <c r="C3331" t="s">
        <v>6</v>
      </c>
      <c r="D3331" t="s">
        <v>3064</v>
      </c>
      <c r="F3331" s="1">
        <v>45884</v>
      </c>
      <c r="G3331" t="str">
        <f>IF(Table3[[#This Row],[Top Parent Account]]="",Table3[[#This Row],[Account Legal Name]],Table3[[#This Row],[Top Parent Account]])</f>
        <v>Grupo Julio</v>
      </c>
      <c r="H3331" s="1"/>
    </row>
    <row r="3332" spans="1:8" x14ac:dyDescent="0.35">
      <c r="A3332" s="21"/>
      <c r="B3332" t="s">
        <v>84</v>
      </c>
      <c r="C3332" t="s">
        <v>3386</v>
      </c>
      <c r="D3332" t="s">
        <v>1200</v>
      </c>
      <c r="F3332" s="1">
        <v>45884</v>
      </c>
      <c r="G3332" t="str">
        <f>IF(Table3[[#This Row],[Top Parent Account]]="",Table3[[#This Row],[Account Legal Name]],Table3[[#This Row],[Top Parent Account]])</f>
        <v>Especialidades Troqueladas</v>
      </c>
      <c r="H3332" s="1"/>
    </row>
    <row r="3333" spans="1:8" x14ac:dyDescent="0.35">
      <c r="A3333" s="21"/>
      <c r="B3333" t="s">
        <v>1643</v>
      </c>
      <c r="C3333" t="s">
        <v>22</v>
      </c>
      <c r="D3333" t="s">
        <v>2030</v>
      </c>
      <c r="F3333" s="1">
        <v>45884</v>
      </c>
      <c r="G3333" t="str">
        <f>IF(Table3[[#This Row],[Top Parent Account]]="",Table3[[#This Row],[Account Legal Name]],Table3[[#This Row],[Top Parent Account]])</f>
        <v>Trak Transportaciones</v>
      </c>
      <c r="H3333" s="1"/>
    </row>
    <row r="3334" spans="1:8" x14ac:dyDescent="0.35">
      <c r="A3334" s="21"/>
      <c r="B3334" t="s">
        <v>589</v>
      </c>
      <c r="C3334" t="s">
        <v>6</v>
      </c>
      <c r="D3334" t="s">
        <v>108</v>
      </c>
      <c r="F3334" s="1">
        <v>45884</v>
      </c>
      <c r="G3334" t="str">
        <f>IF(Table3[[#This Row],[Top Parent Account]]="",Table3[[#This Row],[Account Legal Name]],Table3[[#This Row],[Top Parent Account]])</f>
        <v>Mutualidad De Avicultores De Allende N.L.</v>
      </c>
      <c r="H3334" s="1"/>
    </row>
    <row r="3335" spans="1:8" x14ac:dyDescent="0.35">
      <c r="A3335" s="21"/>
      <c r="B3335" t="s">
        <v>23</v>
      </c>
      <c r="C3335" t="s">
        <v>6</v>
      </c>
      <c r="D3335" t="s">
        <v>3388</v>
      </c>
      <c r="F3335" s="1">
        <v>45883</v>
      </c>
      <c r="G3335" t="str">
        <f>IF(Table3[[#This Row],[Top Parent Account]]="",Table3[[#This Row],[Account Legal Name]],Table3[[#This Row],[Top Parent Account]])</f>
        <v>ARRENDA1</v>
      </c>
      <c r="H3335" s="1"/>
    </row>
    <row r="3336" spans="1:8" x14ac:dyDescent="0.35">
      <c r="A3336" s="21"/>
      <c r="B3336" t="s">
        <v>820</v>
      </c>
      <c r="C3336" t="s">
        <v>6</v>
      </c>
      <c r="D3336" t="s">
        <v>319</v>
      </c>
      <c r="F3336" s="1">
        <v>45883</v>
      </c>
      <c r="G3336" t="str">
        <f>IF(Table3[[#This Row],[Top Parent Account]]="",Table3[[#This Row],[Account Legal Name]],Table3[[#This Row],[Top Parent Account]])</f>
        <v>Aspid</v>
      </c>
      <c r="H3336" s="1"/>
    </row>
    <row r="3337" spans="1:8" x14ac:dyDescent="0.35">
      <c r="A3337" s="21"/>
      <c r="B3337" t="s">
        <v>24</v>
      </c>
      <c r="C3337" t="s">
        <v>6</v>
      </c>
      <c r="D3337" t="s">
        <v>3390</v>
      </c>
      <c r="F3337" s="1">
        <v>45883</v>
      </c>
      <c r="G3337" t="str">
        <f>IF(Table3[[#This Row],[Top Parent Account]]="",Table3[[#This Row],[Account Legal Name]],Table3[[#This Row],[Top Parent Account]])</f>
        <v>Fletes Tapatios</v>
      </c>
      <c r="H3337" s="1"/>
    </row>
    <row r="3338" spans="1:8" x14ac:dyDescent="0.35">
      <c r="A3338" s="21"/>
      <c r="B3338" t="s">
        <v>88</v>
      </c>
      <c r="C3338" t="s">
        <v>6</v>
      </c>
      <c r="D3338" t="s">
        <v>3391</v>
      </c>
      <c r="F3338" s="1">
        <v>45883</v>
      </c>
      <c r="G3338" t="str">
        <f>IF(Table3[[#This Row],[Top Parent Account]]="",Table3[[#This Row],[Account Legal Name]],Table3[[#This Row],[Top Parent Account]])</f>
        <v>Raul Romero Sanchez</v>
      </c>
      <c r="H3338" s="1"/>
    </row>
    <row r="3339" spans="1:8" x14ac:dyDescent="0.35">
      <c r="A3339" s="21"/>
      <c r="B3339" t="s">
        <v>932</v>
      </c>
      <c r="C3339" t="s">
        <v>1693</v>
      </c>
      <c r="D3339" t="s">
        <v>3389</v>
      </c>
      <c r="F3339" s="1">
        <v>45883</v>
      </c>
      <c r="G3339" t="str">
        <f>IF(Table3[[#This Row],[Top Parent Account]]="",Table3[[#This Row],[Account Legal Name]],Table3[[#This Row],[Top Parent Account]])</f>
        <v>Gunnebo México</v>
      </c>
      <c r="H3339" s="1"/>
    </row>
    <row r="3340" spans="1:8" x14ac:dyDescent="0.35">
      <c r="A3340" s="21"/>
      <c r="B3340" t="s">
        <v>77</v>
      </c>
      <c r="C3340" t="s">
        <v>6</v>
      </c>
      <c r="D3340" t="s">
        <v>3392</v>
      </c>
      <c r="F3340" s="1">
        <v>45883</v>
      </c>
      <c r="G3340" t="str">
        <f>IF(Table3[[#This Row],[Top Parent Account]]="",Table3[[#This Row],[Account Legal Name]],Table3[[#This Row],[Top Parent Account]])</f>
        <v>Marco Antonio González Valenzuela</v>
      </c>
      <c r="H3340" s="1"/>
    </row>
    <row r="3341" spans="1:8" x14ac:dyDescent="0.35">
      <c r="A3341" s="21"/>
      <c r="B3341" t="s">
        <v>969</v>
      </c>
      <c r="C3341" t="s">
        <v>6</v>
      </c>
      <c r="D3341" t="s">
        <v>809</v>
      </c>
      <c r="F3341" s="1">
        <v>45883</v>
      </c>
      <c r="G3341" t="str">
        <f>IF(Table3[[#This Row],[Top Parent Account]]="",Table3[[#This Row],[Account Legal Name]],Table3[[#This Row],[Top Parent Account]])</f>
        <v>Instapouch</v>
      </c>
      <c r="H3341" s="1"/>
    </row>
    <row r="3342" spans="1:8" x14ac:dyDescent="0.35">
      <c r="A3342" s="21"/>
      <c r="B3342" t="s">
        <v>23</v>
      </c>
      <c r="C3342" t="s">
        <v>6</v>
      </c>
      <c r="D3342" t="s">
        <v>3393</v>
      </c>
      <c r="F3342" s="1">
        <v>45883</v>
      </c>
      <c r="G3342" t="str">
        <f>IF(Table3[[#This Row],[Top Parent Account]]="",Table3[[#This Row],[Account Legal Name]],Table3[[#This Row],[Top Parent Account]])</f>
        <v>Sistemas Especializados de Diagnóstico</v>
      </c>
      <c r="H3342" s="1"/>
    </row>
    <row r="3343" spans="1:8" x14ac:dyDescent="0.35">
      <c r="A3343" s="21"/>
      <c r="B3343" t="s">
        <v>24</v>
      </c>
      <c r="C3343" t="s">
        <v>6</v>
      </c>
      <c r="D3343" t="s">
        <v>538</v>
      </c>
      <c r="F3343" s="1">
        <v>45883</v>
      </c>
      <c r="G3343" t="str">
        <f>IF(Table3[[#This Row],[Top Parent Account]]="",Table3[[#This Row],[Account Legal Name]],Table3[[#This Row],[Top Parent Account]])</f>
        <v>ARN de Occidente</v>
      </c>
      <c r="H3343" s="1"/>
    </row>
    <row r="3344" spans="1:8" x14ac:dyDescent="0.35">
      <c r="A3344" s="21"/>
      <c r="B3344" t="s">
        <v>28</v>
      </c>
      <c r="C3344" t="s">
        <v>6</v>
      </c>
      <c r="D3344" t="s">
        <v>650</v>
      </c>
      <c r="F3344" s="1">
        <v>45883</v>
      </c>
      <c r="G3344" t="str">
        <f>IF(Table3[[#This Row],[Top Parent Account]]="",Table3[[#This Row],[Account Legal Name]],Table3[[#This Row],[Top Parent Account]])</f>
        <v>GP MAQUID</v>
      </c>
      <c r="H3344" s="1"/>
    </row>
    <row r="3345" spans="1:8" x14ac:dyDescent="0.35">
      <c r="A3345" s="21"/>
      <c r="B3345" t="s">
        <v>1643</v>
      </c>
      <c r="C3345" t="s">
        <v>6</v>
      </c>
      <c r="D3345" t="s">
        <v>3237</v>
      </c>
      <c r="F3345" s="1">
        <v>45883</v>
      </c>
      <c r="G3345" t="str">
        <f>IF(Table3[[#This Row],[Top Parent Account]]="",Table3[[#This Row],[Account Legal Name]],Table3[[#This Row],[Top Parent Account]])</f>
        <v>Ranchacero</v>
      </c>
      <c r="H3345" s="1"/>
    </row>
    <row r="3346" spans="1:8" x14ac:dyDescent="0.35">
      <c r="A3346" s="21"/>
      <c r="B3346" t="s">
        <v>23</v>
      </c>
      <c r="C3346" t="s">
        <v>6</v>
      </c>
      <c r="D3346" t="s">
        <v>2897</v>
      </c>
      <c r="F3346" s="1">
        <v>45883</v>
      </c>
      <c r="G3346" t="str">
        <f>IF(Table3[[#This Row],[Top Parent Account]]="",Table3[[#This Row],[Account Legal Name]],Table3[[#This Row],[Top Parent Account]])</f>
        <v>Suministros Especializados en Manejo de Carga</v>
      </c>
      <c r="H3346" s="1"/>
    </row>
    <row r="3347" spans="1:8" x14ac:dyDescent="0.35">
      <c r="A3347" s="21"/>
      <c r="B3347" t="s">
        <v>14</v>
      </c>
      <c r="C3347" t="s">
        <v>6</v>
      </c>
      <c r="D3347" t="s">
        <v>3148</v>
      </c>
      <c r="F3347" s="1">
        <v>45883</v>
      </c>
      <c r="G3347" t="str">
        <f>IF(Table3[[#This Row],[Top Parent Account]]="",Table3[[#This Row],[Account Legal Name]],Table3[[#This Row],[Top Parent Account]])</f>
        <v>Recuperadora Metalera Jalisciense</v>
      </c>
      <c r="H3347" s="1"/>
    </row>
    <row r="3348" spans="1:8" x14ac:dyDescent="0.35">
      <c r="A3348" s="21"/>
      <c r="B3348" t="s">
        <v>38</v>
      </c>
      <c r="C3348" t="s">
        <v>6</v>
      </c>
      <c r="D3348" t="s">
        <v>505</v>
      </c>
      <c r="F3348" s="1">
        <v>45883</v>
      </c>
      <c r="G3348" t="str">
        <f>IF(Table3[[#This Row],[Top Parent Account]]="",Table3[[#This Row],[Account Legal Name]],Table3[[#This Row],[Top Parent Account]])</f>
        <v>Grupo Solave (Antes Mieles Campos Azules)</v>
      </c>
      <c r="H3348" s="1"/>
    </row>
    <row r="3349" spans="1:8" x14ac:dyDescent="0.35">
      <c r="A3349" s="21"/>
      <c r="B3349" t="s">
        <v>1511</v>
      </c>
      <c r="C3349" t="s">
        <v>6</v>
      </c>
      <c r="D3349" t="s">
        <v>3394</v>
      </c>
      <c r="F3349" s="1">
        <v>45883</v>
      </c>
      <c r="G3349" t="str">
        <f>IF(Table3[[#This Row],[Top Parent Account]]="",Table3[[#This Row],[Account Legal Name]],Table3[[#This Row],[Top Parent Account]])</f>
        <v>Energroup</v>
      </c>
      <c r="H3349" s="1"/>
    </row>
    <row r="3350" spans="1:8" x14ac:dyDescent="0.35">
      <c r="A3350" s="21"/>
      <c r="B3350" t="s">
        <v>169</v>
      </c>
      <c r="C3350" t="s">
        <v>6</v>
      </c>
      <c r="D3350" t="s">
        <v>840</v>
      </c>
      <c r="F3350" s="1">
        <v>45883</v>
      </c>
      <c r="G3350" t="str">
        <f>IF(Table3[[#This Row],[Top Parent Account]]="",Table3[[#This Row],[Account Legal Name]],Table3[[#This Row],[Top Parent Account]])</f>
        <v>Industrias Tuzagreen</v>
      </c>
      <c r="H3350" s="1"/>
    </row>
    <row r="3351" spans="1:8" x14ac:dyDescent="0.35">
      <c r="A3351" s="21"/>
      <c r="B3351" t="s">
        <v>38</v>
      </c>
      <c r="C3351" t="s">
        <v>6</v>
      </c>
      <c r="D3351" t="s">
        <v>512</v>
      </c>
      <c r="F3351" s="1">
        <v>45883</v>
      </c>
      <c r="G3351" t="str">
        <f>IF(Table3[[#This Row],[Top Parent Account]]="",Table3[[#This Row],[Account Legal Name]],Table3[[#This Row],[Top Parent Account]])</f>
        <v>Productos Pecuarios Especializados</v>
      </c>
      <c r="H3351" s="1"/>
    </row>
    <row r="3352" spans="1:8" x14ac:dyDescent="0.35">
      <c r="A3352" s="21"/>
      <c r="B3352" t="s">
        <v>11</v>
      </c>
      <c r="C3352" t="s">
        <v>6</v>
      </c>
      <c r="D3352" t="s">
        <v>3395</v>
      </c>
      <c r="F3352" s="1">
        <v>45883</v>
      </c>
      <c r="G3352" t="str">
        <f>IF(Table3[[#This Row],[Top Parent Account]]="",Table3[[#This Row],[Account Legal Name]],Table3[[#This Row],[Top Parent Account]])</f>
        <v>Newell Rubbermaid de México</v>
      </c>
      <c r="H3352" s="1"/>
    </row>
    <row r="3353" spans="1:8" x14ac:dyDescent="0.35">
      <c r="A3353" s="21"/>
      <c r="B3353" t="s">
        <v>375</v>
      </c>
      <c r="C3353" t="s">
        <v>6</v>
      </c>
      <c r="D3353" t="s">
        <v>227</v>
      </c>
      <c r="E3353" t="s">
        <v>228</v>
      </c>
      <c r="F3353" s="1">
        <v>45883</v>
      </c>
      <c r="G3353" t="str">
        <f>IF(Table3[[#This Row],[Top Parent Account]]="",Table3[[#This Row],[Account Legal Name]],Table3[[#This Row],[Top Parent Account]])</f>
        <v>Central De Corretajes</v>
      </c>
      <c r="H3353" s="1"/>
    </row>
    <row r="3354" spans="1:8" x14ac:dyDescent="0.35">
      <c r="A3354" s="21"/>
      <c r="B3354" t="s">
        <v>29</v>
      </c>
      <c r="C3354" t="s">
        <v>6</v>
      </c>
      <c r="D3354" t="s">
        <v>2204</v>
      </c>
      <c r="F3354" s="1">
        <v>45883</v>
      </c>
      <c r="G3354" t="str">
        <f>IF(Table3[[#This Row],[Top Parent Account]]="",Table3[[#This Row],[Account Legal Name]],Table3[[#This Row],[Top Parent Account]])</f>
        <v>Grupo El Nogal</v>
      </c>
      <c r="H3354" s="1"/>
    </row>
    <row r="3355" spans="1:8" x14ac:dyDescent="0.35">
      <c r="A3355" s="21"/>
      <c r="B3355" t="s">
        <v>78</v>
      </c>
      <c r="C3355" t="s">
        <v>6</v>
      </c>
      <c r="D3355" t="s">
        <v>553</v>
      </c>
      <c r="F3355" s="1">
        <v>45883</v>
      </c>
      <c r="G3355" t="str">
        <f>IF(Table3[[#This Row],[Top Parent Account]]="",Table3[[#This Row],[Account Legal Name]],Table3[[#This Row],[Top Parent Account]])</f>
        <v>ACADEMIA CAPITAL</v>
      </c>
      <c r="H3355" s="1"/>
    </row>
    <row r="3356" spans="1:8" x14ac:dyDescent="0.35">
      <c r="A3356" s="21"/>
      <c r="B3356" t="s">
        <v>23</v>
      </c>
      <c r="C3356" t="s">
        <v>6</v>
      </c>
      <c r="D3356" t="s">
        <v>3029</v>
      </c>
      <c r="F3356" s="1">
        <v>45883</v>
      </c>
      <c r="G3356" t="str">
        <f>IF(Table3[[#This Row],[Top Parent Account]]="",Table3[[#This Row],[Account Legal Name]],Table3[[#This Row],[Top Parent Account]])</f>
        <v>Compresores Cac De México</v>
      </c>
      <c r="H3356" s="1"/>
    </row>
    <row r="3357" spans="1:8" x14ac:dyDescent="0.35">
      <c r="A3357" s="21"/>
      <c r="B3357" t="s">
        <v>10</v>
      </c>
      <c r="C3357" t="s">
        <v>6</v>
      </c>
      <c r="D3357" t="s">
        <v>112</v>
      </c>
      <c r="F3357" s="1">
        <v>45883</v>
      </c>
      <c r="G3357" t="str">
        <f>IF(Table3[[#This Row],[Top Parent Account]]="",Table3[[#This Row],[Account Legal Name]],Table3[[#This Row],[Top Parent Account]])</f>
        <v>Amco Educación</v>
      </c>
      <c r="H3357" s="1"/>
    </row>
    <row r="3358" spans="1:8" x14ac:dyDescent="0.35">
      <c r="A3358" s="21"/>
      <c r="B3358" t="s">
        <v>10</v>
      </c>
      <c r="C3358" t="s">
        <v>6</v>
      </c>
      <c r="D3358" t="s">
        <v>548</v>
      </c>
      <c r="F3358" s="1">
        <v>45883</v>
      </c>
      <c r="G3358" t="str">
        <f>IF(Table3[[#This Row],[Top Parent Account]]="",Table3[[#This Row],[Account Legal Name]],Table3[[#This Row],[Top Parent Account]])</f>
        <v>Cervecería de Colima</v>
      </c>
      <c r="H3358" s="1"/>
    </row>
    <row r="3359" spans="1:8" x14ac:dyDescent="0.35">
      <c r="A3359" s="21"/>
      <c r="B3359" t="s">
        <v>43</v>
      </c>
      <c r="C3359" t="s">
        <v>6</v>
      </c>
      <c r="D3359" t="s">
        <v>3396</v>
      </c>
      <c r="E3359" t="s">
        <v>3397</v>
      </c>
      <c r="F3359" s="1">
        <v>45883</v>
      </c>
      <c r="G3359" t="str">
        <f>IF(Table3[[#This Row],[Top Parent Account]]="",Table3[[#This Row],[Account Legal Name]],Table3[[#This Row],[Top Parent Account]])</f>
        <v>FarmAmigo</v>
      </c>
      <c r="H3359" s="1"/>
    </row>
    <row r="3360" spans="1:8" x14ac:dyDescent="0.35">
      <c r="A3360" s="21"/>
      <c r="B3360" t="s">
        <v>2658</v>
      </c>
      <c r="C3360" t="s">
        <v>6</v>
      </c>
      <c r="D3360" t="s">
        <v>3248</v>
      </c>
      <c r="F3360" s="1">
        <v>45883</v>
      </c>
      <c r="G3360" t="str">
        <f>IF(Table3[[#This Row],[Top Parent Account]]="",Table3[[#This Row],[Account Legal Name]],Table3[[#This Row],[Top Parent Account]])</f>
        <v>LA MISIÓN SUPERMERCADOS</v>
      </c>
      <c r="H3360" s="1"/>
    </row>
    <row r="3361" spans="1:8" x14ac:dyDescent="0.35">
      <c r="A3361" s="21"/>
      <c r="B3361" t="s">
        <v>1006</v>
      </c>
      <c r="C3361" t="s">
        <v>6</v>
      </c>
      <c r="D3361" t="s">
        <v>1061</v>
      </c>
      <c r="F3361" s="1">
        <v>45883</v>
      </c>
      <c r="G3361" t="str">
        <f>IF(Table3[[#This Row],[Top Parent Account]]="",Table3[[#This Row],[Account Legal Name]],Table3[[#This Row],[Top Parent Account]])</f>
        <v>Lácteos Mojica</v>
      </c>
      <c r="H3361" s="1"/>
    </row>
    <row r="3362" spans="1:8" x14ac:dyDescent="0.35">
      <c r="A3362" s="21"/>
      <c r="B3362" t="s">
        <v>78</v>
      </c>
      <c r="C3362" t="s">
        <v>3398</v>
      </c>
      <c r="D3362" t="s">
        <v>3399</v>
      </c>
      <c r="F3362" s="1">
        <v>45883</v>
      </c>
      <c r="G3362" t="str">
        <f>IF(Table3[[#This Row],[Top Parent Account]]="",Table3[[#This Row],[Account Legal Name]],Table3[[#This Row],[Top Parent Account]])</f>
        <v>TRANSPORTES LOGA</v>
      </c>
      <c r="H3362" s="1"/>
    </row>
    <row r="3363" spans="1:8" x14ac:dyDescent="0.35">
      <c r="A3363" s="21"/>
      <c r="B3363" t="s">
        <v>7</v>
      </c>
      <c r="C3363" t="s">
        <v>6</v>
      </c>
      <c r="D3363" t="s">
        <v>780</v>
      </c>
      <c r="F3363" s="1">
        <v>45883</v>
      </c>
      <c r="G3363" t="str">
        <f>IF(Table3[[#This Row],[Top Parent Account]]="",Table3[[#This Row],[Account Legal Name]],Table3[[#This Row],[Top Parent Account]])</f>
        <v>Grupo Novaliv</v>
      </c>
      <c r="H3363" s="1"/>
    </row>
    <row r="3364" spans="1:8" x14ac:dyDescent="0.35">
      <c r="A3364" s="21"/>
      <c r="B3364" t="s">
        <v>23</v>
      </c>
      <c r="C3364" t="s">
        <v>3400</v>
      </c>
      <c r="D3364" t="s">
        <v>3401</v>
      </c>
      <c r="F3364" s="1">
        <v>45883</v>
      </c>
      <c r="G3364" t="str">
        <f>IF(Table3[[#This Row],[Top Parent Account]]="",Table3[[#This Row],[Account Legal Name]],Table3[[#This Row],[Top Parent Account]])</f>
        <v>Todo Marisco</v>
      </c>
      <c r="H3364" s="1"/>
    </row>
    <row r="3365" spans="1:8" x14ac:dyDescent="0.35">
      <c r="A3365" s="21"/>
      <c r="B3365" t="s">
        <v>1643</v>
      </c>
      <c r="C3365" t="s">
        <v>22</v>
      </c>
      <c r="D3365" t="s">
        <v>2030</v>
      </c>
      <c r="F3365" s="1">
        <v>45883</v>
      </c>
      <c r="G3365" t="str">
        <f>IF(Table3[[#This Row],[Top Parent Account]]="",Table3[[#This Row],[Account Legal Name]],Table3[[#This Row],[Top Parent Account]])</f>
        <v>Trak Transportaciones</v>
      </c>
      <c r="H3365" s="1"/>
    </row>
    <row r="3366" spans="1:8" x14ac:dyDescent="0.35">
      <c r="A3366" s="21"/>
      <c r="B3366" t="s">
        <v>84</v>
      </c>
      <c r="C3366" t="s">
        <v>1184</v>
      </c>
      <c r="D3366" t="s">
        <v>3402</v>
      </c>
      <c r="F3366" s="1">
        <v>45883</v>
      </c>
      <c r="G3366" t="str">
        <f>IF(Table3[[#This Row],[Top Parent Account]]="",Table3[[#This Row],[Account Legal Name]],Table3[[#This Row],[Top Parent Account]])</f>
        <v>Lamex Agrialimentos</v>
      </c>
      <c r="H3366" s="1"/>
    </row>
    <row r="3367" spans="1:8" x14ac:dyDescent="0.35">
      <c r="A3367" s="21"/>
      <c r="B3367" t="s">
        <v>18</v>
      </c>
      <c r="C3367" t="s">
        <v>6</v>
      </c>
      <c r="D3367" t="s">
        <v>720</v>
      </c>
      <c r="F3367" s="1">
        <v>45882</v>
      </c>
      <c r="G3367" t="str">
        <f>IF(Table3[[#This Row],[Top Parent Account]]="",Table3[[#This Row],[Account Legal Name]],Table3[[#This Row],[Top Parent Account]])</f>
        <v>Grupo Etimex</v>
      </c>
      <c r="H3367" s="1"/>
    </row>
    <row r="3368" spans="1:8" x14ac:dyDescent="0.35">
      <c r="A3368" s="21"/>
      <c r="B3368" t="s">
        <v>820</v>
      </c>
      <c r="C3368" t="s">
        <v>6</v>
      </c>
      <c r="D3368" t="s">
        <v>225</v>
      </c>
      <c r="E3368" t="s">
        <v>321</v>
      </c>
      <c r="F3368" s="1">
        <v>45882</v>
      </c>
      <c r="G3368" t="str">
        <f>IF(Table3[[#This Row],[Top Parent Account]]="",Table3[[#This Row],[Account Legal Name]],Table3[[#This Row],[Top Parent Account]])</f>
        <v>Conservas La Costena</v>
      </c>
      <c r="H3368" s="1"/>
    </row>
    <row r="3369" spans="1:8" x14ac:dyDescent="0.35">
      <c r="A3369" s="21"/>
      <c r="B3369" t="s">
        <v>932</v>
      </c>
      <c r="C3369" t="s">
        <v>6</v>
      </c>
      <c r="D3369" t="s">
        <v>3403</v>
      </c>
      <c r="F3369" s="1">
        <v>45882</v>
      </c>
      <c r="G3369" t="str">
        <f>IF(Table3[[#This Row],[Top Parent Account]]="",Table3[[#This Row],[Account Legal Name]],Table3[[#This Row],[Top Parent Account]])</f>
        <v>GISE PARTS</v>
      </c>
      <c r="H3369" s="1"/>
    </row>
    <row r="3370" spans="1:8" x14ac:dyDescent="0.35">
      <c r="A3370" s="21"/>
      <c r="B3370" t="s">
        <v>989</v>
      </c>
      <c r="C3370" t="s">
        <v>6</v>
      </c>
      <c r="D3370" t="s">
        <v>833</v>
      </c>
      <c r="F3370" s="1">
        <v>45882</v>
      </c>
      <c r="G3370" t="str">
        <f>IF(Table3[[#This Row],[Top Parent Account]]="",Table3[[#This Row],[Account Legal Name]],Table3[[#This Row],[Top Parent Account]])</f>
        <v>Team Foods Mexico</v>
      </c>
      <c r="H3370" s="1"/>
    </row>
    <row r="3371" spans="1:8" x14ac:dyDescent="0.35">
      <c r="A3371" s="21"/>
      <c r="B3371" t="s">
        <v>989</v>
      </c>
      <c r="C3371" t="s">
        <v>6</v>
      </c>
      <c r="D3371" t="s">
        <v>2533</v>
      </c>
      <c r="F3371" s="1">
        <v>45882</v>
      </c>
      <c r="G3371" t="str">
        <f>IF(Table3[[#This Row],[Top Parent Account]]="",Table3[[#This Row],[Account Legal Name]],Table3[[#This Row],[Top Parent Account]])</f>
        <v>Doisy</v>
      </c>
      <c r="H3371" s="1"/>
    </row>
    <row r="3372" spans="1:8" x14ac:dyDescent="0.35">
      <c r="A3372" s="21"/>
      <c r="B3372" t="s">
        <v>820</v>
      </c>
      <c r="C3372" t="s">
        <v>6</v>
      </c>
      <c r="D3372" t="s">
        <v>442</v>
      </c>
      <c r="F3372" s="1">
        <v>45882</v>
      </c>
      <c r="G3372" t="str">
        <f>IF(Table3[[#This Row],[Top Parent Account]]="",Table3[[#This Row],[Account Legal Name]],Table3[[#This Row],[Top Parent Account]])</f>
        <v>Grupo Radiodifusoras</v>
      </c>
      <c r="H3372" s="1"/>
    </row>
    <row r="3373" spans="1:8" x14ac:dyDescent="0.35">
      <c r="A3373" s="21"/>
      <c r="B3373" t="s">
        <v>589</v>
      </c>
      <c r="C3373" t="s">
        <v>6</v>
      </c>
      <c r="D3373" t="s">
        <v>3404</v>
      </c>
      <c r="F3373" s="1">
        <v>45882</v>
      </c>
      <c r="G3373" t="str">
        <f>IF(Table3[[#This Row],[Top Parent Account]]="",Table3[[#This Row],[Account Legal Name]],Table3[[#This Row],[Top Parent Account]])</f>
        <v>Van Zof</v>
      </c>
      <c r="H3373" s="1"/>
    </row>
    <row r="3374" spans="1:8" x14ac:dyDescent="0.35">
      <c r="A3374" s="21"/>
      <c r="B3374" t="s">
        <v>18</v>
      </c>
      <c r="C3374" t="s">
        <v>6</v>
      </c>
      <c r="D3374" t="s">
        <v>3405</v>
      </c>
      <c r="F3374" s="1">
        <v>45882</v>
      </c>
      <c r="G3374" t="str">
        <f>IF(Table3[[#This Row],[Top Parent Account]]="",Table3[[#This Row],[Account Legal Name]],Table3[[#This Row],[Top Parent Account]])</f>
        <v>Aceroteca México</v>
      </c>
      <c r="H3374" s="1"/>
    </row>
    <row r="3375" spans="1:8" x14ac:dyDescent="0.35">
      <c r="A3375" s="21"/>
      <c r="B3375" t="s">
        <v>28</v>
      </c>
      <c r="C3375" t="s">
        <v>6</v>
      </c>
      <c r="D3375" t="s">
        <v>3406</v>
      </c>
      <c r="F3375" s="1">
        <v>45882</v>
      </c>
      <c r="G3375" t="str">
        <f>IF(Table3[[#This Row],[Top Parent Account]]="",Table3[[#This Row],[Account Legal Name]],Table3[[#This Row],[Top Parent Account]])</f>
        <v>Aranzazu Holding</v>
      </c>
      <c r="H3375" s="1"/>
    </row>
    <row r="3376" spans="1:8" x14ac:dyDescent="0.35">
      <c r="A3376" s="21"/>
      <c r="B3376" t="s">
        <v>23</v>
      </c>
      <c r="C3376" t="s">
        <v>6</v>
      </c>
      <c r="D3376" t="s">
        <v>1050</v>
      </c>
      <c r="F3376" s="1">
        <v>45882</v>
      </c>
      <c r="G3376" t="str">
        <f>IF(Table3[[#This Row],[Top Parent Account]]="",Table3[[#This Row],[Account Legal Name]],Table3[[#This Row],[Top Parent Account]])</f>
        <v>GRUPO LOGISTICO GUCOR</v>
      </c>
      <c r="H3376" s="1"/>
    </row>
    <row r="3377" spans="1:8" x14ac:dyDescent="0.35">
      <c r="A3377" s="21"/>
      <c r="B3377" t="s">
        <v>38</v>
      </c>
      <c r="C3377" t="s">
        <v>6</v>
      </c>
      <c r="D3377" t="s">
        <v>670</v>
      </c>
      <c r="F3377" s="1">
        <v>45882</v>
      </c>
      <c r="G3377" t="str">
        <f>IF(Table3[[#This Row],[Top Parent Account]]="",Table3[[#This Row],[Account Legal Name]],Table3[[#This Row],[Top Parent Account]])</f>
        <v>Aluprint</v>
      </c>
      <c r="H3377" s="1"/>
    </row>
    <row r="3378" spans="1:8" x14ac:dyDescent="0.35">
      <c r="A3378" s="21"/>
      <c r="B3378" t="s">
        <v>14</v>
      </c>
      <c r="C3378" t="s">
        <v>6</v>
      </c>
      <c r="D3378" t="s">
        <v>3407</v>
      </c>
      <c r="F3378" s="1">
        <v>45882</v>
      </c>
      <c r="G3378" t="str">
        <f>IF(Table3[[#This Row],[Top Parent Account]]="",Table3[[#This Row],[Account Legal Name]],Table3[[#This Row],[Top Parent Account]])</f>
        <v>Comerdel</v>
      </c>
      <c r="H3378" s="1"/>
    </row>
    <row r="3379" spans="1:8" x14ac:dyDescent="0.35">
      <c r="A3379" s="21"/>
      <c r="B3379" t="s">
        <v>375</v>
      </c>
      <c r="C3379" t="s">
        <v>6</v>
      </c>
      <c r="D3379" t="s">
        <v>1426</v>
      </c>
      <c r="F3379" s="1">
        <v>45882</v>
      </c>
      <c r="G3379" t="str">
        <f>IF(Table3[[#This Row],[Top Parent Account]]="",Table3[[#This Row],[Account Legal Name]],Table3[[#This Row],[Top Parent Account]])</f>
        <v>Silodisa Servicio Integral De Logística y Distribución</v>
      </c>
      <c r="H3379" s="1"/>
    </row>
    <row r="3380" spans="1:8" x14ac:dyDescent="0.35">
      <c r="A3380" s="21"/>
      <c r="B3380" t="s">
        <v>39</v>
      </c>
      <c r="C3380" t="s">
        <v>945</v>
      </c>
      <c r="D3380" t="s">
        <v>3408</v>
      </c>
      <c r="F3380" s="1">
        <v>45882</v>
      </c>
      <c r="G3380" t="str">
        <f>IF(Table3[[#This Row],[Top Parent Account]]="",Table3[[#This Row],[Account Legal Name]],Table3[[#This Row],[Top Parent Account]])</f>
        <v>Baja Ferries</v>
      </c>
      <c r="H3380" s="1"/>
    </row>
    <row r="3381" spans="1:8" x14ac:dyDescent="0.35">
      <c r="A3381" s="21"/>
      <c r="B3381" t="s">
        <v>25</v>
      </c>
      <c r="C3381" t="s">
        <v>6</v>
      </c>
      <c r="D3381" t="s">
        <v>3409</v>
      </c>
      <c r="F3381" s="1">
        <v>45882</v>
      </c>
      <c r="G3381" t="str">
        <f>IF(Table3[[#This Row],[Top Parent Account]]="",Table3[[#This Row],[Account Legal Name]],Table3[[#This Row],[Top Parent Account]])</f>
        <v>Grupo CEMSA</v>
      </c>
      <c r="H3381" s="1"/>
    </row>
    <row r="3382" spans="1:8" x14ac:dyDescent="0.35">
      <c r="A3382" s="21"/>
      <c r="B3382" t="s">
        <v>27</v>
      </c>
      <c r="C3382" t="s">
        <v>6</v>
      </c>
      <c r="D3382" t="s">
        <v>1285</v>
      </c>
      <c r="F3382" s="1">
        <v>45882</v>
      </c>
      <c r="G3382" t="str">
        <f>IF(Table3[[#This Row],[Top Parent Account]]="",Table3[[#This Row],[Account Legal Name]],Table3[[#This Row],[Top Parent Account]])</f>
        <v>Turismo Gargo</v>
      </c>
      <c r="H3382" s="1"/>
    </row>
    <row r="3383" spans="1:8" x14ac:dyDescent="0.35">
      <c r="A3383" s="21"/>
      <c r="B3383" t="s">
        <v>1006</v>
      </c>
      <c r="C3383" t="s">
        <v>6</v>
      </c>
      <c r="D3383" t="s">
        <v>3039</v>
      </c>
      <c r="F3383" s="1">
        <v>45882</v>
      </c>
      <c r="G3383" t="str">
        <f>IF(Table3[[#This Row],[Top Parent Account]]="",Table3[[#This Row],[Account Legal Name]],Table3[[#This Row],[Top Parent Account]])</f>
        <v>Hospital San José Zamora</v>
      </c>
      <c r="H3383" s="1"/>
    </row>
    <row r="3384" spans="1:8" x14ac:dyDescent="0.35">
      <c r="A3384" s="21"/>
      <c r="B3384" t="s">
        <v>88</v>
      </c>
      <c r="C3384" t="s">
        <v>22</v>
      </c>
      <c r="D3384" t="s">
        <v>3410</v>
      </c>
      <c r="F3384" s="1">
        <v>45882</v>
      </c>
      <c r="G3384" t="str">
        <f>IF(Table3[[#This Row],[Top Parent Account]]="",Table3[[#This Row],[Account Legal Name]],Table3[[#This Row],[Top Parent Account]])</f>
        <v>Villa Vainilla</v>
      </c>
      <c r="H3384" s="1"/>
    </row>
    <row r="3385" spans="1:8" x14ac:dyDescent="0.35">
      <c r="A3385" s="21"/>
      <c r="B3385" t="s">
        <v>88</v>
      </c>
      <c r="C3385" t="s">
        <v>6</v>
      </c>
      <c r="D3385" t="s">
        <v>3415</v>
      </c>
      <c r="F3385" s="1">
        <v>45882</v>
      </c>
      <c r="G3385" t="str">
        <f>IF(Table3[[#This Row],[Top Parent Account]]="",Table3[[#This Row],[Account Legal Name]],Table3[[#This Row],[Top Parent Account]])</f>
        <v>INDUSTRIAS EDULKOR</v>
      </c>
      <c r="H3385" s="1"/>
    </row>
    <row r="3386" spans="1:8" x14ac:dyDescent="0.35">
      <c r="A3386" s="21"/>
      <c r="B3386" t="s">
        <v>23</v>
      </c>
      <c r="C3386" t="s">
        <v>6</v>
      </c>
      <c r="D3386" t="s">
        <v>3411</v>
      </c>
      <c r="F3386" s="1">
        <v>45882</v>
      </c>
      <c r="G3386" t="str">
        <f>IF(Table3[[#This Row],[Top Parent Account]]="",Table3[[#This Row],[Account Legal Name]],Table3[[#This Row],[Top Parent Account]])</f>
        <v>Impulse Telecommunications de México</v>
      </c>
      <c r="H3386" s="1"/>
    </row>
    <row r="3387" spans="1:8" x14ac:dyDescent="0.35">
      <c r="A3387" s="21"/>
      <c r="B3387" t="s">
        <v>2658</v>
      </c>
      <c r="C3387" t="s">
        <v>6</v>
      </c>
      <c r="D3387" t="s">
        <v>3412</v>
      </c>
      <c r="F3387" s="1">
        <v>45882</v>
      </c>
      <c r="G3387" t="str">
        <f>IF(Table3[[#This Row],[Top Parent Account]]="",Table3[[#This Row],[Account Legal Name]],Table3[[#This Row],[Top Parent Account]])</f>
        <v>IDEALEASE NORESTE</v>
      </c>
      <c r="H3387" s="1"/>
    </row>
    <row r="3388" spans="1:8" x14ac:dyDescent="0.35">
      <c r="A3388" s="21"/>
      <c r="B3388" t="s">
        <v>2693</v>
      </c>
      <c r="C3388" t="s">
        <v>6</v>
      </c>
      <c r="D3388" t="s">
        <v>3413</v>
      </c>
      <c r="F3388" s="1">
        <v>45882</v>
      </c>
      <c r="G3388" t="str">
        <f>IF(Table3[[#This Row],[Top Parent Account]]="",Table3[[#This Row],[Account Legal Name]],Table3[[#This Row],[Top Parent Account]])</f>
        <v>SERVICIO FAD</v>
      </c>
      <c r="H3388" s="1"/>
    </row>
    <row r="3389" spans="1:8" x14ac:dyDescent="0.35">
      <c r="A3389" s="21"/>
      <c r="B3389" t="s">
        <v>39</v>
      </c>
      <c r="C3389" t="s">
        <v>57</v>
      </c>
      <c r="D3389" t="s">
        <v>3414</v>
      </c>
      <c r="F3389" s="1">
        <v>45882</v>
      </c>
      <c r="G3389" t="str">
        <f>IF(Table3[[#This Row],[Top Parent Account]]="",Table3[[#This Row],[Account Legal Name]],Table3[[#This Row],[Top Parent Account]])</f>
        <v>Negocio Agrícola San Enrique</v>
      </c>
      <c r="H3389" s="1"/>
    </row>
    <row r="3390" spans="1:8" x14ac:dyDescent="0.35">
      <c r="A3390" s="21"/>
      <c r="B3390" t="s">
        <v>26</v>
      </c>
      <c r="C3390" t="s">
        <v>6</v>
      </c>
      <c r="D3390" t="s">
        <v>74</v>
      </c>
      <c r="F3390" s="1">
        <v>45882</v>
      </c>
      <c r="G3390" t="str">
        <f>IF(Table3[[#This Row],[Top Parent Account]]="",Table3[[#This Row],[Account Legal Name]],Table3[[#This Row],[Top Parent Account]])</f>
        <v>Contecon Manzanillo</v>
      </c>
      <c r="H3390" s="1"/>
    </row>
    <row r="3391" spans="1:8" x14ac:dyDescent="0.35">
      <c r="A3391" s="21"/>
      <c r="B3391" t="s">
        <v>11</v>
      </c>
      <c r="C3391" t="s">
        <v>6</v>
      </c>
      <c r="D3391" t="s">
        <v>1966</v>
      </c>
      <c r="F3391" s="1">
        <v>45882</v>
      </c>
      <c r="G3391" t="str">
        <f>IF(Table3[[#This Row],[Top Parent Account]]="",Table3[[#This Row],[Account Legal Name]],Table3[[#This Row],[Top Parent Account]])</f>
        <v>Gpi Y Asociados</v>
      </c>
      <c r="H3391" s="1"/>
    </row>
    <row r="3392" spans="1:8" x14ac:dyDescent="0.35">
      <c r="A3392" s="21"/>
      <c r="B3392" t="s">
        <v>37</v>
      </c>
      <c r="C3392" t="s">
        <v>6</v>
      </c>
      <c r="D3392" t="s">
        <v>1116</v>
      </c>
      <c r="F3392" s="1">
        <v>45882</v>
      </c>
      <c r="G3392" t="str">
        <f>IF(Table3[[#This Row],[Top Parent Account]]="",Table3[[#This Row],[Account Legal Name]],Table3[[#This Row],[Top Parent Account]])</f>
        <v>AUTO TRANSPORTES 3REYES</v>
      </c>
      <c r="H3392" s="1"/>
    </row>
    <row r="3393" spans="1:8" x14ac:dyDescent="0.35">
      <c r="A3393" s="21"/>
      <c r="B3393" t="s">
        <v>27</v>
      </c>
      <c r="C3393" t="s">
        <v>22</v>
      </c>
      <c r="D3393" t="s">
        <v>1290</v>
      </c>
      <c r="F3393" s="1">
        <v>45882</v>
      </c>
      <c r="G3393" t="str">
        <f>IF(Table3[[#This Row],[Top Parent Account]]="",Table3[[#This Row],[Account Legal Name]],Table3[[#This Row],[Top Parent Account]])</f>
        <v>Aligerados Padda</v>
      </c>
      <c r="H3393" s="1"/>
    </row>
    <row r="3394" spans="1:8" x14ac:dyDescent="0.35">
      <c r="A3394" s="21"/>
      <c r="B3394" t="s">
        <v>969</v>
      </c>
      <c r="C3394" t="s">
        <v>6</v>
      </c>
      <c r="D3394" t="s">
        <v>591</v>
      </c>
      <c r="F3394" s="1">
        <v>45882</v>
      </c>
      <c r="G3394" t="str">
        <f>IF(Table3[[#This Row],[Top Parent Account]]="",Table3[[#This Row],[Account Legal Name]],Table3[[#This Row],[Top Parent Account]])</f>
        <v>MEXIPC</v>
      </c>
      <c r="H3394" s="1"/>
    </row>
    <row r="3395" spans="1:8" x14ac:dyDescent="0.35">
      <c r="A3395" s="21"/>
      <c r="B3395" t="s">
        <v>969</v>
      </c>
      <c r="C3395" t="s">
        <v>6</v>
      </c>
      <c r="D3395" t="s">
        <v>3416</v>
      </c>
      <c r="F3395" s="1">
        <v>45882</v>
      </c>
      <c r="G3395" t="str">
        <f>IF(Table3[[#This Row],[Top Parent Account]]="",Table3[[#This Row],[Account Legal Name]],Table3[[#This Row],[Top Parent Account]])</f>
        <v>Dace Appliances north america</v>
      </c>
      <c r="H3395" s="1"/>
    </row>
    <row r="3396" spans="1:8" x14ac:dyDescent="0.35">
      <c r="A3396" s="21"/>
      <c r="B3396" t="s">
        <v>23</v>
      </c>
      <c r="C3396" t="s">
        <v>6</v>
      </c>
      <c r="D3396" t="s">
        <v>565</v>
      </c>
      <c r="F3396" s="1">
        <v>45882</v>
      </c>
      <c r="G3396" t="str">
        <f>IF(Table3[[#This Row],[Top Parent Account]]="",Table3[[#This Row],[Account Legal Name]],Table3[[#This Row],[Top Parent Account]])</f>
        <v>BEAUTY ARMOUR TRADING</v>
      </c>
      <c r="H3396" s="1"/>
    </row>
    <row r="3397" spans="1:8" x14ac:dyDescent="0.35">
      <c r="A3397" s="21"/>
      <c r="B3397" t="s">
        <v>1006</v>
      </c>
      <c r="C3397" t="s">
        <v>6</v>
      </c>
      <c r="D3397" t="s">
        <v>2409</v>
      </c>
      <c r="E3397" t="s">
        <v>1007</v>
      </c>
      <c r="F3397" s="1">
        <v>45881</v>
      </c>
      <c r="G3397" t="str">
        <f>IF(Table3[[#This Row],[Top Parent Account]]="",Table3[[#This Row],[Account Legal Name]],Table3[[#This Row],[Top Parent Account]])</f>
        <v>INDAMEX Industrializadora de Alimentos Mexicanos</v>
      </c>
      <c r="H3397" s="1"/>
    </row>
    <row r="3398" spans="1:8" x14ac:dyDescent="0.35">
      <c r="A3398" s="21"/>
      <c r="B3398" t="s">
        <v>969</v>
      </c>
      <c r="C3398" t="s">
        <v>6</v>
      </c>
      <c r="D3398" t="s">
        <v>2109</v>
      </c>
      <c r="F3398" s="1">
        <v>45881</v>
      </c>
      <c r="G3398" t="str">
        <f>IF(Table3[[#This Row],[Top Parent Account]]="",Table3[[#This Row],[Account Legal Name]],Table3[[#This Row],[Top Parent Account]])</f>
        <v>Asofarma de México</v>
      </c>
      <c r="H3398" s="1"/>
    </row>
    <row r="3399" spans="1:8" x14ac:dyDescent="0.35">
      <c r="A3399" s="21"/>
      <c r="B3399" t="s">
        <v>207</v>
      </c>
      <c r="C3399" t="s">
        <v>6</v>
      </c>
      <c r="D3399" t="s">
        <v>3417</v>
      </c>
      <c r="F3399" s="1">
        <v>45881</v>
      </c>
      <c r="G3399" t="str">
        <f>IF(Table3[[#This Row],[Top Parent Account]]="",Table3[[#This Row],[Account Legal Name]],Table3[[#This Row],[Top Parent Account]])</f>
        <v>Tekniplex</v>
      </c>
      <c r="H3399" s="1"/>
    </row>
    <row r="3400" spans="1:8" x14ac:dyDescent="0.35">
      <c r="A3400" s="21"/>
      <c r="B3400" t="s">
        <v>820</v>
      </c>
      <c r="C3400" t="s">
        <v>6</v>
      </c>
      <c r="D3400" t="s">
        <v>1233</v>
      </c>
      <c r="E3400" t="s">
        <v>741</v>
      </c>
      <c r="F3400" s="1">
        <v>45881</v>
      </c>
      <c r="G3400" t="str">
        <f>IF(Table3[[#This Row],[Top Parent Account]]="",Table3[[#This Row],[Account Legal Name]],Table3[[#This Row],[Top Parent Account]])</f>
        <v>Reto Industrial</v>
      </c>
      <c r="H3400" s="1"/>
    </row>
    <row r="3401" spans="1:8" x14ac:dyDescent="0.35">
      <c r="A3401" s="21"/>
      <c r="B3401" t="s">
        <v>2912</v>
      </c>
      <c r="C3401" t="s">
        <v>3418</v>
      </c>
      <c r="D3401" t="s">
        <v>2929</v>
      </c>
      <c r="F3401" s="1">
        <v>45881</v>
      </c>
      <c r="G3401" t="str">
        <f>IF(Table3[[#This Row],[Top Parent Account]]="",Table3[[#This Row],[Account Legal Name]],Table3[[#This Row],[Top Parent Account]])</f>
        <v>Valia Energía</v>
      </c>
      <c r="H3401" s="1"/>
    </row>
    <row r="3402" spans="1:8" x14ac:dyDescent="0.35">
      <c r="A3402" s="21"/>
      <c r="B3402" t="s">
        <v>2912</v>
      </c>
      <c r="C3402" t="s">
        <v>3419</v>
      </c>
      <c r="D3402" t="s">
        <v>2929</v>
      </c>
      <c r="F3402" s="1">
        <v>45881</v>
      </c>
      <c r="G3402" t="str">
        <f>IF(Table3[[#This Row],[Top Parent Account]]="",Table3[[#This Row],[Account Legal Name]],Table3[[#This Row],[Top Parent Account]])</f>
        <v>Valia Energía</v>
      </c>
      <c r="H3402" s="1"/>
    </row>
    <row r="3403" spans="1:8" x14ac:dyDescent="0.35">
      <c r="A3403" s="21"/>
      <c r="B3403" t="s">
        <v>37</v>
      </c>
      <c r="C3403" t="s">
        <v>6</v>
      </c>
      <c r="D3403" t="s">
        <v>3420</v>
      </c>
      <c r="E3403" t="s">
        <v>3421</v>
      </c>
      <c r="F3403" s="1">
        <v>45881</v>
      </c>
      <c r="G3403" t="str">
        <f>IF(Table3[[#This Row],[Top Parent Account]]="",Table3[[#This Row],[Account Legal Name]],Table3[[#This Row],[Top Parent Account]])</f>
        <v>Comercializadora Tletl</v>
      </c>
      <c r="H3403" s="1"/>
    </row>
    <row r="3404" spans="1:8" x14ac:dyDescent="0.35">
      <c r="A3404" s="21"/>
      <c r="B3404" t="s">
        <v>989</v>
      </c>
      <c r="C3404" t="s">
        <v>6</v>
      </c>
      <c r="D3404" t="s">
        <v>3422</v>
      </c>
      <c r="F3404" s="1">
        <v>45881</v>
      </c>
      <c r="G3404" t="str">
        <f>IF(Table3[[#This Row],[Top Parent Account]]="",Table3[[#This Row],[Account Legal Name]],Table3[[#This Row],[Top Parent Account]])</f>
        <v>Werner de Mexico</v>
      </c>
      <c r="H3404" s="1"/>
    </row>
    <row r="3405" spans="1:8" x14ac:dyDescent="0.35">
      <c r="A3405" s="21"/>
      <c r="B3405" t="s">
        <v>7</v>
      </c>
      <c r="C3405" t="s">
        <v>6</v>
      </c>
      <c r="D3405" t="s">
        <v>3423</v>
      </c>
      <c r="F3405" s="1">
        <v>45881</v>
      </c>
      <c r="G3405" t="str">
        <f>IF(Table3[[#This Row],[Top Parent Account]]="",Table3[[#This Row],[Account Legal Name]],Table3[[#This Row],[Top Parent Account]])</f>
        <v>AG Muebles y cocinas</v>
      </c>
      <c r="H3405" s="1"/>
    </row>
    <row r="3406" spans="1:8" x14ac:dyDescent="0.35">
      <c r="A3406" s="21"/>
      <c r="B3406" t="s">
        <v>2912</v>
      </c>
      <c r="C3406" t="s">
        <v>6</v>
      </c>
      <c r="D3406" t="s">
        <v>3327</v>
      </c>
      <c r="F3406" s="1">
        <v>45881</v>
      </c>
      <c r="G3406" t="str">
        <f>IF(Table3[[#This Row],[Top Parent Account]]="",Table3[[#This Row],[Account Legal Name]],Table3[[#This Row],[Top Parent Account]])</f>
        <v>Akzo Nobel Chemicals</v>
      </c>
      <c r="H3406" s="1"/>
    </row>
    <row r="3407" spans="1:8" x14ac:dyDescent="0.35">
      <c r="A3407" s="21"/>
      <c r="B3407" t="s">
        <v>1643</v>
      </c>
      <c r="C3407" t="s">
        <v>6</v>
      </c>
      <c r="D3407" t="s">
        <v>3424</v>
      </c>
      <c r="F3407" s="1">
        <v>45881</v>
      </c>
      <c r="G3407" t="str">
        <f>IF(Table3[[#This Row],[Top Parent Account]]="",Table3[[#This Row],[Account Legal Name]],Table3[[#This Row],[Top Parent Account]])</f>
        <v>Soluciones de Negocios FNX SA de CV</v>
      </c>
      <c r="H3407" s="1"/>
    </row>
    <row r="3408" spans="1:8" x14ac:dyDescent="0.35">
      <c r="A3408" s="21"/>
      <c r="B3408" t="s">
        <v>43</v>
      </c>
      <c r="C3408" t="s">
        <v>6</v>
      </c>
      <c r="D3408" t="s">
        <v>2994</v>
      </c>
      <c r="F3408" s="1">
        <v>45881</v>
      </c>
      <c r="G3408" t="str">
        <f>IF(Table3[[#This Row],[Top Parent Account]]="",Table3[[#This Row],[Account Legal Name]],Table3[[#This Row],[Top Parent Account]])</f>
        <v>Race Carreteras</v>
      </c>
      <c r="H3408" s="1"/>
    </row>
    <row r="3409" spans="1:8" x14ac:dyDescent="0.35">
      <c r="A3409" s="21"/>
      <c r="B3409" t="s">
        <v>39</v>
      </c>
      <c r="C3409" t="s">
        <v>3425</v>
      </c>
      <c r="D3409" t="s">
        <v>2349</v>
      </c>
      <c r="F3409" s="1">
        <v>45881</v>
      </c>
      <c r="G3409" t="str">
        <f>IF(Table3[[#This Row],[Top Parent Account]]="",Table3[[#This Row],[Account Legal Name]],Table3[[#This Row],[Top Parent Account]])</f>
        <v>QM Comercializadora</v>
      </c>
      <c r="H3409" s="1"/>
    </row>
    <row r="3410" spans="1:8" x14ac:dyDescent="0.35">
      <c r="A3410" s="21"/>
      <c r="B3410" t="s">
        <v>14</v>
      </c>
      <c r="C3410" t="s">
        <v>6</v>
      </c>
      <c r="D3410" t="s">
        <v>3426</v>
      </c>
      <c r="F3410" s="1">
        <v>45881</v>
      </c>
      <c r="G3410" t="str">
        <f>IF(Table3[[#This Row],[Top Parent Account]]="",Table3[[#This Row],[Account Legal Name]],Table3[[#This Row],[Top Parent Account]])</f>
        <v>F8 Insumos Publicitarios</v>
      </c>
      <c r="H3410" s="1"/>
    </row>
    <row r="3411" spans="1:8" x14ac:dyDescent="0.35">
      <c r="A3411" s="21"/>
      <c r="B3411" t="s">
        <v>375</v>
      </c>
      <c r="C3411" t="s">
        <v>6</v>
      </c>
      <c r="D3411" t="s">
        <v>563</v>
      </c>
      <c r="F3411" s="1">
        <v>45881</v>
      </c>
      <c r="G3411" t="str">
        <f>IF(Table3[[#This Row],[Top Parent Account]]="",Table3[[#This Row],[Account Legal Name]],Table3[[#This Row],[Top Parent Account]])</f>
        <v>Integradora De Servicios De Transportación Xihutec</v>
      </c>
      <c r="H3411" s="1"/>
    </row>
    <row r="3412" spans="1:8" x14ac:dyDescent="0.35">
      <c r="A3412" s="21"/>
      <c r="B3412" t="s">
        <v>38</v>
      </c>
      <c r="C3412" t="s">
        <v>6</v>
      </c>
      <c r="D3412" t="s">
        <v>828</v>
      </c>
      <c r="F3412" s="1">
        <v>45881</v>
      </c>
      <c r="G3412" t="str">
        <f>IF(Table3[[#This Row],[Top Parent Account]]="",Table3[[#This Row],[Account Legal Name]],Table3[[#This Row],[Top Parent Account]])</f>
        <v>Grupo Metalmecanico Güemes</v>
      </c>
      <c r="H3412" s="1"/>
    </row>
    <row r="3413" spans="1:8" x14ac:dyDescent="0.35">
      <c r="A3413" s="21"/>
      <c r="B3413" t="s">
        <v>1643</v>
      </c>
      <c r="C3413" t="s">
        <v>6</v>
      </c>
      <c r="D3413" t="s">
        <v>1771</v>
      </c>
      <c r="F3413" s="1">
        <v>45881</v>
      </c>
      <c r="G3413" t="str">
        <f>IF(Table3[[#This Row],[Top Parent Account]]="",Table3[[#This Row],[Account Legal Name]],Table3[[#This Row],[Top Parent Account]])</f>
        <v>Fortacero</v>
      </c>
      <c r="H3413" s="1"/>
    </row>
    <row r="3414" spans="1:8" x14ac:dyDescent="0.35">
      <c r="A3414" s="21"/>
      <c r="B3414" t="s">
        <v>2309</v>
      </c>
      <c r="C3414" t="s">
        <v>6</v>
      </c>
      <c r="D3414" t="s">
        <v>3427</v>
      </c>
      <c r="F3414" s="1">
        <v>45881</v>
      </c>
      <c r="G3414" t="str">
        <f>IF(Table3[[#This Row],[Top Parent Account]]="",Table3[[#This Row],[Account Legal Name]],Table3[[#This Row],[Top Parent Account]])</f>
        <v>Sama Etiquetas</v>
      </c>
      <c r="H3414" s="1"/>
    </row>
    <row r="3415" spans="1:8" x14ac:dyDescent="0.35">
      <c r="A3415" s="21"/>
      <c r="B3415" t="s">
        <v>1511</v>
      </c>
      <c r="C3415" t="s">
        <v>6</v>
      </c>
      <c r="D3415" t="s">
        <v>854</v>
      </c>
      <c r="F3415" s="1">
        <v>45881</v>
      </c>
      <c r="G3415" t="str">
        <f>IF(Table3[[#This Row],[Top Parent Account]]="",Table3[[#This Row],[Account Legal Name]],Table3[[#This Row],[Top Parent Account]])</f>
        <v>Fisacero</v>
      </c>
      <c r="H3415" s="1"/>
    </row>
    <row r="3416" spans="1:8" x14ac:dyDescent="0.35">
      <c r="A3416" s="21"/>
      <c r="B3416" t="s">
        <v>820</v>
      </c>
      <c r="C3416" t="s">
        <v>6</v>
      </c>
      <c r="D3416" t="s">
        <v>415</v>
      </c>
      <c r="F3416" s="1">
        <v>45881</v>
      </c>
      <c r="G3416" t="str">
        <f>IF(Table3[[#This Row],[Top Parent Account]]="",Table3[[#This Row],[Account Legal Name]],Table3[[#This Row],[Top Parent Account]])</f>
        <v>Olnatura</v>
      </c>
      <c r="H3416" s="1"/>
    </row>
    <row r="3417" spans="1:8" x14ac:dyDescent="0.35">
      <c r="A3417" s="21"/>
      <c r="B3417" t="s">
        <v>43</v>
      </c>
      <c r="C3417" t="s">
        <v>6</v>
      </c>
      <c r="D3417" t="s">
        <v>3428</v>
      </c>
      <c r="F3417" s="1">
        <v>45881</v>
      </c>
      <c r="G3417" t="str">
        <f>IF(Table3[[#This Row],[Top Parent Account]]="",Table3[[#This Row],[Account Legal Name]],Table3[[#This Row],[Top Parent Account]])</f>
        <v>Transportes Cruz</v>
      </c>
      <c r="H3417" s="1"/>
    </row>
    <row r="3418" spans="1:8" x14ac:dyDescent="0.35">
      <c r="A3418" s="21"/>
      <c r="B3418" t="s">
        <v>21</v>
      </c>
      <c r="C3418" t="s">
        <v>6</v>
      </c>
      <c r="D3418" t="s">
        <v>3429</v>
      </c>
      <c r="F3418" s="1">
        <v>45881</v>
      </c>
      <c r="G3418" t="str">
        <f>IF(Table3[[#This Row],[Top Parent Account]]="",Table3[[#This Row],[Account Legal Name]],Table3[[#This Row],[Top Parent Account]])</f>
        <v>Casas Quintal</v>
      </c>
      <c r="H3418" s="1"/>
    </row>
    <row r="3419" spans="1:8" x14ac:dyDescent="0.35">
      <c r="A3419" s="21"/>
      <c r="B3419" t="s">
        <v>925</v>
      </c>
      <c r="C3419" t="s">
        <v>6</v>
      </c>
      <c r="D3419" t="s">
        <v>3430</v>
      </c>
      <c r="F3419" s="1">
        <v>45881</v>
      </c>
      <c r="G3419" t="str">
        <f>IF(Table3[[#This Row],[Top Parent Account]]="",Table3[[#This Row],[Account Legal Name]],Table3[[#This Row],[Top Parent Account]])</f>
        <v>Moldequipo Internacional</v>
      </c>
      <c r="H3419" s="1"/>
    </row>
    <row r="3420" spans="1:8" x14ac:dyDescent="0.35">
      <c r="A3420" s="21"/>
      <c r="B3420" t="s">
        <v>2884</v>
      </c>
      <c r="C3420" t="s">
        <v>6</v>
      </c>
      <c r="D3420" t="s">
        <v>1044</v>
      </c>
      <c r="F3420" s="1">
        <v>45881</v>
      </c>
      <c r="G3420" t="str">
        <f>IF(Table3[[#This Row],[Top Parent Account]]="",Table3[[#This Row],[Account Legal Name]],Table3[[#This Row],[Top Parent Account]])</f>
        <v>MONTAJES INDUSTRIALES MYCA</v>
      </c>
      <c r="H3420" s="1"/>
    </row>
    <row r="3421" spans="1:8" x14ac:dyDescent="0.35">
      <c r="A3421" s="21"/>
      <c r="B3421" t="s">
        <v>1006</v>
      </c>
      <c r="C3421" t="s">
        <v>6</v>
      </c>
      <c r="D3421" t="s">
        <v>3067</v>
      </c>
      <c r="E3421" t="s">
        <v>349</v>
      </c>
      <c r="F3421" s="1">
        <v>45880</v>
      </c>
      <c r="G3421" t="str">
        <f>IF(Table3[[#This Row],[Top Parent Account]]="",Table3[[#This Row],[Account Legal Name]],Table3[[#This Row],[Top Parent Account]])</f>
        <v>Distribuidora Alimenticia Maravatio</v>
      </c>
      <c r="H3421" s="1"/>
    </row>
    <row r="3422" spans="1:8" x14ac:dyDescent="0.35">
      <c r="A3422" s="21"/>
      <c r="B3422" t="s">
        <v>2912</v>
      </c>
      <c r="C3422" t="s">
        <v>3055</v>
      </c>
      <c r="D3422" t="s">
        <v>477</v>
      </c>
      <c r="F3422" s="1">
        <v>45880</v>
      </c>
      <c r="G3422" t="str">
        <f>IF(Table3[[#This Row],[Top Parent Account]]="",Table3[[#This Row],[Account Legal Name]],Table3[[#This Row],[Top Parent Account]])</f>
        <v>EVENT EXPRESS</v>
      </c>
      <c r="H3422" s="1"/>
    </row>
    <row r="3423" spans="1:8" x14ac:dyDescent="0.35">
      <c r="A3423" s="21"/>
      <c r="B3423" t="s">
        <v>11</v>
      </c>
      <c r="C3423" t="s">
        <v>6</v>
      </c>
      <c r="D3423" t="s">
        <v>1490</v>
      </c>
      <c r="F3423" s="1">
        <v>45880</v>
      </c>
      <c r="G3423" t="str">
        <f>IF(Table3[[#This Row],[Top Parent Account]]="",Table3[[#This Row],[Account Legal Name]],Table3[[#This Row],[Top Parent Account]])</f>
        <v>Transporte y Logistica Buzmyr de México</v>
      </c>
      <c r="H3423" s="1"/>
    </row>
    <row r="3424" spans="1:8" x14ac:dyDescent="0.35">
      <c r="A3424" s="21"/>
      <c r="B3424" t="s">
        <v>820</v>
      </c>
      <c r="C3424" t="s">
        <v>6</v>
      </c>
      <c r="D3424" t="s">
        <v>446</v>
      </c>
      <c r="F3424" s="1">
        <v>45880</v>
      </c>
      <c r="G3424" t="str">
        <f>IF(Table3[[#This Row],[Top Parent Account]]="",Table3[[#This Row],[Account Legal Name]],Table3[[#This Row],[Top Parent Account]])</f>
        <v>Unilever de México</v>
      </c>
      <c r="H3424" s="1"/>
    </row>
    <row r="3425" spans="1:8" x14ac:dyDescent="0.35">
      <c r="A3425" s="21"/>
      <c r="B3425" t="s">
        <v>14</v>
      </c>
      <c r="C3425" t="s">
        <v>6</v>
      </c>
      <c r="D3425" t="s">
        <v>2490</v>
      </c>
      <c r="F3425" s="1">
        <v>45880</v>
      </c>
      <c r="G3425" t="str">
        <f>IF(Table3[[#This Row],[Top Parent Account]]="",Table3[[#This Row],[Account Legal Name]],Table3[[#This Row],[Top Parent Account]])</f>
        <v>Saverglass</v>
      </c>
      <c r="H3425" s="1"/>
    </row>
    <row r="3426" spans="1:8" x14ac:dyDescent="0.35">
      <c r="A3426" s="21"/>
      <c r="B3426" t="s">
        <v>27</v>
      </c>
      <c r="C3426" t="s">
        <v>6</v>
      </c>
      <c r="D3426" t="s">
        <v>3431</v>
      </c>
      <c r="F3426" s="1">
        <v>45880</v>
      </c>
      <c r="G3426" t="str">
        <f>IF(Table3[[#This Row],[Top Parent Account]]="",Table3[[#This Row],[Account Legal Name]],Table3[[#This Row],[Top Parent Account]])</f>
        <v>Giddings Fruit</v>
      </c>
      <c r="H3426" s="1"/>
    </row>
    <row r="3427" spans="1:8" x14ac:dyDescent="0.35">
      <c r="A3427" s="21"/>
      <c r="B3427" t="s">
        <v>2693</v>
      </c>
      <c r="C3427" t="s">
        <v>6</v>
      </c>
      <c r="D3427" t="s">
        <v>3325</v>
      </c>
      <c r="F3427" s="1">
        <v>45880</v>
      </c>
      <c r="G3427" t="str">
        <f>IF(Table3[[#This Row],[Top Parent Account]]="",Table3[[#This Row],[Account Legal Name]],Table3[[#This Row],[Top Parent Account]])</f>
        <v>Productos Mora</v>
      </c>
      <c r="H3427" s="1"/>
    </row>
    <row r="3428" spans="1:8" x14ac:dyDescent="0.35">
      <c r="A3428" s="21"/>
      <c r="B3428" t="s">
        <v>18</v>
      </c>
      <c r="C3428" t="s">
        <v>6</v>
      </c>
      <c r="D3428" t="s">
        <v>3434</v>
      </c>
      <c r="E3428" t="s">
        <v>926</v>
      </c>
      <c r="F3428" s="1">
        <v>45880</v>
      </c>
      <c r="G3428" t="str">
        <f>IF(Table3[[#This Row],[Top Parent Account]]="",Table3[[#This Row],[Account Legal Name]],Table3[[#This Row],[Top Parent Account]])</f>
        <v>Gracida Equipos Magnéticos</v>
      </c>
      <c r="H3428" s="1"/>
    </row>
    <row r="3429" spans="1:8" x14ac:dyDescent="0.35">
      <c r="A3429" s="21"/>
      <c r="B3429" t="s">
        <v>23</v>
      </c>
      <c r="C3429" t="s">
        <v>6</v>
      </c>
      <c r="D3429" t="s">
        <v>3432</v>
      </c>
      <c r="F3429" s="1">
        <v>45880</v>
      </c>
      <c r="G3429" t="str">
        <f>IF(Table3[[#This Row],[Top Parent Account]]="",Table3[[#This Row],[Account Legal Name]],Table3[[#This Row],[Top Parent Account]])</f>
        <v>GALECC TRADING</v>
      </c>
      <c r="H3429" s="1"/>
    </row>
    <row r="3430" spans="1:8" x14ac:dyDescent="0.35">
      <c r="A3430" s="21"/>
      <c r="B3430" t="s">
        <v>8</v>
      </c>
      <c r="C3430" t="s">
        <v>6</v>
      </c>
      <c r="D3430" t="s">
        <v>3433</v>
      </c>
      <c r="F3430" s="1">
        <v>45880</v>
      </c>
      <c r="G3430" t="str">
        <f>IF(Table3[[#This Row],[Top Parent Account]]="",Table3[[#This Row],[Account Legal Name]],Table3[[#This Row],[Top Parent Account]])</f>
        <v>Concretos Vimasa</v>
      </c>
      <c r="H3430" s="1"/>
    </row>
    <row r="3431" spans="1:8" x14ac:dyDescent="0.35">
      <c r="A3431" s="21"/>
      <c r="B3431" t="s">
        <v>2693</v>
      </c>
      <c r="C3431" t="s">
        <v>6</v>
      </c>
      <c r="D3431" t="s">
        <v>3435</v>
      </c>
      <c r="F3431" s="1">
        <v>45880</v>
      </c>
      <c r="G3431" t="str">
        <f>IF(Table3[[#This Row],[Top Parent Account]]="",Table3[[#This Row],[Account Legal Name]],Table3[[#This Row],[Top Parent Account]])</f>
        <v>Transbec Logistica y transportes</v>
      </c>
      <c r="H3431" s="1"/>
    </row>
    <row r="3432" spans="1:8" x14ac:dyDescent="0.35">
      <c r="A3432" s="21"/>
      <c r="B3432" t="s">
        <v>18</v>
      </c>
      <c r="C3432" t="s">
        <v>6</v>
      </c>
      <c r="D3432" t="s">
        <v>1187</v>
      </c>
      <c r="F3432" s="1">
        <v>45880</v>
      </c>
      <c r="G3432" t="str">
        <f>IF(Table3[[#This Row],[Top Parent Account]]="",Table3[[#This Row],[Account Legal Name]],Table3[[#This Row],[Top Parent Account]])</f>
        <v>Maiz Edificaciones</v>
      </c>
      <c r="H3432" s="1"/>
    </row>
    <row r="3433" spans="1:8" x14ac:dyDescent="0.35">
      <c r="A3433" s="21"/>
      <c r="B3433" t="s">
        <v>37</v>
      </c>
      <c r="C3433" t="s">
        <v>6</v>
      </c>
      <c r="D3433" t="s">
        <v>3668</v>
      </c>
      <c r="F3433" s="1">
        <v>45880</v>
      </c>
      <c r="G3433" t="str">
        <f>IF(Table3[[#This Row],[Top Parent Account]]="",Table3[[#This Row],[Account Legal Name]],Table3[[#This Row],[Top Parent Account]])</f>
        <v>SIEMT</v>
      </c>
      <c r="H3433" s="1"/>
    </row>
    <row r="3434" spans="1:8" x14ac:dyDescent="0.35">
      <c r="A3434" s="21"/>
      <c r="B3434" t="s">
        <v>2884</v>
      </c>
      <c r="C3434" t="s">
        <v>6</v>
      </c>
      <c r="D3434" t="s">
        <v>3436</v>
      </c>
      <c r="F3434" s="1">
        <v>45880</v>
      </c>
      <c r="G3434" t="str">
        <f>IF(Table3[[#This Row],[Top Parent Account]]="",Table3[[#This Row],[Account Legal Name]],Table3[[#This Row],[Top Parent Account]])</f>
        <v>Bandai Corporación México</v>
      </c>
      <c r="H3434" s="1"/>
    </row>
    <row r="3435" spans="1:8" x14ac:dyDescent="0.35">
      <c r="A3435" s="21"/>
      <c r="B3435" t="s">
        <v>84</v>
      </c>
      <c r="C3435" t="s">
        <v>52</v>
      </c>
      <c r="D3435" t="s">
        <v>3050</v>
      </c>
      <c r="F3435" s="1">
        <v>45877</v>
      </c>
      <c r="G3435" t="str">
        <f>IF(Table3[[#This Row],[Top Parent Account]]="",Table3[[#This Row],[Account Legal Name]],Table3[[#This Row],[Top Parent Account]])</f>
        <v>Vitti Logistics</v>
      </c>
      <c r="H3435" s="1"/>
    </row>
    <row r="3436" spans="1:8" x14ac:dyDescent="0.35">
      <c r="A3436" s="21"/>
      <c r="B3436" t="s">
        <v>7</v>
      </c>
      <c r="C3436" t="s">
        <v>6</v>
      </c>
      <c r="D3436" t="s">
        <v>3051</v>
      </c>
      <c r="F3436" s="1">
        <v>45877</v>
      </c>
      <c r="G3436" t="str">
        <f>IF(Table3[[#This Row],[Top Parent Account]]="",Table3[[#This Row],[Account Legal Name]],Table3[[#This Row],[Top Parent Account]])</f>
        <v>Modular Vanity Tops</v>
      </c>
      <c r="H3436" s="1"/>
    </row>
    <row r="3437" spans="1:8" x14ac:dyDescent="0.35">
      <c r="A3437" s="21"/>
      <c r="B3437" t="s">
        <v>207</v>
      </c>
      <c r="C3437" t="s">
        <v>6</v>
      </c>
      <c r="D3437" t="s">
        <v>2672</v>
      </c>
      <c r="F3437" s="1">
        <v>45877</v>
      </c>
      <c r="G3437" t="str">
        <f>IF(Table3[[#This Row],[Top Parent Account]]="",Table3[[#This Row],[Account Legal Name]],Table3[[#This Row],[Top Parent Account]])</f>
        <v>Entelequia Biodegradables</v>
      </c>
      <c r="H3437" s="1"/>
    </row>
    <row r="3438" spans="1:8" x14ac:dyDescent="0.35">
      <c r="A3438" s="21"/>
      <c r="B3438" t="s">
        <v>18</v>
      </c>
      <c r="C3438" t="s">
        <v>6</v>
      </c>
      <c r="D3438" t="s">
        <v>3052</v>
      </c>
      <c r="F3438" s="1">
        <v>45877</v>
      </c>
      <c r="G3438" t="str">
        <f>IF(Table3[[#This Row],[Top Parent Account]]="",Table3[[#This Row],[Account Legal Name]],Table3[[#This Row],[Top Parent Account]])</f>
        <v>Formec</v>
      </c>
      <c r="H3438" s="1"/>
    </row>
    <row r="3439" spans="1:8" x14ac:dyDescent="0.35">
      <c r="A3439" s="21"/>
      <c r="B3439" t="s">
        <v>207</v>
      </c>
      <c r="C3439" t="s">
        <v>6</v>
      </c>
      <c r="D3439" t="s">
        <v>2960</v>
      </c>
      <c r="F3439" s="1">
        <v>45877</v>
      </c>
      <c r="G3439" t="str">
        <f>IF(Table3[[#This Row],[Top Parent Account]]="",Table3[[#This Row],[Account Legal Name]],Table3[[#This Row],[Top Parent Account]])</f>
        <v>Grupo Medesa</v>
      </c>
      <c r="H3439" s="1"/>
    </row>
    <row r="3440" spans="1:8" x14ac:dyDescent="0.35">
      <c r="A3440" s="21"/>
      <c r="B3440" t="s">
        <v>18</v>
      </c>
      <c r="C3440" t="s">
        <v>6</v>
      </c>
      <c r="D3440" t="s">
        <v>1584</v>
      </c>
      <c r="F3440" s="1">
        <v>45877</v>
      </c>
      <c r="G3440" t="str">
        <f>IF(Table3[[#This Row],[Top Parent Account]]="",Table3[[#This Row],[Account Legal Name]],Table3[[#This Row],[Top Parent Account]])</f>
        <v>Sun Grain Comercial</v>
      </c>
      <c r="H3440" s="1"/>
    </row>
    <row r="3441" spans="1:8" x14ac:dyDescent="0.35">
      <c r="A3441" s="21"/>
      <c r="B3441" t="s">
        <v>27</v>
      </c>
      <c r="C3441" t="s">
        <v>6</v>
      </c>
      <c r="D3441" t="s">
        <v>3053</v>
      </c>
      <c r="F3441" s="1">
        <v>45877</v>
      </c>
      <c r="G3441" t="str">
        <f>IF(Table3[[#This Row],[Top Parent Account]]="",Table3[[#This Row],[Account Legal Name]],Table3[[#This Row],[Top Parent Account]])</f>
        <v>Faist group</v>
      </c>
      <c r="H3441" s="1"/>
    </row>
    <row r="3442" spans="1:8" x14ac:dyDescent="0.35">
      <c r="A3442" s="21"/>
      <c r="B3442" t="s">
        <v>18</v>
      </c>
      <c r="C3442" t="s">
        <v>6</v>
      </c>
      <c r="D3442" t="s">
        <v>1314</v>
      </c>
      <c r="F3442" s="1">
        <v>45877</v>
      </c>
      <c r="G3442" t="str">
        <f>IF(Table3[[#This Row],[Top Parent Account]]="",Table3[[#This Row],[Account Legal Name]],Table3[[#This Row],[Top Parent Account]])</f>
        <v>Transportes Santa Maria</v>
      </c>
      <c r="H3442" s="1"/>
    </row>
    <row r="3443" spans="1:8" x14ac:dyDescent="0.35">
      <c r="A3443" s="21"/>
      <c r="B3443" t="s">
        <v>88</v>
      </c>
      <c r="C3443" t="s">
        <v>6</v>
      </c>
      <c r="D3443" t="s">
        <v>3054</v>
      </c>
      <c r="F3443" s="1">
        <v>45877</v>
      </c>
      <c r="G3443" t="str">
        <f>IF(Table3[[#This Row],[Top Parent Account]]="",Table3[[#This Row],[Account Legal Name]],Table3[[#This Row],[Top Parent Account]])</f>
        <v>María de Lourdes Inzunza Gallardo</v>
      </c>
      <c r="H3443" s="1"/>
    </row>
    <row r="3444" spans="1:8" x14ac:dyDescent="0.35">
      <c r="A3444" s="21"/>
      <c r="B3444" t="s">
        <v>2912</v>
      </c>
      <c r="C3444" t="s">
        <v>3055</v>
      </c>
      <c r="D3444" t="s">
        <v>407</v>
      </c>
      <c r="F3444" s="1">
        <v>45877</v>
      </c>
      <c r="G3444" t="str">
        <f>IF(Table3[[#This Row],[Top Parent Account]]="",Table3[[#This Row],[Account Legal Name]],Table3[[#This Row],[Top Parent Account]])</f>
        <v>Frialsa</v>
      </c>
      <c r="H3444" s="1"/>
    </row>
    <row r="3445" spans="1:8" x14ac:dyDescent="0.35">
      <c r="A3445" s="21"/>
      <c r="B3445" t="s">
        <v>21</v>
      </c>
      <c r="C3445" t="s">
        <v>6</v>
      </c>
      <c r="D3445" t="s">
        <v>3056</v>
      </c>
      <c r="F3445" s="1">
        <v>45877</v>
      </c>
      <c r="G3445" t="str">
        <f>IF(Table3[[#This Row],[Top Parent Account]]="",Table3[[#This Row],[Account Legal Name]],Table3[[#This Row],[Top Parent Account]])</f>
        <v>Transportes Tav</v>
      </c>
      <c r="H3445" s="1"/>
    </row>
    <row r="3446" spans="1:8" x14ac:dyDescent="0.35">
      <c r="A3446" s="21"/>
      <c r="B3446" t="s">
        <v>28</v>
      </c>
      <c r="C3446" t="s">
        <v>6</v>
      </c>
      <c r="D3446" t="s">
        <v>3057</v>
      </c>
      <c r="F3446" s="1">
        <v>45877</v>
      </c>
      <c r="G3446" t="str">
        <f>IF(Table3[[#This Row],[Top Parent Account]]="",Table3[[#This Row],[Account Legal Name]],Table3[[#This Row],[Top Parent Account]])</f>
        <v>Auto Transportes Cisneros</v>
      </c>
      <c r="H3446" s="1"/>
    </row>
    <row r="3447" spans="1:8" x14ac:dyDescent="0.35">
      <c r="A3447" s="21"/>
      <c r="B3447" t="s">
        <v>1006</v>
      </c>
      <c r="C3447" t="s">
        <v>6</v>
      </c>
      <c r="D3447" t="s">
        <v>3058</v>
      </c>
      <c r="E3447" t="s">
        <v>923</v>
      </c>
      <c r="F3447" s="1">
        <v>45876</v>
      </c>
      <c r="G3447" t="str">
        <f>IF(Table3[[#This Row],[Top Parent Account]]="",Table3[[#This Row],[Account Legal Name]],Table3[[#This Row],[Top Parent Account]])</f>
        <v>Big Low Boy</v>
      </c>
      <c r="H3447" s="1"/>
    </row>
    <row r="3448" spans="1:8" x14ac:dyDescent="0.35">
      <c r="A3448" s="21"/>
      <c r="B3448" t="s">
        <v>18</v>
      </c>
      <c r="C3448" t="s">
        <v>6</v>
      </c>
      <c r="D3448" t="s">
        <v>1584</v>
      </c>
      <c r="F3448" s="1">
        <v>45876</v>
      </c>
      <c r="G3448" t="str">
        <f>IF(Table3[[#This Row],[Top Parent Account]]="",Table3[[#This Row],[Account Legal Name]],Table3[[#This Row],[Top Parent Account]])</f>
        <v>Sun Grain Comercial</v>
      </c>
      <c r="H3448" s="1"/>
    </row>
    <row r="3449" spans="1:8" x14ac:dyDescent="0.35">
      <c r="A3449" s="21"/>
      <c r="B3449" t="s">
        <v>208</v>
      </c>
      <c r="C3449" t="s">
        <v>6</v>
      </c>
      <c r="D3449" t="s">
        <v>545</v>
      </c>
      <c r="F3449" s="1">
        <v>45876</v>
      </c>
      <c r="G3449" t="str">
        <f>IF(Table3[[#This Row],[Top Parent Account]]="",Table3[[#This Row],[Account Legal Name]],Table3[[#This Row],[Top Parent Account]])</f>
        <v>Imaginación en Movimiento</v>
      </c>
      <c r="H3449" s="1"/>
    </row>
    <row r="3450" spans="1:8" x14ac:dyDescent="0.35">
      <c r="A3450" s="21"/>
      <c r="B3450" t="s">
        <v>29</v>
      </c>
      <c r="C3450" t="s">
        <v>6</v>
      </c>
      <c r="D3450" t="s">
        <v>3059</v>
      </c>
      <c r="F3450" s="1">
        <v>45876</v>
      </c>
      <c r="G3450" t="str">
        <f>IF(Table3[[#This Row],[Top Parent Account]]="",Table3[[#This Row],[Account Legal Name]],Table3[[#This Row],[Top Parent Account]])</f>
        <v>Bopisa</v>
      </c>
      <c r="H3450" s="1"/>
    </row>
    <row r="3451" spans="1:8" x14ac:dyDescent="0.35">
      <c r="A3451" s="21"/>
      <c r="B3451" t="s">
        <v>18</v>
      </c>
      <c r="C3451" t="s">
        <v>6</v>
      </c>
      <c r="D3451" t="s">
        <v>2393</v>
      </c>
      <c r="F3451" s="1">
        <v>45876</v>
      </c>
      <c r="G3451" t="str">
        <f>IF(Table3[[#This Row],[Top Parent Account]]="",Table3[[#This Row],[Account Legal Name]],Table3[[#This Row],[Top Parent Account]])</f>
        <v>Maquinados AEME</v>
      </c>
      <c r="H3451" s="1"/>
    </row>
    <row r="3452" spans="1:8" x14ac:dyDescent="0.35">
      <c r="A3452" s="21"/>
      <c r="B3452" t="s">
        <v>375</v>
      </c>
      <c r="C3452" t="s">
        <v>6</v>
      </c>
      <c r="D3452" t="s">
        <v>2878</v>
      </c>
      <c r="F3452" s="1">
        <v>45876</v>
      </c>
      <c r="G3452" t="str">
        <f>IF(Table3[[#This Row],[Top Parent Account]]="",Table3[[#This Row],[Account Legal Name]],Table3[[#This Row],[Top Parent Account]])</f>
        <v>Fletes Mex</v>
      </c>
      <c r="H3452" s="1"/>
    </row>
    <row r="3453" spans="1:8" x14ac:dyDescent="0.35">
      <c r="A3453" s="21"/>
      <c r="B3453" t="s">
        <v>820</v>
      </c>
      <c r="C3453" t="s">
        <v>6</v>
      </c>
      <c r="D3453" t="s">
        <v>253</v>
      </c>
      <c r="E3453" t="s">
        <v>254</v>
      </c>
      <c r="F3453" s="1">
        <v>45876</v>
      </c>
      <c r="G3453" t="str">
        <f>IF(Table3[[#This Row],[Top Parent Account]]="",Table3[[#This Row],[Account Legal Name]],Table3[[#This Row],[Top Parent Account]])</f>
        <v>Tubos y Barras Huecas</v>
      </c>
      <c r="H3453" s="1"/>
    </row>
    <row r="3454" spans="1:8" x14ac:dyDescent="0.35">
      <c r="A3454" s="21"/>
      <c r="B3454" t="s">
        <v>27</v>
      </c>
      <c r="C3454" t="s">
        <v>6</v>
      </c>
      <c r="D3454" t="s">
        <v>3013</v>
      </c>
      <c r="F3454" s="1">
        <v>45876</v>
      </c>
      <c r="G3454" t="str">
        <f>IF(Table3[[#This Row],[Top Parent Account]]="",Table3[[#This Row],[Account Legal Name]],Table3[[#This Row],[Top Parent Account]])</f>
        <v>Honda de México</v>
      </c>
      <c r="H3454" s="1"/>
    </row>
    <row r="3455" spans="1:8" x14ac:dyDescent="0.35">
      <c r="A3455" s="21"/>
      <c r="B3455" t="s">
        <v>11</v>
      </c>
      <c r="C3455" t="s">
        <v>6</v>
      </c>
      <c r="D3455" t="s">
        <v>181</v>
      </c>
      <c r="F3455" s="1">
        <v>45876</v>
      </c>
      <c r="G3455" t="str">
        <f>IF(Table3[[#This Row],[Top Parent Account]]="",Table3[[#This Row],[Account Legal Name]],Table3[[#This Row],[Top Parent Account]])</f>
        <v>Heidelberg México</v>
      </c>
      <c r="H3455" s="1"/>
    </row>
    <row r="3456" spans="1:8" x14ac:dyDescent="0.35">
      <c r="A3456" s="21"/>
      <c r="B3456" t="s">
        <v>1006</v>
      </c>
      <c r="C3456" t="s">
        <v>6</v>
      </c>
      <c r="D3456" t="s">
        <v>3060</v>
      </c>
      <c r="F3456" s="1">
        <v>45876</v>
      </c>
      <c r="G3456" t="str">
        <f>IF(Table3[[#This Row],[Top Parent Account]]="",Table3[[#This Row],[Account Legal Name]],Table3[[#This Row],[Top Parent Account]])</f>
        <v>JORGE IGNACIO MADRIGAL DEL TORO</v>
      </c>
      <c r="H3456" s="1"/>
    </row>
    <row r="3457" spans="1:8" x14ac:dyDescent="0.35">
      <c r="A3457" s="21"/>
      <c r="B3457" t="s">
        <v>28</v>
      </c>
      <c r="C3457" t="s">
        <v>6</v>
      </c>
      <c r="D3457" t="s">
        <v>3061</v>
      </c>
      <c r="F3457" s="1">
        <v>45876</v>
      </c>
      <c r="G3457" t="str">
        <f>IF(Table3[[#This Row],[Top Parent Account]]="",Table3[[#This Row],[Account Legal Name]],Table3[[#This Row],[Top Parent Account]])</f>
        <v>RECIKLA AMBIENTAL</v>
      </c>
      <c r="H3457" s="1"/>
    </row>
    <row r="3458" spans="1:8" x14ac:dyDescent="0.35">
      <c r="A3458" s="21"/>
      <c r="B3458" t="s">
        <v>208</v>
      </c>
      <c r="C3458" t="s">
        <v>6</v>
      </c>
      <c r="D3458" t="s">
        <v>1714</v>
      </c>
      <c r="F3458" s="1">
        <v>45876</v>
      </c>
      <c r="G3458" t="str">
        <f>IF(Table3[[#This Row],[Top Parent Account]]="",Table3[[#This Row],[Account Legal Name]],Table3[[#This Row],[Top Parent Account]])</f>
        <v>SERTI</v>
      </c>
      <c r="H3458" s="1"/>
    </row>
    <row r="3459" spans="1:8" x14ac:dyDescent="0.35">
      <c r="A3459" s="21"/>
      <c r="B3459" t="s">
        <v>820</v>
      </c>
      <c r="C3459" t="s">
        <v>6</v>
      </c>
      <c r="D3459" t="s">
        <v>415</v>
      </c>
      <c r="F3459" s="1">
        <v>45876</v>
      </c>
      <c r="G3459" t="str">
        <f>IF(Table3[[#This Row],[Top Parent Account]]="",Table3[[#This Row],[Account Legal Name]],Table3[[#This Row],[Top Parent Account]])</f>
        <v>Olnatura</v>
      </c>
      <c r="H3459" s="1"/>
    </row>
    <row r="3460" spans="1:8" x14ac:dyDescent="0.35">
      <c r="A3460" s="21"/>
      <c r="B3460" t="s">
        <v>18</v>
      </c>
      <c r="C3460" t="s">
        <v>6</v>
      </c>
      <c r="D3460" t="s">
        <v>3086</v>
      </c>
      <c r="F3460" s="1">
        <v>45876</v>
      </c>
      <c r="G3460" t="str">
        <f>IF(Table3[[#This Row],[Top Parent Account]]="",Table3[[#This Row],[Account Legal Name]],Table3[[#This Row],[Top Parent Account]])</f>
        <v>VALLE DE ALTO CLUB DE GOLF</v>
      </c>
      <c r="H3460" s="1"/>
    </row>
    <row r="3461" spans="1:8" x14ac:dyDescent="0.35">
      <c r="A3461" s="21"/>
      <c r="B3461" t="s">
        <v>26</v>
      </c>
      <c r="C3461" t="s">
        <v>6</v>
      </c>
      <c r="D3461" t="s">
        <v>418</v>
      </c>
      <c r="F3461" s="1">
        <v>45876</v>
      </c>
      <c r="G3461" t="str">
        <f>IF(Table3[[#This Row],[Top Parent Account]]="",Table3[[#This Row],[Account Legal Name]],Table3[[#This Row],[Top Parent Account]])</f>
        <v>Grupo Altex</v>
      </c>
      <c r="H3461" s="1"/>
    </row>
    <row r="3462" spans="1:8" x14ac:dyDescent="0.35">
      <c r="A3462" s="21"/>
      <c r="B3462" t="s">
        <v>14</v>
      </c>
      <c r="C3462" t="s">
        <v>6</v>
      </c>
      <c r="D3462" t="s">
        <v>3062</v>
      </c>
      <c r="F3462" s="1">
        <v>45876</v>
      </c>
      <c r="G3462" t="str">
        <f>IF(Table3[[#This Row],[Top Parent Account]]="",Table3[[#This Row],[Account Legal Name]],Table3[[#This Row],[Top Parent Account]])</f>
        <v>Fibrart</v>
      </c>
      <c r="H3462" s="1"/>
    </row>
    <row r="3463" spans="1:8" x14ac:dyDescent="0.35">
      <c r="A3463" s="21"/>
      <c r="B3463" t="s">
        <v>989</v>
      </c>
      <c r="C3463" t="s">
        <v>6</v>
      </c>
      <c r="D3463" t="s">
        <v>2018</v>
      </c>
      <c r="F3463" s="1">
        <v>45876</v>
      </c>
      <c r="G3463" t="str">
        <f>IF(Table3[[#This Row],[Top Parent Account]]="",Table3[[#This Row],[Account Legal Name]],Table3[[#This Row],[Top Parent Account]])</f>
        <v>Microformas</v>
      </c>
      <c r="H3463" s="1"/>
    </row>
    <row r="3464" spans="1:8" x14ac:dyDescent="0.35">
      <c r="A3464" s="21"/>
      <c r="B3464" t="s">
        <v>7</v>
      </c>
      <c r="C3464" t="s">
        <v>6</v>
      </c>
      <c r="D3464" t="s">
        <v>97</v>
      </c>
      <c r="F3464" s="1">
        <v>45876</v>
      </c>
      <c r="G3464" t="str">
        <f>IF(Table3[[#This Row],[Top Parent Account]]="",Table3[[#This Row],[Account Legal Name]],Table3[[#This Row],[Top Parent Account]])</f>
        <v>SWIFT COMPANY</v>
      </c>
      <c r="H3464" s="1"/>
    </row>
    <row r="3465" spans="1:8" x14ac:dyDescent="0.35">
      <c r="A3465" s="21"/>
      <c r="B3465" t="s">
        <v>2693</v>
      </c>
      <c r="C3465" t="s">
        <v>6</v>
      </c>
      <c r="D3465" t="s">
        <v>3016</v>
      </c>
      <c r="F3465" s="1">
        <v>45876</v>
      </c>
      <c r="G3465" t="str">
        <f>IF(Table3[[#This Row],[Top Parent Account]]="",Table3[[#This Row],[Account Legal Name]],Table3[[#This Row],[Top Parent Account]])</f>
        <v>Alpha Cerámica</v>
      </c>
      <c r="H3465" s="1"/>
    </row>
    <row r="3466" spans="1:8" x14ac:dyDescent="0.35">
      <c r="A3466" s="21"/>
      <c r="B3466" t="s">
        <v>37</v>
      </c>
      <c r="C3466" t="s">
        <v>6</v>
      </c>
      <c r="D3466" t="s">
        <v>3014</v>
      </c>
      <c r="F3466" s="1">
        <v>45876</v>
      </c>
      <c r="G3466" t="str">
        <f>IF(Table3[[#This Row],[Top Parent Account]]="",Table3[[#This Row],[Account Legal Name]],Table3[[#This Row],[Top Parent Account]])</f>
        <v>Pasteurizadora Jersey Del Noroeste</v>
      </c>
      <c r="H3466" s="1"/>
    </row>
    <row r="3467" spans="1:8" x14ac:dyDescent="0.35">
      <c r="A3467" s="21"/>
      <c r="B3467" t="s">
        <v>39</v>
      </c>
      <c r="C3467" t="s">
        <v>57</v>
      </c>
      <c r="D3467" t="s">
        <v>3015</v>
      </c>
      <c r="F3467" s="1">
        <v>45876</v>
      </c>
      <c r="G3467" t="str">
        <f>IF(Table3[[#This Row],[Top Parent Account]]="",Table3[[#This Row],[Account Legal Name]],Table3[[#This Row],[Top Parent Account]])</f>
        <v>Avícola Linda Vista</v>
      </c>
      <c r="H3467" s="1"/>
    </row>
    <row r="3468" spans="1:8" x14ac:dyDescent="0.35">
      <c r="A3468" s="21"/>
      <c r="B3468" t="s">
        <v>29</v>
      </c>
      <c r="C3468" t="s">
        <v>6</v>
      </c>
      <c r="D3468" t="s">
        <v>1013</v>
      </c>
      <c r="F3468" s="1">
        <v>45876</v>
      </c>
      <c r="G3468" t="str">
        <f>IF(Table3[[#This Row],[Top Parent Account]]="",Table3[[#This Row],[Account Legal Name]],Table3[[#This Row],[Top Parent Account]])</f>
        <v>Laminados Extruidos Plásticos</v>
      </c>
      <c r="H3468" s="1"/>
    </row>
    <row r="3469" spans="1:8" x14ac:dyDescent="0.35">
      <c r="A3469" s="21"/>
      <c r="B3469" t="s">
        <v>820</v>
      </c>
      <c r="C3469" t="s">
        <v>6</v>
      </c>
      <c r="D3469" t="s">
        <v>671</v>
      </c>
      <c r="F3469" s="1">
        <v>45876</v>
      </c>
      <c r="G3469" t="str">
        <f>IF(Table3[[#This Row],[Top Parent Account]]="",Table3[[#This Row],[Account Legal Name]],Table3[[#This Row],[Top Parent Account]])</f>
        <v>Polibrisa de México</v>
      </c>
      <c r="H3469" s="1"/>
    </row>
    <row r="3470" spans="1:8" x14ac:dyDescent="0.35">
      <c r="A3470" s="21"/>
      <c r="B3470" t="s">
        <v>969</v>
      </c>
      <c r="C3470" t="s">
        <v>6</v>
      </c>
      <c r="D3470" t="s">
        <v>966</v>
      </c>
      <c r="F3470" s="1">
        <v>45876</v>
      </c>
      <c r="G3470" t="str">
        <f>IF(Table3[[#This Row],[Top Parent Account]]="",Table3[[#This Row],[Account Legal Name]],Table3[[#This Row],[Top Parent Account]])</f>
        <v>PLASTINDEMEX</v>
      </c>
      <c r="H3470" s="1"/>
    </row>
    <row r="3471" spans="1:8" x14ac:dyDescent="0.35">
      <c r="A3471" s="21"/>
      <c r="B3471" t="s">
        <v>116</v>
      </c>
      <c r="C3471" t="s">
        <v>6</v>
      </c>
      <c r="D3471" t="s">
        <v>3065</v>
      </c>
      <c r="E3471" t="s">
        <v>3066</v>
      </c>
      <c r="F3471" s="1">
        <v>45876</v>
      </c>
      <c r="G3471" t="str">
        <f>IF(Table3[[#This Row],[Top Parent Account]]="",Table3[[#This Row],[Account Legal Name]],Table3[[#This Row],[Top Parent Account]])</f>
        <v>Ureblock</v>
      </c>
      <c r="H3471" s="1"/>
    </row>
    <row r="3472" spans="1:8" x14ac:dyDescent="0.35">
      <c r="A3472" s="21"/>
      <c r="B3472" t="s">
        <v>2884</v>
      </c>
      <c r="C3472" t="s">
        <v>6</v>
      </c>
      <c r="D3472" t="s">
        <v>306</v>
      </c>
      <c r="F3472" s="1">
        <v>45876</v>
      </c>
      <c r="G3472" t="str">
        <f>IF(Table3[[#This Row],[Top Parent Account]]="",Table3[[#This Row],[Account Legal Name]],Table3[[#This Row],[Top Parent Account]])</f>
        <v>Cie</v>
      </c>
      <c r="H3472" s="1"/>
    </row>
    <row r="3473" spans="1:8" x14ac:dyDescent="0.35">
      <c r="A3473" s="21"/>
      <c r="B3473" t="s">
        <v>3063</v>
      </c>
      <c r="C3473" t="s">
        <v>6</v>
      </c>
      <c r="D3473" t="s">
        <v>1350</v>
      </c>
      <c r="F3473" s="1">
        <v>45876</v>
      </c>
      <c r="G3473" t="str">
        <f>IF(Table3[[#This Row],[Top Parent Account]]="",Table3[[#This Row],[Account Legal Name]],Table3[[#This Row],[Top Parent Account]])</f>
        <v>Arte Plastics</v>
      </c>
      <c r="H3473" s="1"/>
    </row>
    <row r="3474" spans="1:8" x14ac:dyDescent="0.35">
      <c r="A3474" s="21"/>
      <c r="B3474" t="s">
        <v>739</v>
      </c>
      <c r="C3474" t="s">
        <v>6</v>
      </c>
      <c r="D3474" t="s">
        <v>3064</v>
      </c>
      <c r="F3474" s="1">
        <v>45876</v>
      </c>
      <c r="G3474" t="str">
        <f>IF(Table3[[#This Row],[Top Parent Account]]="",Table3[[#This Row],[Account Legal Name]],Table3[[#This Row],[Top Parent Account]])</f>
        <v>Grupo Julio</v>
      </c>
      <c r="H3474" s="1"/>
    </row>
    <row r="3475" spans="1:8" x14ac:dyDescent="0.35">
      <c r="A3475" s="21"/>
      <c r="B3475" t="s">
        <v>2658</v>
      </c>
      <c r="C3475" t="s">
        <v>6</v>
      </c>
      <c r="D3475" t="s">
        <v>2828</v>
      </c>
      <c r="F3475" s="1">
        <v>45876</v>
      </c>
      <c r="G3475" t="str">
        <f>IF(Table3[[#This Row],[Top Parent Account]]="",Table3[[#This Row],[Account Legal Name]],Table3[[#This Row],[Top Parent Account]])</f>
        <v>IACNA MEXICO</v>
      </c>
      <c r="H3475" s="1"/>
    </row>
    <row r="3476" spans="1:8" x14ac:dyDescent="0.35">
      <c r="A3476" s="21"/>
      <c r="B3476" t="s">
        <v>84</v>
      </c>
      <c r="C3476" t="s">
        <v>6</v>
      </c>
      <c r="D3476" t="s">
        <v>3017</v>
      </c>
      <c r="F3476" s="1">
        <v>45876</v>
      </c>
      <c r="G3476" t="str">
        <f>IF(Table3[[#This Row],[Top Parent Account]]="",Table3[[#This Row],[Account Legal Name]],Table3[[#This Row],[Top Parent Account]])</f>
        <v>Procesos y Cultivos Marinos</v>
      </c>
      <c r="H3476" s="1"/>
    </row>
    <row r="3477" spans="1:8" x14ac:dyDescent="0.35">
      <c r="A3477" s="21"/>
      <c r="B3477" t="s">
        <v>1131</v>
      </c>
      <c r="C3477" t="s">
        <v>6</v>
      </c>
      <c r="D3477" t="s">
        <v>3018</v>
      </c>
      <c r="F3477" s="1">
        <v>45876</v>
      </c>
      <c r="G3477" t="str">
        <f>IF(Table3[[#This Row],[Top Parent Account]]="",Table3[[#This Row],[Account Legal Name]],Table3[[#This Row],[Top Parent Account]])</f>
        <v>Transportes Vencedor</v>
      </c>
      <c r="H3477" s="1"/>
    </row>
    <row r="3478" spans="1:8" x14ac:dyDescent="0.35">
      <c r="A3478" s="21"/>
      <c r="B3478" t="s">
        <v>1131</v>
      </c>
      <c r="C3478" t="s">
        <v>6</v>
      </c>
      <c r="D3478" t="s">
        <v>2626</v>
      </c>
      <c r="F3478" s="1">
        <v>45876</v>
      </c>
      <c r="G3478" t="str">
        <f>IF(Table3[[#This Row],[Top Parent Account]]="",Table3[[#This Row],[Account Legal Name]],Table3[[#This Row],[Top Parent Account]])</f>
        <v>COMERCIALIZADORA Y MAQUILADORA DE PLASTICOS JAGASA</v>
      </c>
      <c r="H3478" s="1"/>
    </row>
    <row r="3479" spans="1:8" x14ac:dyDescent="0.35">
      <c r="A3479" s="21"/>
      <c r="B3479" t="s">
        <v>38</v>
      </c>
      <c r="C3479" t="s">
        <v>6</v>
      </c>
      <c r="D3479" t="s">
        <v>664</v>
      </c>
      <c r="F3479" s="1">
        <v>45876</v>
      </c>
      <c r="G3479" t="str">
        <f>IF(Table3[[#This Row],[Top Parent Account]]="",Table3[[#This Row],[Account Legal Name]],Table3[[#This Row],[Top Parent Account]])</f>
        <v>Waukesha Metal Products de México</v>
      </c>
      <c r="H3479" s="1"/>
    </row>
    <row r="3480" spans="1:8" x14ac:dyDescent="0.35">
      <c r="A3480" s="21"/>
      <c r="B3480" t="s">
        <v>1006</v>
      </c>
      <c r="C3480" t="s">
        <v>6</v>
      </c>
      <c r="D3480" t="s">
        <v>3067</v>
      </c>
      <c r="E3480" t="s">
        <v>349</v>
      </c>
      <c r="F3480" s="1">
        <v>45876</v>
      </c>
      <c r="G3480" t="str">
        <f>IF(Table3[[#This Row],[Top Parent Account]]="",Table3[[#This Row],[Account Legal Name]],Table3[[#This Row],[Top Parent Account]])</f>
        <v>Distribuidora Alimenticia Maravatio</v>
      </c>
      <c r="H3480" s="1"/>
    </row>
    <row r="3481" spans="1:8" x14ac:dyDescent="0.35">
      <c r="A3481" s="21"/>
      <c r="B3481" t="s">
        <v>820</v>
      </c>
      <c r="C3481" t="s">
        <v>6</v>
      </c>
      <c r="D3481" t="s">
        <v>319</v>
      </c>
      <c r="F3481" s="1">
        <v>45876</v>
      </c>
      <c r="G3481" t="str">
        <f>IF(Table3[[#This Row],[Top Parent Account]]="",Table3[[#This Row],[Account Legal Name]],Table3[[#This Row],[Top Parent Account]])</f>
        <v>Aspid</v>
      </c>
      <c r="H3481" s="1"/>
    </row>
    <row r="3482" spans="1:8" x14ac:dyDescent="0.35">
      <c r="A3482" s="21"/>
      <c r="B3482" t="s">
        <v>51</v>
      </c>
      <c r="C3482" t="s">
        <v>6</v>
      </c>
      <c r="D3482" t="s">
        <v>3087</v>
      </c>
      <c r="F3482" s="1">
        <v>45876</v>
      </c>
      <c r="G3482" t="str">
        <f>IF(Table3[[#This Row],[Top Parent Account]]="",Table3[[#This Row],[Account Legal Name]],Table3[[#This Row],[Top Parent Account]])</f>
        <v>Exportadora De Plasticos Agricolas</v>
      </c>
      <c r="H3482" s="1"/>
    </row>
    <row r="3483" spans="1:8" x14ac:dyDescent="0.35">
      <c r="A3483" s="21"/>
      <c r="B3483" t="s">
        <v>1006</v>
      </c>
      <c r="C3483" t="s">
        <v>6</v>
      </c>
      <c r="D3483" t="s">
        <v>824</v>
      </c>
      <c r="E3483" t="s">
        <v>817</v>
      </c>
      <c r="F3483" s="1">
        <v>45875</v>
      </c>
      <c r="G3483" t="str">
        <f>IF(Table3[[#This Row],[Top Parent Account]]="",Table3[[#This Row],[Account Legal Name]],Table3[[#This Row],[Top Parent Account]])</f>
        <v>GRUPO CIMA</v>
      </c>
      <c r="H3483" s="1"/>
    </row>
    <row r="3484" spans="1:8" x14ac:dyDescent="0.35">
      <c r="A3484" s="21"/>
      <c r="B3484" t="s">
        <v>21</v>
      </c>
      <c r="C3484" t="s">
        <v>6</v>
      </c>
      <c r="D3484" t="s">
        <v>3068</v>
      </c>
      <c r="F3484" s="1">
        <v>45875</v>
      </c>
      <c r="G3484" t="str">
        <f>IF(Table3[[#This Row],[Top Parent Account]]="",Table3[[#This Row],[Account Legal Name]],Table3[[#This Row],[Top Parent Account]])</f>
        <v>Transportadora Fat Guy</v>
      </c>
      <c r="H3484" s="1"/>
    </row>
    <row r="3485" spans="1:8" x14ac:dyDescent="0.35">
      <c r="A3485" s="21"/>
      <c r="B3485" t="s">
        <v>43</v>
      </c>
      <c r="C3485" t="s">
        <v>6</v>
      </c>
      <c r="D3485" t="s">
        <v>3069</v>
      </c>
      <c r="F3485" s="1">
        <v>45875</v>
      </c>
      <c r="G3485" t="str">
        <f>IF(Table3[[#This Row],[Top Parent Account]]="",Table3[[#This Row],[Account Legal Name]],Table3[[#This Row],[Top Parent Account]])</f>
        <v>Cbre</v>
      </c>
      <c r="H3485" s="1"/>
    </row>
    <row r="3486" spans="1:8" x14ac:dyDescent="0.35">
      <c r="A3486" s="21"/>
      <c r="B3486" t="s">
        <v>26</v>
      </c>
      <c r="C3486" t="s">
        <v>6</v>
      </c>
      <c r="D3486" t="s">
        <v>3019</v>
      </c>
      <c r="F3486" s="1">
        <v>45875</v>
      </c>
      <c r="G3486" t="str">
        <f>IF(Table3[[#This Row],[Top Parent Account]]="",Table3[[#This Row],[Account Legal Name]],Table3[[#This Row],[Top Parent Account]])</f>
        <v>Miranda, Arana, Velasco</v>
      </c>
      <c r="H3486" s="1"/>
    </row>
    <row r="3487" spans="1:8" x14ac:dyDescent="0.35">
      <c r="A3487" s="21"/>
      <c r="B3487" t="s">
        <v>375</v>
      </c>
      <c r="C3487" t="s">
        <v>6</v>
      </c>
      <c r="D3487" t="s">
        <v>1198</v>
      </c>
      <c r="F3487" s="1">
        <v>45875</v>
      </c>
      <c r="G3487" t="str">
        <f>IF(Table3[[#This Row],[Top Parent Account]]="",Table3[[#This Row],[Account Legal Name]],Table3[[#This Row],[Top Parent Account]])</f>
        <v>Polimeros Nacionales</v>
      </c>
      <c r="H3487" s="1"/>
    </row>
    <row r="3488" spans="1:8" x14ac:dyDescent="0.35">
      <c r="A3488" s="21"/>
      <c r="B3488" t="s">
        <v>1006</v>
      </c>
      <c r="C3488" t="s">
        <v>6</v>
      </c>
      <c r="D3488" t="s">
        <v>2080</v>
      </c>
      <c r="F3488" s="1">
        <v>45875</v>
      </c>
      <c r="G3488" t="str">
        <f>IF(Table3[[#This Row],[Top Parent Account]]="",Table3[[#This Row],[Account Legal Name]],Table3[[#This Row],[Top Parent Account]])</f>
        <v>Integradora de servicios UTCM</v>
      </c>
      <c r="H3488" s="1"/>
    </row>
    <row r="3489" spans="1:8" x14ac:dyDescent="0.35">
      <c r="A3489" s="21"/>
      <c r="B3489" t="s">
        <v>21</v>
      </c>
      <c r="C3489" t="s">
        <v>6</v>
      </c>
      <c r="D3489" t="s">
        <v>3070</v>
      </c>
      <c r="F3489" s="1">
        <v>45875</v>
      </c>
      <c r="G3489" t="str">
        <f>IF(Table3[[#This Row],[Top Parent Account]]="",Table3[[#This Row],[Account Legal Name]],Table3[[#This Row],[Top Parent Account]])</f>
        <v>Transportes San Jose</v>
      </c>
      <c r="H3489" s="1"/>
    </row>
    <row r="3490" spans="1:8" x14ac:dyDescent="0.35">
      <c r="A3490" s="21"/>
      <c r="B3490" t="s">
        <v>172</v>
      </c>
      <c r="C3490" t="s">
        <v>6</v>
      </c>
      <c r="D3490" t="s">
        <v>3071</v>
      </c>
      <c r="F3490" s="1">
        <v>45875</v>
      </c>
      <c r="G3490" t="str">
        <f>IF(Table3[[#This Row],[Top Parent Account]]="",Table3[[#This Row],[Account Legal Name]],Table3[[#This Row],[Top Parent Account]])</f>
        <v>Sixt Car Rental</v>
      </c>
      <c r="H3490" s="1"/>
    </row>
    <row r="3491" spans="1:8" x14ac:dyDescent="0.35">
      <c r="A3491" s="21"/>
      <c r="B3491" t="s">
        <v>169</v>
      </c>
      <c r="C3491" t="s">
        <v>6</v>
      </c>
      <c r="D3491" t="s">
        <v>3020</v>
      </c>
      <c r="F3491" s="1">
        <v>45875</v>
      </c>
      <c r="G3491" t="str">
        <f>IF(Table3[[#This Row],[Top Parent Account]]="",Table3[[#This Row],[Account Legal Name]],Table3[[#This Row],[Top Parent Account]])</f>
        <v>Autotransportes Ejecutivos del Valle</v>
      </c>
      <c r="H3491" s="1"/>
    </row>
    <row r="3492" spans="1:8" x14ac:dyDescent="0.35">
      <c r="A3492" s="21"/>
      <c r="B3492" t="s">
        <v>739</v>
      </c>
      <c r="C3492" t="s">
        <v>6</v>
      </c>
      <c r="D3492" t="s">
        <v>370</v>
      </c>
      <c r="F3492" s="1">
        <v>45875</v>
      </c>
      <c r="G3492" t="str">
        <f>IF(Table3[[#This Row],[Top Parent Account]]="",Table3[[#This Row],[Account Legal Name]],Table3[[#This Row],[Top Parent Account]])</f>
        <v>Grupo Kuo</v>
      </c>
      <c r="H3492" s="1"/>
    </row>
    <row r="3493" spans="1:8" x14ac:dyDescent="0.35">
      <c r="A3493" s="21"/>
      <c r="B3493" t="s">
        <v>28</v>
      </c>
      <c r="C3493" t="s">
        <v>6</v>
      </c>
      <c r="D3493" t="s">
        <v>1411</v>
      </c>
      <c r="F3493" s="1">
        <v>45875</v>
      </c>
      <c r="G3493" t="str">
        <f>IF(Table3[[#This Row],[Top Parent Account]]="",Table3[[#This Row],[Account Legal Name]],Table3[[#This Row],[Top Parent Account]])</f>
        <v>HOLDIN GAINS</v>
      </c>
      <c r="H3493" s="1"/>
    </row>
    <row r="3494" spans="1:8" x14ac:dyDescent="0.35">
      <c r="A3494" s="21"/>
      <c r="B3494" t="s">
        <v>2912</v>
      </c>
      <c r="C3494" t="s">
        <v>6</v>
      </c>
      <c r="D3494" t="s">
        <v>3021</v>
      </c>
      <c r="E3494" t="s">
        <v>3022</v>
      </c>
      <c r="F3494" s="1">
        <v>45875</v>
      </c>
      <c r="G3494" t="str">
        <f>IF(Table3[[#This Row],[Top Parent Account]]="",Table3[[#This Row],[Account Legal Name]],Table3[[#This Row],[Top Parent Account]])</f>
        <v>Kdm Fire Systems</v>
      </c>
      <c r="H3494" s="1"/>
    </row>
    <row r="3495" spans="1:8" x14ac:dyDescent="0.35">
      <c r="A3495" s="21"/>
      <c r="B3495" t="s">
        <v>925</v>
      </c>
      <c r="C3495" t="s">
        <v>6</v>
      </c>
      <c r="D3495" t="s">
        <v>2732</v>
      </c>
      <c r="F3495" s="1">
        <v>45875</v>
      </c>
      <c r="G3495" t="str">
        <f>IF(Table3[[#This Row],[Top Parent Account]]="",Table3[[#This Row],[Account Legal Name]],Table3[[#This Row],[Top Parent Account]])</f>
        <v>Lácteos Marber</v>
      </c>
      <c r="H3495" s="1"/>
    </row>
    <row r="3496" spans="1:8" x14ac:dyDescent="0.35">
      <c r="A3496" s="21"/>
      <c r="B3496" t="s">
        <v>2693</v>
      </c>
      <c r="C3496" t="s">
        <v>6</v>
      </c>
      <c r="D3496" t="s">
        <v>3023</v>
      </c>
      <c r="F3496" s="1">
        <v>45875</v>
      </c>
      <c r="G3496" t="str">
        <f>IF(Table3[[#This Row],[Top Parent Account]]="",Table3[[#This Row],[Account Legal Name]],Table3[[#This Row],[Top Parent Account]])</f>
        <v>Ecro Capital</v>
      </c>
      <c r="H3496" s="1"/>
    </row>
    <row r="3497" spans="1:8" x14ac:dyDescent="0.35">
      <c r="A3497" s="21"/>
      <c r="B3497" t="s">
        <v>208</v>
      </c>
      <c r="C3497" t="s">
        <v>6</v>
      </c>
      <c r="D3497" t="s">
        <v>1377</v>
      </c>
      <c r="F3497" s="1">
        <v>45875</v>
      </c>
      <c r="G3497" t="str">
        <f>IF(Table3[[#This Row],[Top Parent Account]]="",Table3[[#This Row],[Account Legal Name]],Table3[[#This Row],[Top Parent Account]])</f>
        <v>Alimentos Convenientes San Patric</v>
      </c>
      <c r="H3497" s="1"/>
    </row>
    <row r="3498" spans="1:8" x14ac:dyDescent="0.35">
      <c r="A3498" s="21"/>
      <c r="B3498" t="s">
        <v>14</v>
      </c>
      <c r="C3498" t="s">
        <v>6</v>
      </c>
      <c r="D3498" t="s">
        <v>3072</v>
      </c>
      <c r="F3498" s="1">
        <v>45875</v>
      </c>
      <c r="G3498" t="str">
        <f>IF(Table3[[#This Row],[Top Parent Account]]="",Table3[[#This Row],[Account Legal Name]],Table3[[#This Row],[Top Parent Account]])</f>
        <v>Especialidades Cabi 66</v>
      </c>
      <c r="H3498" s="1"/>
    </row>
    <row r="3499" spans="1:8" x14ac:dyDescent="0.35">
      <c r="A3499" s="21"/>
      <c r="B3499" t="s">
        <v>207</v>
      </c>
      <c r="C3499" t="s">
        <v>6</v>
      </c>
      <c r="D3499" t="s">
        <v>3073</v>
      </c>
      <c r="F3499" s="1">
        <v>45875</v>
      </c>
      <c r="G3499" t="str">
        <f>IF(Table3[[#This Row],[Top Parent Account]]="",Table3[[#This Row],[Account Legal Name]],Table3[[#This Row],[Top Parent Account]])</f>
        <v>Manaf Commerce</v>
      </c>
      <c r="H3499" s="1"/>
    </row>
    <row r="3500" spans="1:8" x14ac:dyDescent="0.35">
      <c r="A3500" s="21"/>
      <c r="B3500" t="s">
        <v>1511</v>
      </c>
      <c r="C3500" t="s">
        <v>6</v>
      </c>
      <c r="D3500" t="s">
        <v>3075</v>
      </c>
      <c r="F3500" s="1">
        <v>45875</v>
      </c>
      <c r="G3500" t="str">
        <f>IF(Table3[[#This Row],[Top Parent Account]]="",Table3[[#This Row],[Account Legal Name]],Table3[[#This Row],[Top Parent Account]])</f>
        <v>Wisdom Forwarding</v>
      </c>
      <c r="H3500" s="1"/>
    </row>
    <row r="3501" spans="1:8" x14ac:dyDescent="0.35">
      <c r="A3501" s="21"/>
      <c r="B3501" t="s">
        <v>70</v>
      </c>
      <c r="C3501" t="s">
        <v>6</v>
      </c>
      <c r="D3501" t="s">
        <v>3076</v>
      </c>
      <c r="F3501" s="1">
        <v>45875</v>
      </c>
      <c r="G3501" t="str">
        <f>IF(Table3[[#This Row],[Top Parent Account]]="",Table3[[#This Row],[Account Legal Name]],Table3[[#This Row],[Top Parent Account]])</f>
        <v>Hmg Hospital Coyoacan</v>
      </c>
      <c r="H3501" s="1"/>
    </row>
    <row r="3502" spans="1:8" x14ac:dyDescent="0.35">
      <c r="A3502" s="21"/>
      <c r="B3502" t="s">
        <v>28</v>
      </c>
      <c r="C3502" t="s">
        <v>6</v>
      </c>
      <c r="D3502" t="s">
        <v>3074</v>
      </c>
      <c r="F3502" s="1">
        <v>45875</v>
      </c>
      <c r="G3502" t="str">
        <f>IF(Table3[[#This Row],[Top Parent Account]]="",Table3[[#This Row],[Account Legal Name]],Table3[[#This Row],[Top Parent Account]])</f>
        <v>Korodiesel Del Norte</v>
      </c>
      <c r="H3502" s="1"/>
    </row>
    <row r="3503" spans="1:8" x14ac:dyDescent="0.35">
      <c r="A3503" s="21"/>
      <c r="B3503" t="s">
        <v>925</v>
      </c>
      <c r="C3503" t="s">
        <v>6</v>
      </c>
      <c r="D3503" t="s">
        <v>1139</v>
      </c>
      <c r="F3503" s="1">
        <v>45875</v>
      </c>
      <c r="G3503" t="str">
        <f>IF(Table3[[#This Row],[Top Parent Account]]="",Table3[[#This Row],[Account Legal Name]],Table3[[#This Row],[Top Parent Account]])</f>
        <v>Doctoralia México</v>
      </c>
      <c r="H3503" s="1"/>
    </row>
    <row r="3504" spans="1:8" x14ac:dyDescent="0.35">
      <c r="A3504" s="21"/>
      <c r="B3504" t="s">
        <v>169</v>
      </c>
      <c r="C3504" t="s">
        <v>6</v>
      </c>
      <c r="D3504" t="s">
        <v>3024</v>
      </c>
      <c r="F3504" s="1">
        <v>45875</v>
      </c>
      <c r="G3504" t="str">
        <f>IF(Table3[[#This Row],[Top Parent Account]]="",Table3[[#This Row],[Account Legal Name]],Table3[[#This Row],[Top Parent Account]])</f>
        <v>MENDOL DISTRIBUIDORA</v>
      </c>
      <c r="H3504" s="1"/>
    </row>
    <row r="3505" spans="1:8" x14ac:dyDescent="0.35">
      <c r="A3505" s="21"/>
      <c r="B3505" t="s">
        <v>969</v>
      </c>
      <c r="C3505" t="s">
        <v>6</v>
      </c>
      <c r="D3505" t="s">
        <v>3077</v>
      </c>
      <c r="F3505" s="1">
        <v>45875</v>
      </c>
      <c r="G3505" t="str">
        <f>IF(Table3[[#This Row],[Top Parent Account]]="",Table3[[#This Row],[Account Legal Name]],Table3[[#This Row],[Top Parent Account]])</f>
        <v>Impresos y Empaques FADM</v>
      </c>
      <c r="H3505" s="1"/>
    </row>
    <row r="3506" spans="1:8" x14ac:dyDescent="0.35">
      <c r="A3506" s="21"/>
      <c r="B3506" t="s">
        <v>820</v>
      </c>
      <c r="C3506" t="s">
        <v>6</v>
      </c>
      <c r="D3506" t="s">
        <v>225</v>
      </c>
      <c r="E3506" t="s">
        <v>321</v>
      </c>
      <c r="F3506" s="1">
        <v>45875</v>
      </c>
      <c r="G3506" t="str">
        <f>IF(Table3[[#This Row],[Top Parent Account]]="",Table3[[#This Row],[Account Legal Name]],Table3[[#This Row],[Top Parent Account]])</f>
        <v>Conservas La Costena</v>
      </c>
      <c r="H3506" s="1"/>
    </row>
    <row r="3507" spans="1:8" x14ac:dyDescent="0.35">
      <c r="A3507" s="21"/>
      <c r="B3507" t="s">
        <v>27</v>
      </c>
      <c r="C3507" t="s">
        <v>6</v>
      </c>
      <c r="D3507" t="s">
        <v>1283</v>
      </c>
      <c r="F3507" s="1">
        <v>45875</v>
      </c>
      <c r="G3507" t="str">
        <f>IF(Table3[[#This Row],[Top Parent Account]]="",Table3[[#This Row],[Account Legal Name]],Table3[[#This Row],[Top Parent Account]])</f>
        <v>Laboratorios Jaloma</v>
      </c>
      <c r="H3507" s="1"/>
    </row>
    <row r="3508" spans="1:8" x14ac:dyDescent="0.35">
      <c r="A3508" s="21"/>
      <c r="B3508" t="s">
        <v>24</v>
      </c>
      <c r="C3508" t="s">
        <v>6</v>
      </c>
      <c r="D3508" t="s">
        <v>3025</v>
      </c>
      <c r="F3508" s="1">
        <v>45875</v>
      </c>
      <c r="G3508" t="str">
        <f>IF(Table3[[#This Row],[Top Parent Account]]="",Table3[[#This Row],[Account Legal Name]],Table3[[#This Row],[Top Parent Account]])</f>
        <v>Industrializadora De Maiz</v>
      </c>
      <c r="H3508" s="1"/>
    </row>
    <row r="3509" spans="1:8" x14ac:dyDescent="0.35">
      <c r="A3509" s="21"/>
      <c r="B3509" t="s">
        <v>39</v>
      </c>
      <c r="C3509" t="s">
        <v>3027</v>
      </c>
      <c r="D3509" t="s">
        <v>794</v>
      </c>
      <c r="F3509" s="1">
        <v>45875</v>
      </c>
      <c r="G3509" t="str">
        <f>IF(Table3[[#This Row],[Top Parent Account]]="",Table3[[#This Row],[Account Legal Name]],Table3[[#This Row],[Top Parent Account]])</f>
        <v>Granjas Avicolas Rancho Grande</v>
      </c>
      <c r="H3509" s="1"/>
    </row>
    <row r="3510" spans="1:8" x14ac:dyDescent="0.35">
      <c r="A3510" s="21"/>
      <c r="B3510" t="s">
        <v>169</v>
      </c>
      <c r="C3510" t="s">
        <v>6</v>
      </c>
      <c r="D3510" t="s">
        <v>516</v>
      </c>
      <c r="F3510" s="1">
        <v>45875</v>
      </c>
      <c r="G3510" t="str">
        <f>IF(Table3[[#This Row],[Top Parent Account]]="",Table3[[#This Row],[Account Legal Name]],Table3[[#This Row],[Top Parent Account]])</f>
        <v>COMBUSTIBLES BENTAN</v>
      </c>
      <c r="H3510" s="1"/>
    </row>
    <row r="3511" spans="1:8" x14ac:dyDescent="0.35">
      <c r="A3511" s="21"/>
      <c r="B3511" t="s">
        <v>88</v>
      </c>
      <c r="C3511" t="s">
        <v>6</v>
      </c>
      <c r="D3511" t="s">
        <v>3028</v>
      </c>
      <c r="F3511" s="1">
        <v>45875</v>
      </c>
      <c r="G3511" t="str">
        <f>IF(Table3[[#This Row],[Top Parent Account]]="",Table3[[#This Row],[Account Legal Name]],Table3[[#This Row],[Top Parent Account]])</f>
        <v>Trisquel Co</v>
      </c>
      <c r="H3511" s="1"/>
    </row>
    <row r="3512" spans="1:8" x14ac:dyDescent="0.35">
      <c r="A3512" s="21"/>
      <c r="B3512" t="s">
        <v>23</v>
      </c>
      <c r="C3512" t="s">
        <v>6</v>
      </c>
      <c r="D3512" t="s">
        <v>3029</v>
      </c>
      <c r="F3512" s="1">
        <v>45875</v>
      </c>
      <c r="G3512" t="str">
        <f>IF(Table3[[#This Row],[Top Parent Account]]="",Table3[[#This Row],[Account Legal Name]],Table3[[#This Row],[Top Parent Account]])</f>
        <v>Compresores Cac De México</v>
      </c>
      <c r="H3512" s="1"/>
    </row>
    <row r="3513" spans="1:8" x14ac:dyDescent="0.35">
      <c r="A3513" s="21"/>
      <c r="B3513" t="s">
        <v>1899</v>
      </c>
      <c r="C3513" t="s">
        <v>6</v>
      </c>
      <c r="D3513" t="s">
        <v>3078</v>
      </c>
      <c r="F3513" s="1">
        <v>45875</v>
      </c>
      <c r="G3513" t="str">
        <f>IF(Table3[[#This Row],[Top Parent Account]]="",Table3[[#This Row],[Account Legal Name]],Table3[[#This Row],[Top Parent Account]])</f>
        <v>Lenomex</v>
      </c>
      <c r="H3513" s="1"/>
    </row>
    <row r="3514" spans="1:8" x14ac:dyDescent="0.35">
      <c r="A3514" s="21"/>
      <c r="B3514" t="s">
        <v>2658</v>
      </c>
      <c r="C3514" t="s">
        <v>6</v>
      </c>
      <c r="D3514" t="s">
        <v>2673</v>
      </c>
      <c r="F3514" s="1">
        <v>45875</v>
      </c>
      <c r="G3514" t="str">
        <f>IF(Table3[[#This Row],[Top Parent Account]]="",Table3[[#This Row],[Account Legal Name]],Table3[[#This Row],[Top Parent Account]])</f>
        <v>Probemedic Distribuciones</v>
      </c>
      <c r="H3514" s="1"/>
    </row>
    <row r="3515" spans="1:8" x14ac:dyDescent="0.35">
      <c r="A3515" s="21"/>
      <c r="B3515" t="s">
        <v>169</v>
      </c>
      <c r="C3515" t="s">
        <v>6</v>
      </c>
      <c r="D3515" t="s">
        <v>3026</v>
      </c>
      <c r="F3515" s="1">
        <v>45875</v>
      </c>
      <c r="G3515" t="str">
        <f>IF(Table3[[#This Row],[Top Parent Account]]="",Table3[[#This Row],[Account Legal Name]],Table3[[#This Row],[Top Parent Account]])</f>
        <v>Embotelladora Gala</v>
      </c>
      <c r="H3515" s="1"/>
    </row>
    <row r="3516" spans="1:8" x14ac:dyDescent="0.35">
      <c r="A3516" s="21"/>
      <c r="B3516" t="s">
        <v>590</v>
      </c>
      <c r="C3516" t="s">
        <v>6</v>
      </c>
      <c r="D3516" t="s">
        <v>982</v>
      </c>
      <c r="F3516" s="1">
        <v>45875</v>
      </c>
      <c r="G3516" t="str">
        <f>IF(Table3[[#This Row],[Top Parent Account]]="",Table3[[#This Row],[Account Legal Name]],Table3[[#This Row],[Top Parent Account]])</f>
        <v>Bulkmatic de México</v>
      </c>
      <c r="H3516" s="1"/>
    </row>
    <row r="3517" spans="1:8" x14ac:dyDescent="0.35">
      <c r="A3517" s="21"/>
      <c r="B3517" t="s">
        <v>88</v>
      </c>
      <c r="C3517" t="s">
        <v>6</v>
      </c>
      <c r="D3517" t="s">
        <v>3030</v>
      </c>
      <c r="F3517" s="1">
        <v>45875</v>
      </c>
      <c r="G3517" t="str">
        <f>IF(Table3[[#This Row],[Top Parent Account]]="",Table3[[#This Row],[Account Legal Name]],Table3[[#This Row],[Top Parent Account]])</f>
        <v>Qts Mexico</v>
      </c>
      <c r="H3517" s="1"/>
    </row>
    <row r="3518" spans="1:8" x14ac:dyDescent="0.35">
      <c r="A3518" s="21"/>
      <c r="B3518" t="s">
        <v>18</v>
      </c>
      <c r="C3518" t="s">
        <v>544</v>
      </c>
      <c r="D3518" t="s">
        <v>3031</v>
      </c>
      <c r="F3518" s="1">
        <v>45874</v>
      </c>
      <c r="G3518" t="str">
        <f>IF(Table3[[#This Row],[Top Parent Account]]="",Table3[[#This Row],[Account Legal Name]],Table3[[#This Row],[Top Parent Account]])</f>
        <v>LEVA NEGOCIOS Y FRANQUICIAS</v>
      </c>
      <c r="H3518" s="1"/>
    </row>
    <row r="3519" spans="1:8" x14ac:dyDescent="0.35">
      <c r="A3519" s="21"/>
      <c r="B3519" t="s">
        <v>78</v>
      </c>
      <c r="C3519" t="s">
        <v>6</v>
      </c>
      <c r="D3519" t="s">
        <v>3437</v>
      </c>
      <c r="F3519" s="1">
        <v>45874</v>
      </c>
      <c r="G3519" t="str">
        <f>IF(Table3[[#This Row],[Top Parent Account]]="",Table3[[#This Row],[Account Legal Name]],Table3[[#This Row],[Top Parent Account]])</f>
        <v>Prince publicidad aplicada</v>
      </c>
      <c r="H3519" s="1"/>
    </row>
    <row r="3520" spans="1:8" x14ac:dyDescent="0.35">
      <c r="A3520" s="21"/>
      <c r="B3520" t="s">
        <v>208</v>
      </c>
      <c r="C3520" t="s">
        <v>6</v>
      </c>
      <c r="D3520" t="s">
        <v>3007</v>
      </c>
      <c r="F3520" s="1">
        <v>45874</v>
      </c>
      <c r="G3520" t="str">
        <f>IF(Table3[[#This Row],[Top Parent Account]]="",Table3[[#This Row],[Account Legal Name]],Table3[[#This Row],[Top Parent Account]])</f>
        <v>IMPORTADORA RYM</v>
      </c>
      <c r="H3520" s="1"/>
    </row>
    <row r="3521" spans="1:8" x14ac:dyDescent="0.35">
      <c r="A3521" s="21"/>
      <c r="B3521" t="s">
        <v>78</v>
      </c>
      <c r="C3521" t="s">
        <v>6</v>
      </c>
      <c r="D3521" t="s">
        <v>3032</v>
      </c>
      <c r="F3521" s="1">
        <v>45874</v>
      </c>
      <c r="G3521" t="str">
        <f>IF(Table3[[#This Row],[Top Parent Account]]="",Table3[[#This Row],[Account Legal Name]],Table3[[#This Row],[Top Parent Account]])</f>
        <v>GRUPO MAQUILADOR MERE</v>
      </c>
      <c r="H3521" s="1"/>
    </row>
    <row r="3522" spans="1:8" x14ac:dyDescent="0.35">
      <c r="A3522" s="21"/>
      <c r="B3522" t="s">
        <v>26</v>
      </c>
      <c r="C3522" t="s">
        <v>6</v>
      </c>
      <c r="D3522" t="s">
        <v>3034</v>
      </c>
      <c r="F3522" s="1">
        <v>45874</v>
      </c>
      <c r="G3522" t="str">
        <f>IF(Table3[[#This Row],[Top Parent Account]]="",Table3[[#This Row],[Account Legal Name]],Table3[[#This Row],[Top Parent Account]])</f>
        <v>Rheem de México</v>
      </c>
      <c r="H3522" s="1"/>
    </row>
    <row r="3523" spans="1:8" x14ac:dyDescent="0.35">
      <c r="A3523" s="21"/>
      <c r="B3523" t="s">
        <v>375</v>
      </c>
      <c r="C3523" t="s">
        <v>6</v>
      </c>
      <c r="D3523" t="s">
        <v>3033</v>
      </c>
      <c r="F3523" s="1">
        <v>45874</v>
      </c>
      <c r="G3523" t="str">
        <f>IF(Table3[[#This Row],[Top Parent Account]]="",Table3[[#This Row],[Account Legal Name]],Table3[[#This Row],[Top Parent Account]])</f>
        <v>Assurant Servicios de México</v>
      </c>
      <c r="H3523" s="1"/>
    </row>
    <row r="3524" spans="1:8" x14ac:dyDescent="0.35">
      <c r="A3524" s="21"/>
      <c r="B3524" t="s">
        <v>51</v>
      </c>
      <c r="C3524" t="s">
        <v>6</v>
      </c>
      <c r="D3524" t="s">
        <v>454</v>
      </c>
      <c r="F3524" s="1">
        <v>45874</v>
      </c>
      <c r="G3524" t="str">
        <f>IF(Table3[[#This Row],[Top Parent Account]]="",Table3[[#This Row],[Account Legal Name]],Table3[[#This Row],[Top Parent Account]])</f>
        <v>T Maquinaria</v>
      </c>
      <c r="H3524" s="1"/>
    </row>
    <row r="3525" spans="1:8" x14ac:dyDescent="0.35">
      <c r="A3525" s="21"/>
      <c r="B3525" t="s">
        <v>77</v>
      </c>
      <c r="C3525" t="s">
        <v>6</v>
      </c>
      <c r="D3525" t="s">
        <v>3035</v>
      </c>
      <c r="F3525" s="1">
        <v>45874</v>
      </c>
      <c r="G3525" t="str">
        <f>IF(Table3[[#This Row],[Top Parent Account]]="",Table3[[#This Row],[Account Legal Name]],Table3[[#This Row],[Top Parent Account]])</f>
        <v>GRUPO ORXE EMPRESARIAL DE MÉXICO</v>
      </c>
      <c r="H3525" s="1"/>
    </row>
    <row r="3526" spans="1:8" x14ac:dyDescent="0.35">
      <c r="A3526" s="21"/>
      <c r="B3526" t="s">
        <v>70</v>
      </c>
      <c r="C3526" t="s">
        <v>6</v>
      </c>
      <c r="D3526" t="s">
        <v>861</v>
      </c>
      <c r="F3526" s="1">
        <v>45874</v>
      </c>
      <c r="G3526" t="str">
        <f>IF(Table3[[#This Row],[Top Parent Account]]="",Table3[[#This Row],[Account Legal Name]],Table3[[#This Row],[Top Parent Account]])</f>
        <v>Corporativo Hospital Satélite</v>
      </c>
      <c r="H3526" s="1"/>
    </row>
    <row r="3527" spans="1:8" x14ac:dyDescent="0.35">
      <c r="A3527" s="21"/>
      <c r="B3527" t="s">
        <v>28</v>
      </c>
      <c r="C3527" t="s">
        <v>6</v>
      </c>
      <c r="D3527" t="s">
        <v>1167</v>
      </c>
      <c r="F3527" s="1">
        <v>45874</v>
      </c>
      <c r="G3527" t="str">
        <f>IF(Table3[[#This Row],[Top Parent Account]]="",Table3[[#This Row],[Account Legal Name]],Table3[[#This Row],[Top Parent Account]])</f>
        <v>Master Drilling México</v>
      </c>
      <c r="H3527" s="1"/>
    </row>
    <row r="3528" spans="1:8" x14ac:dyDescent="0.35">
      <c r="A3528" s="21"/>
      <c r="B3528" t="s">
        <v>78</v>
      </c>
      <c r="C3528" t="s">
        <v>6</v>
      </c>
      <c r="D3528" t="s">
        <v>3048</v>
      </c>
      <c r="F3528" s="1">
        <v>45874</v>
      </c>
      <c r="G3528" t="str">
        <f>IF(Table3[[#This Row],[Top Parent Account]]="",Table3[[#This Row],[Account Legal Name]],Table3[[#This Row],[Top Parent Account]])</f>
        <v>SERVICARGA BERISTAIN</v>
      </c>
      <c r="H3528" s="1"/>
    </row>
    <row r="3529" spans="1:8" x14ac:dyDescent="0.35">
      <c r="A3529" s="21"/>
      <c r="B3529" t="s">
        <v>2658</v>
      </c>
      <c r="C3529" t="s">
        <v>6</v>
      </c>
      <c r="D3529" t="s">
        <v>1079</v>
      </c>
      <c r="F3529" s="1">
        <v>45874</v>
      </c>
      <c r="G3529" t="str">
        <f>IF(Table3[[#This Row],[Top Parent Account]]="",Table3[[#This Row],[Account Legal Name]],Table3[[#This Row],[Top Parent Account]])</f>
        <v>Cajas De Carton Sultana</v>
      </c>
      <c r="H3529" s="1"/>
    </row>
    <row r="3530" spans="1:8" x14ac:dyDescent="0.35">
      <c r="A3530" s="21"/>
      <c r="B3530" t="s">
        <v>78</v>
      </c>
      <c r="C3530" t="s">
        <v>6</v>
      </c>
      <c r="D3530" t="s">
        <v>3079</v>
      </c>
      <c r="F3530" s="1">
        <v>45874</v>
      </c>
      <c r="G3530" t="str">
        <f>IF(Table3[[#This Row],[Top Parent Account]]="",Table3[[#This Row],[Account Legal Name]],Table3[[#This Row],[Top Parent Account]])</f>
        <v>MAURO VIVANCO REYNOSO</v>
      </c>
      <c r="H3530" s="1"/>
    </row>
    <row r="3531" spans="1:8" x14ac:dyDescent="0.35">
      <c r="A3531" s="21"/>
      <c r="B3531" t="s">
        <v>2309</v>
      </c>
      <c r="C3531" t="s">
        <v>6</v>
      </c>
      <c r="D3531" t="s">
        <v>3080</v>
      </c>
      <c r="F3531" s="1">
        <v>45874</v>
      </c>
      <c r="G3531" t="str">
        <f>IF(Table3[[#This Row],[Top Parent Account]]="",Table3[[#This Row],[Account Legal Name]],Table3[[#This Row],[Top Parent Account]])</f>
        <v>M Chem</v>
      </c>
      <c r="H3531" s="1"/>
    </row>
    <row r="3532" spans="1:8" x14ac:dyDescent="0.35">
      <c r="A3532" s="21"/>
      <c r="B3532" t="s">
        <v>10</v>
      </c>
      <c r="C3532" t="s">
        <v>6</v>
      </c>
      <c r="D3532" t="s">
        <v>491</v>
      </c>
      <c r="F3532" s="1">
        <v>45874</v>
      </c>
      <c r="G3532" t="str">
        <f>IF(Table3[[#This Row],[Top Parent Account]]="",Table3[[#This Row],[Account Legal Name]],Table3[[#This Row],[Top Parent Account]])</f>
        <v>RDCM</v>
      </c>
      <c r="H3532" s="1"/>
    </row>
    <row r="3533" spans="1:8" x14ac:dyDescent="0.35">
      <c r="A3533" s="21"/>
      <c r="B3533" t="s">
        <v>820</v>
      </c>
      <c r="C3533" t="s">
        <v>6</v>
      </c>
      <c r="D3533" t="s">
        <v>442</v>
      </c>
      <c r="F3533" s="1">
        <v>45874</v>
      </c>
      <c r="G3533" t="str">
        <f>IF(Table3[[#This Row],[Top Parent Account]]="",Table3[[#This Row],[Account Legal Name]],Table3[[#This Row],[Top Parent Account]])</f>
        <v>Grupo Radiodifusoras</v>
      </c>
      <c r="H3533" s="1"/>
    </row>
    <row r="3534" spans="1:8" x14ac:dyDescent="0.35">
      <c r="A3534" s="21"/>
      <c r="B3534" t="s">
        <v>78</v>
      </c>
      <c r="C3534" t="s">
        <v>6</v>
      </c>
      <c r="D3534" t="s">
        <v>3081</v>
      </c>
      <c r="F3534" s="1">
        <v>45874</v>
      </c>
      <c r="G3534" t="str">
        <f>IF(Table3[[#This Row],[Top Parent Account]]="",Table3[[#This Row],[Account Legal Name]],Table3[[#This Row],[Top Parent Account]])</f>
        <v>Arturo Lazaro Sanchez De la Cruz</v>
      </c>
      <c r="H3534" s="1"/>
    </row>
    <row r="3535" spans="1:8" x14ac:dyDescent="0.35">
      <c r="A3535" s="21"/>
      <c r="B3535" t="s">
        <v>8</v>
      </c>
      <c r="C3535" t="s">
        <v>6</v>
      </c>
      <c r="D3535" t="s">
        <v>3088</v>
      </c>
      <c r="F3535" s="1">
        <v>45874</v>
      </c>
      <c r="G3535" t="str">
        <f>IF(Table3[[#This Row],[Top Parent Account]]="",Table3[[#This Row],[Account Legal Name]],Table3[[#This Row],[Top Parent Account]])</f>
        <v>HTR Infraestructura</v>
      </c>
      <c r="H3535" s="1"/>
    </row>
    <row r="3536" spans="1:8" x14ac:dyDescent="0.35">
      <c r="A3536" s="21"/>
      <c r="B3536" t="s">
        <v>78</v>
      </c>
      <c r="C3536" t="s">
        <v>6</v>
      </c>
      <c r="D3536" t="s">
        <v>3082</v>
      </c>
      <c r="F3536" s="1">
        <v>45874</v>
      </c>
      <c r="G3536" t="str">
        <f>IF(Table3[[#This Row],[Top Parent Account]]="",Table3[[#This Row],[Account Legal Name]],Table3[[#This Row],[Top Parent Account]])</f>
        <v>ALDO CAMPOS SANDOVAL</v>
      </c>
      <c r="H3536" s="1"/>
    </row>
    <row r="3537" spans="1:8" x14ac:dyDescent="0.35">
      <c r="A3537" s="21"/>
      <c r="B3537" t="s">
        <v>27</v>
      </c>
      <c r="C3537" t="s">
        <v>6</v>
      </c>
      <c r="D3537" t="s">
        <v>1291</v>
      </c>
      <c r="F3537" s="1">
        <v>45874</v>
      </c>
      <c r="G3537" t="str">
        <f>IF(Table3[[#This Row],[Top Parent Account]]="",Table3[[#This Row],[Account Legal Name]],Table3[[#This Row],[Top Parent Account]])</f>
        <v>Beta Procesos</v>
      </c>
      <c r="H3537" s="1"/>
    </row>
    <row r="3538" spans="1:8" x14ac:dyDescent="0.35">
      <c r="A3538" s="21"/>
      <c r="B3538" t="s">
        <v>18</v>
      </c>
      <c r="C3538" t="s">
        <v>6</v>
      </c>
      <c r="D3538" t="s">
        <v>3036</v>
      </c>
      <c r="F3538" s="1">
        <v>45874</v>
      </c>
      <c r="G3538" t="str">
        <f>IF(Table3[[#This Row],[Top Parent Account]]="",Table3[[#This Row],[Account Legal Name]],Table3[[#This Row],[Top Parent Account]])</f>
        <v>Diinsel</v>
      </c>
      <c r="H3538" s="1"/>
    </row>
    <row r="3539" spans="1:8" x14ac:dyDescent="0.35">
      <c r="A3539" s="21"/>
      <c r="B3539" t="s">
        <v>1643</v>
      </c>
      <c r="C3539" t="s">
        <v>1679</v>
      </c>
      <c r="D3539" t="s">
        <v>3049</v>
      </c>
      <c r="F3539" s="1">
        <v>45874</v>
      </c>
      <c r="G3539" t="str">
        <f>IF(Table3[[#This Row],[Top Parent Account]]="",Table3[[#This Row],[Account Legal Name]],Table3[[#This Row],[Top Parent Account]])</f>
        <v>Aceros del Toro</v>
      </c>
      <c r="H3539" s="1"/>
    </row>
    <row r="3540" spans="1:8" x14ac:dyDescent="0.35">
      <c r="A3540" s="21"/>
      <c r="B3540" t="s">
        <v>78</v>
      </c>
      <c r="C3540" t="s">
        <v>6</v>
      </c>
      <c r="D3540" t="s">
        <v>3083</v>
      </c>
      <c r="F3540" s="1">
        <v>45874</v>
      </c>
      <c r="G3540" t="str">
        <f>IF(Table3[[#This Row],[Top Parent Account]]="",Table3[[#This Row],[Account Legal Name]],Table3[[#This Row],[Top Parent Account]])</f>
        <v>ALDO JESUS ALONSO CARREON</v>
      </c>
      <c r="H3540" s="1"/>
    </row>
    <row r="3541" spans="1:8" x14ac:dyDescent="0.35">
      <c r="A3541" s="21"/>
      <c r="B3541" t="s">
        <v>78</v>
      </c>
      <c r="C3541" t="s">
        <v>6</v>
      </c>
      <c r="D3541" t="s">
        <v>3084</v>
      </c>
      <c r="F3541" s="1">
        <v>45874</v>
      </c>
      <c r="G3541" t="str">
        <f>IF(Table3[[#This Row],[Top Parent Account]]="",Table3[[#This Row],[Account Legal Name]],Table3[[#This Row],[Top Parent Account]])</f>
        <v>MIGUEL ANGEL PEREZ FUENTES</v>
      </c>
      <c r="H3541" s="1"/>
    </row>
    <row r="3542" spans="1:8" x14ac:dyDescent="0.35">
      <c r="A3542" s="21"/>
      <c r="B3542" t="s">
        <v>739</v>
      </c>
      <c r="C3542" t="s">
        <v>6</v>
      </c>
      <c r="D3542" t="s">
        <v>3037</v>
      </c>
      <c r="F3542" s="1">
        <v>45873</v>
      </c>
      <c r="G3542" t="str">
        <f>IF(Table3[[#This Row],[Top Parent Account]]="",Table3[[#This Row],[Account Legal Name]],Table3[[#This Row],[Top Parent Account]])</f>
        <v>General Mills</v>
      </c>
      <c r="H3542" s="1"/>
    </row>
    <row r="3543" spans="1:8" x14ac:dyDescent="0.35">
      <c r="A3543" s="21"/>
      <c r="B3543" t="s">
        <v>78</v>
      </c>
      <c r="C3543" t="s">
        <v>6</v>
      </c>
      <c r="D3543" t="s">
        <v>3085</v>
      </c>
      <c r="F3543" s="1">
        <v>45873</v>
      </c>
      <c r="G3543" t="str">
        <f>IF(Table3[[#This Row],[Top Parent Account]]="",Table3[[#This Row],[Account Legal Name]],Table3[[#This Row],[Top Parent Account]])</f>
        <v>GRUPO LIRA</v>
      </c>
      <c r="H3543" s="1"/>
    </row>
    <row r="3544" spans="1:8" x14ac:dyDescent="0.35">
      <c r="A3544" s="21"/>
      <c r="B3544" t="s">
        <v>2912</v>
      </c>
      <c r="C3544" t="s">
        <v>3038</v>
      </c>
      <c r="D3544" t="s">
        <v>327</v>
      </c>
      <c r="F3544" s="1">
        <v>45873</v>
      </c>
      <c r="G3544" t="str">
        <f>IF(Table3[[#This Row],[Top Parent Account]]="",Table3[[#This Row],[Account Legal Name]],Table3[[#This Row],[Top Parent Account]])</f>
        <v>Tienda Neto</v>
      </c>
      <c r="H3544" s="1"/>
    </row>
    <row r="3545" spans="1:8" x14ac:dyDescent="0.35">
      <c r="A3545" s="21"/>
      <c r="B3545" t="s">
        <v>925</v>
      </c>
      <c r="C3545" t="s">
        <v>6</v>
      </c>
      <c r="D3545" t="s">
        <v>2819</v>
      </c>
      <c r="F3545" s="1">
        <v>45873</v>
      </c>
      <c r="G3545" t="str">
        <f>IF(Table3[[#This Row],[Top Parent Account]]="",Table3[[#This Row],[Account Legal Name]],Table3[[#This Row],[Top Parent Account]])</f>
        <v>RIVERA GROUP</v>
      </c>
      <c r="H3545" s="1"/>
    </row>
    <row r="3546" spans="1:8" x14ac:dyDescent="0.35">
      <c r="A3546" s="21"/>
      <c r="B3546" t="s">
        <v>739</v>
      </c>
      <c r="C3546" t="s">
        <v>6</v>
      </c>
      <c r="D3546" t="s">
        <v>3037</v>
      </c>
      <c r="F3546" s="1">
        <v>45873</v>
      </c>
      <c r="G3546" t="str">
        <f>IF(Table3[[#This Row],[Top Parent Account]]="",Table3[[#This Row],[Account Legal Name]],Table3[[#This Row],[Top Parent Account]])</f>
        <v>General Mills</v>
      </c>
      <c r="H3546" s="1"/>
    </row>
    <row r="3547" spans="1:8" x14ac:dyDescent="0.35">
      <c r="A3547" s="21"/>
      <c r="B3547" t="s">
        <v>1006</v>
      </c>
      <c r="C3547" t="s">
        <v>6</v>
      </c>
      <c r="D3547" t="s">
        <v>3039</v>
      </c>
      <c r="F3547" s="1">
        <v>45873</v>
      </c>
      <c r="G3547" t="str">
        <f>IF(Table3[[#This Row],[Top Parent Account]]="",Table3[[#This Row],[Account Legal Name]],Table3[[#This Row],[Top Parent Account]])</f>
        <v>Hospital San José Zamora</v>
      </c>
      <c r="H3547" s="1"/>
    </row>
    <row r="3548" spans="1:8" x14ac:dyDescent="0.35">
      <c r="A3548" s="21"/>
      <c r="B3548" t="s">
        <v>1006</v>
      </c>
      <c r="C3548" t="s">
        <v>6</v>
      </c>
      <c r="D3548" t="s">
        <v>1491</v>
      </c>
      <c r="F3548" s="1">
        <v>45873</v>
      </c>
      <c r="G3548" t="str">
        <f>IF(Table3[[#This Row],[Top Parent Account]]="",Table3[[#This Row],[Account Legal Name]],Table3[[#This Row],[Top Parent Account]])</f>
        <v>GRUPO MOC</v>
      </c>
      <c r="H3548" s="1"/>
    </row>
    <row r="3549" spans="1:8" x14ac:dyDescent="0.35">
      <c r="A3549" s="21"/>
      <c r="B3549" t="s">
        <v>2884</v>
      </c>
      <c r="C3549" t="s">
        <v>6</v>
      </c>
      <c r="D3549" t="s">
        <v>3040</v>
      </c>
      <c r="F3549" s="1">
        <v>45873</v>
      </c>
      <c r="G3549" t="str">
        <f>IF(Table3[[#This Row],[Top Parent Account]]="",Table3[[#This Row],[Account Legal Name]],Table3[[#This Row],[Top Parent Account]])</f>
        <v>Aba</v>
      </c>
      <c r="H3549" s="1"/>
    </row>
    <row r="3550" spans="1:8" x14ac:dyDescent="0.35">
      <c r="A3550" s="21"/>
      <c r="B3550" t="s">
        <v>29</v>
      </c>
      <c r="C3550" t="s">
        <v>6</v>
      </c>
      <c r="D3550" t="s">
        <v>3041</v>
      </c>
      <c r="F3550" s="1">
        <v>45873</v>
      </c>
      <c r="G3550" t="str">
        <f>IF(Table3[[#This Row],[Top Parent Account]]="",Table3[[#This Row],[Account Legal Name]],Table3[[#This Row],[Top Parent Account]])</f>
        <v>Grupo Los Cerritos</v>
      </c>
      <c r="H3550" s="1"/>
    </row>
    <row r="3551" spans="1:8" x14ac:dyDescent="0.35">
      <c r="A3551" s="21"/>
      <c r="B3551" t="s">
        <v>2345</v>
      </c>
      <c r="C3551" t="s">
        <v>6</v>
      </c>
      <c r="D3551" t="s">
        <v>3043</v>
      </c>
      <c r="F3551" s="1">
        <v>45873</v>
      </c>
      <c r="G3551" t="str">
        <f>IF(Table3[[#This Row],[Top Parent Account]]="",Table3[[#This Row],[Account Legal Name]],Table3[[#This Row],[Top Parent Account]])</f>
        <v>GREAT AVO</v>
      </c>
      <c r="H3551" s="1"/>
    </row>
    <row r="3552" spans="1:8" x14ac:dyDescent="0.35">
      <c r="A3552" s="21"/>
      <c r="B3552" t="s">
        <v>39</v>
      </c>
      <c r="C3552" t="s">
        <v>2645</v>
      </c>
      <c r="D3552" t="s">
        <v>2537</v>
      </c>
      <c r="F3552" s="1">
        <v>45873</v>
      </c>
      <c r="G3552" t="str">
        <f>IF(Table3[[#This Row],[Top Parent Account]]="",Table3[[#This Row],[Account Legal Name]],Table3[[#This Row],[Top Parent Account]])</f>
        <v>Salsas Castillo</v>
      </c>
      <c r="H3552" s="1"/>
    </row>
    <row r="3553" spans="1:8" x14ac:dyDescent="0.35">
      <c r="A3553" s="21"/>
      <c r="B3553" t="s">
        <v>14</v>
      </c>
      <c r="C3553" t="s">
        <v>6</v>
      </c>
      <c r="D3553" t="s">
        <v>3042</v>
      </c>
      <c r="F3553" s="1">
        <v>45873</v>
      </c>
      <c r="G3553" t="str">
        <f>IF(Table3[[#This Row],[Top Parent Account]]="",Table3[[#This Row],[Account Legal Name]],Table3[[#This Row],[Top Parent Account]])</f>
        <v>ATTA MONTACARGAS</v>
      </c>
      <c r="H3553" s="1"/>
    </row>
    <row r="3554" spans="1:8" x14ac:dyDescent="0.35">
      <c r="A3554" s="21"/>
      <c r="B3554" t="s">
        <v>38</v>
      </c>
      <c r="C3554" t="s">
        <v>6</v>
      </c>
      <c r="D3554" t="s">
        <v>3044</v>
      </c>
      <c r="F3554" s="1">
        <v>45873</v>
      </c>
      <c r="G3554" t="str">
        <f>IF(Table3[[#This Row],[Top Parent Account]]="",Table3[[#This Row],[Account Legal Name]],Table3[[#This Row],[Top Parent Account]])</f>
        <v>COOPER TIRE &amp; RUBBER COMPANY DE MEXICO</v>
      </c>
      <c r="H3554" s="1"/>
    </row>
    <row r="3555" spans="1:8" x14ac:dyDescent="0.35">
      <c r="A3555" s="21"/>
      <c r="B3555" t="s">
        <v>11</v>
      </c>
      <c r="C3555" t="s">
        <v>6</v>
      </c>
      <c r="D3555" t="s">
        <v>3045</v>
      </c>
      <c r="F3555" s="1">
        <v>45873</v>
      </c>
      <c r="G3555" t="str">
        <f>IF(Table3[[#This Row],[Top Parent Account]]="",Table3[[#This Row],[Account Legal Name]],Table3[[#This Row],[Top Parent Account]])</f>
        <v>DENG MOTORS</v>
      </c>
      <c r="H3555" s="1"/>
    </row>
    <row r="3556" spans="1:8" x14ac:dyDescent="0.35">
      <c r="A3556" s="21"/>
      <c r="B3556" t="s">
        <v>78</v>
      </c>
      <c r="C3556" t="s">
        <v>6</v>
      </c>
      <c r="D3556" t="s">
        <v>3009</v>
      </c>
      <c r="F3556" s="1">
        <v>45870</v>
      </c>
      <c r="G3556" t="str">
        <f>IF(Table3[[#This Row],[Top Parent Account]]="",Table3[[#This Row],[Account Legal Name]],Table3[[#This Row],[Top Parent Account]])</f>
        <v>JCI PACKING</v>
      </c>
      <c r="H3556" s="1"/>
    </row>
    <row r="3557" spans="1:8" x14ac:dyDescent="0.35">
      <c r="A3557" s="21"/>
      <c r="B3557" t="s">
        <v>589</v>
      </c>
      <c r="C3557" t="s">
        <v>6</v>
      </c>
      <c r="D3557" t="s">
        <v>2986</v>
      </c>
      <c r="F3557" s="1">
        <v>45870</v>
      </c>
      <c r="G3557" t="str">
        <f>IF(Table3[[#This Row],[Top Parent Account]]="",Table3[[#This Row],[Account Legal Name]],Table3[[#This Row],[Top Parent Account]])</f>
        <v>Agrojaba</v>
      </c>
      <c r="H3557" s="1"/>
    </row>
    <row r="3558" spans="1:8" x14ac:dyDescent="0.35">
      <c r="A3558" s="21"/>
      <c r="B3558" t="s">
        <v>589</v>
      </c>
      <c r="C3558" t="s">
        <v>6</v>
      </c>
      <c r="D3558" t="s">
        <v>708</v>
      </c>
      <c r="F3558" s="1">
        <v>45870</v>
      </c>
      <c r="G3558" t="str">
        <f>IF(Table3[[#This Row],[Top Parent Account]]="",Table3[[#This Row],[Account Legal Name]],Table3[[#This Row],[Top Parent Account]])</f>
        <v>GRUPO PECUARIO MARIA DE LOS ANGELES</v>
      </c>
      <c r="H3558" s="1"/>
    </row>
    <row r="3559" spans="1:8" x14ac:dyDescent="0.35">
      <c r="A3559" s="21"/>
      <c r="B3559" t="s">
        <v>28</v>
      </c>
      <c r="C3559" t="s">
        <v>6</v>
      </c>
      <c r="D3559" t="s">
        <v>3089</v>
      </c>
      <c r="F3559" s="1">
        <v>45870</v>
      </c>
      <c r="G3559" t="str">
        <f>IF(Table3[[#This Row],[Top Parent Account]]="",Table3[[#This Row],[Account Legal Name]],Table3[[#This Row],[Top Parent Account]])</f>
        <v>FCA-FASEMEX</v>
      </c>
      <c r="H3559" s="1"/>
    </row>
    <row r="3560" spans="1:8" x14ac:dyDescent="0.35">
      <c r="A3560" s="21"/>
      <c r="B3560" t="s">
        <v>39</v>
      </c>
      <c r="C3560" t="s">
        <v>1101</v>
      </c>
      <c r="D3560" t="s">
        <v>2987</v>
      </c>
      <c r="F3560" s="1">
        <v>45870</v>
      </c>
      <c r="G3560" t="str">
        <f>IF(Table3[[#This Row],[Top Parent Account]]="",Table3[[#This Row],[Account Legal Name]],Table3[[#This Row],[Top Parent Account]])</f>
        <v>Metales y Equipos Mecanicos Regios</v>
      </c>
      <c r="H3560" s="1"/>
    </row>
    <row r="3561" spans="1:8" x14ac:dyDescent="0.35">
      <c r="A3561" s="21"/>
      <c r="B3561" t="s">
        <v>2693</v>
      </c>
      <c r="C3561" t="s">
        <v>6</v>
      </c>
      <c r="D3561" t="s">
        <v>863</v>
      </c>
      <c r="F3561" s="1">
        <v>45870</v>
      </c>
      <c r="G3561" t="str">
        <f>IF(Table3[[#This Row],[Top Parent Account]]="",Table3[[#This Row],[Account Legal Name]],Table3[[#This Row],[Top Parent Account]])</f>
        <v>Inosan Biopharma</v>
      </c>
      <c r="H3561" s="1"/>
    </row>
    <row r="3562" spans="1:8" x14ac:dyDescent="0.35">
      <c r="A3562" s="21"/>
      <c r="B3562" t="s">
        <v>1131</v>
      </c>
      <c r="C3562" t="s">
        <v>22</v>
      </c>
      <c r="D3562" t="s">
        <v>2246</v>
      </c>
      <c r="F3562" s="1">
        <v>45870</v>
      </c>
      <c r="G3562" t="str">
        <f>IF(Table3[[#This Row],[Top Parent Account]]="",Table3[[#This Row],[Account Legal Name]],Table3[[#This Row],[Top Parent Account]])</f>
        <v>Ganaderos Industriales de la Leche</v>
      </c>
      <c r="H3562" s="1"/>
    </row>
    <row r="3563" spans="1:8" x14ac:dyDescent="0.35">
      <c r="A3563" s="21"/>
      <c r="B3563" t="s">
        <v>207</v>
      </c>
      <c r="C3563" t="s">
        <v>6</v>
      </c>
      <c r="D3563" t="s">
        <v>2988</v>
      </c>
      <c r="F3563" s="1">
        <v>45870</v>
      </c>
      <c r="G3563" t="str">
        <f>IF(Table3[[#This Row],[Top Parent Account]]="",Table3[[#This Row],[Account Legal Name]],Table3[[#This Row],[Top Parent Account]])</f>
        <v>AGR Medical</v>
      </c>
      <c r="H3563" s="1"/>
    </row>
    <row r="3564" spans="1:8" x14ac:dyDescent="0.35">
      <c r="A3564" s="21"/>
      <c r="B3564" t="s">
        <v>280</v>
      </c>
      <c r="C3564" t="s">
        <v>6</v>
      </c>
      <c r="D3564" t="s">
        <v>1207</v>
      </c>
      <c r="E3564" t="s">
        <v>1208</v>
      </c>
      <c r="F3564" s="1">
        <v>45870</v>
      </c>
      <c r="G3564" t="str">
        <f>IF(Table3[[#This Row],[Top Parent Account]]="",Table3[[#This Row],[Account Legal Name]],Table3[[#This Row],[Top Parent Account]])</f>
        <v>Grupo Alerta</v>
      </c>
      <c r="H3564" s="1"/>
    </row>
    <row r="3565" spans="1:8" x14ac:dyDescent="0.35">
      <c r="A3565" s="21"/>
      <c r="B3565" t="s">
        <v>590</v>
      </c>
      <c r="C3565" t="s">
        <v>6</v>
      </c>
      <c r="D3565" t="s">
        <v>3010</v>
      </c>
      <c r="F3565" s="1">
        <v>45870</v>
      </c>
      <c r="G3565" t="str">
        <f>IF(Table3[[#This Row],[Top Parent Account]]="",Table3[[#This Row],[Account Legal Name]],Table3[[#This Row],[Top Parent Account]])</f>
        <v>Alco. Alimentos Calidad Optima</v>
      </c>
      <c r="H3565" s="1"/>
    </row>
    <row r="3566" spans="1:8" x14ac:dyDescent="0.35">
      <c r="A3566" s="21"/>
      <c r="B3566" t="s">
        <v>84</v>
      </c>
      <c r="C3566" t="s">
        <v>55</v>
      </c>
      <c r="D3566" t="s">
        <v>1026</v>
      </c>
      <c r="F3566" s="1">
        <v>45870</v>
      </c>
      <c r="G3566" t="str">
        <f>IF(Table3[[#This Row],[Top Parent Account]]="",Table3[[#This Row],[Account Legal Name]],Table3[[#This Row],[Top Parent Account]])</f>
        <v>Acumuladores Omega</v>
      </c>
      <c r="H3566" s="1"/>
    </row>
    <row r="3567" spans="1:8" x14ac:dyDescent="0.35">
      <c r="A3567" s="21"/>
      <c r="B3567" t="s">
        <v>37</v>
      </c>
      <c r="C3567" t="s">
        <v>2989</v>
      </c>
      <c r="D3567" t="s">
        <v>2990</v>
      </c>
      <c r="F3567" s="1">
        <v>45870</v>
      </c>
      <c r="G3567" t="str">
        <f>IF(Table3[[#This Row],[Top Parent Account]]="",Table3[[#This Row],[Account Legal Name]],Table3[[#This Row],[Top Parent Account]])</f>
        <v>Grupo ISA</v>
      </c>
      <c r="H3567" s="1"/>
    </row>
    <row r="3568" spans="1:8" x14ac:dyDescent="0.35">
      <c r="A3568" s="21"/>
      <c r="B3568" t="s">
        <v>23</v>
      </c>
      <c r="C3568" t="s">
        <v>6</v>
      </c>
      <c r="D3568" t="s">
        <v>2993</v>
      </c>
      <c r="F3568" s="1">
        <v>45870</v>
      </c>
      <c r="G3568" t="str">
        <f>IF(Table3[[#This Row],[Top Parent Account]]="",Table3[[#This Row],[Account Legal Name]],Table3[[#This Row],[Top Parent Account]])</f>
        <v>Delaval</v>
      </c>
      <c r="H3568" s="1"/>
    </row>
    <row r="3569" spans="1:8" x14ac:dyDescent="0.35">
      <c r="A3569" s="21"/>
      <c r="B3569" t="s">
        <v>29</v>
      </c>
      <c r="C3569" t="s">
        <v>6</v>
      </c>
      <c r="D3569" t="s">
        <v>3857</v>
      </c>
      <c r="F3569" s="1">
        <v>45870</v>
      </c>
      <c r="G3569" t="str">
        <f>IF(Table3[[#This Row],[Top Parent Account]]="",Table3[[#This Row],[Account Legal Name]],Table3[[#This Row],[Top Parent Account]])</f>
        <v>Trank Transportaciones</v>
      </c>
      <c r="H3569" s="1"/>
    </row>
    <row r="3570" spans="1:8" x14ac:dyDescent="0.35">
      <c r="A3570" s="21"/>
      <c r="B3570" t="s">
        <v>8</v>
      </c>
      <c r="C3570" t="s">
        <v>6</v>
      </c>
      <c r="D3570" t="s">
        <v>2991</v>
      </c>
      <c r="F3570" s="1">
        <v>45870</v>
      </c>
      <c r="G3570" t="str">
        <f>IF(Table3[[#This Row],[Top Parent Account]]="",Table3[[#This Row],[Account Legal Name]],Table3[[#This Row],[Top Parent Account]])</f>
        <v>Hooke Diseño e Ingenieria</v>
      </c>
      <c r="H3570" s="1"/>
    </row>
    <row r="3571" spans="1:8" x14ac:dyDescent="0.35">
      <c r="A3571" s="21"/>
      <c r="B3571" t="s">
        <v>1899</v>
      </c>
      <c r="C3571" t="s">
        <v>6</v>
      </c>
      <c r="D3571" t="s">
        <v>2992</v>
      </c>
      <c r="F3571" s="1">
        <v>45870</v>
      </c>
      <c r="G3571" t="str">
        <f>IF(Table3[[#This Row],[Top Parent Account]]="",Table3[[#This Row],[Account Legal Name]],Table3[[#This Row],[Top Parent Account]])</f>
        <v>Tecnología en Sistemas de Refrigeración</v>
      </c>
      <c r="H3571" s="1"/>
    </row>
    <row r="3572" spans="1:8" x14ac:dyDescent="0.35">
      <c r="A3572" s="21"/>
      <c r="B3572" t="s">
        <v>43</v>
      </c>
      <c r="C3572" t="s">
        <v>6</v>
      </c>
      <c r="D3572" t="s">
        <v>550</v>
      </c>
      <c r="F3572" s="1">
        <v>45870</v>
      </c>
      <c r="G3572" t="str">
        <f>IF(Table3[[#This Row],[Top Parent Account]]="",Table3[[#This Row],[Account Legal Name]],Table3[[#This Row],[Top Parent Account]])</f>
        <v>Construmac</v>
      </c>
      <c r="H3572" s="1"/>
    </row>
    <row r="3573" spans="1:8" x14ac:dyDescent="0.35">
      <c r="A3573" s="21"/>
      <c r="B3573" t="s">
        <v>27</v>
      </c>
      <c r="C3573" t="s">
        <v>6</v>
      </c>
      <c r="D3573" t="s">
        <v>1299</v>
      </c>
      <c r="F3573" s="1">
        <v>45870</v>
      </c>
      <c r="G3573" t="str">
        <f>IF(Table3[[#This Row],[Top Parent Account]]="",Table3[[#This Row],[Account Legal Name]],Table3[[#This Row],[Top Parent Account]])</f>
        <v>Bedacom</v>
      </c>
      <c r="H3573" s="1"/>
    </row>
    <row r="3574" spans="1:8" x14ac:dyDescent="0.35">
      <c r="A3574" s="21"/>
      <c r="B3574" t="s">
        <v>27</v>
      </c>
      <c r="C3574" t="s">
        <v>22</v>
      </c>
      <c r="D3574" t="s">
        <v>500</v>
      </c>
      <c r="F3574" s="1">
        <v>45870</v>
      </c>
      <c r="G3574" t="str">
        <f>IF(Table3[[#This Row],[Top Parent Account]]="",Table3[[#This Row],[Account Legal Name]],Table3[[#This Row],[Top Parent Account]])</f>
        <v>Cementos del Bajio</v>
      </c>
      <c r="H3574" s="1"/>
    </row>
    <row r="3575" spans="1:8" x14ac:dyDescent="0.35">
      <c r="A3575" s="21"/>
      <c r="B3575" t="s">
        <v>27</v>
      </c>
      <c r="C3575" t="s">
        <v>6</v>
      </c>
      <c r="D3575" t="s">
        <v>489</v>
      </c>
      <c r="F3575" s="1">
        <v>45870</v>
      </c>
      <c r="G3575" t="str">
        <f>IF(Table3[[#This Row],[Top Parent Account]]="",Table3[[#This Row],[Account Legal Name]],Table3[[#This Row],[Top Parent Account]])</f>
        <v>Logistics Interoceanica de Carga</v>
      </c>
      <c r="H3575" s="1"/>
    </row>
    <row r="3576" spans="1:8" x14ac:dyDescent="0.35">
      <c r="A3576" s="21"/>
      <c r="B3576" t="s">
        <v>43</v>
      </c>
      <c r="C3576" t="s">
        <v>6</v>
      </c>
      <c r="D3576" t="s">
        <v>2994</v>
      </c>
      <c r="F3576" s="1">
        <v>45869</v>
      </c>
      <c r="G3576" t="str">
        <f>IF(Table3[[#This Row],[Top Parent Account]]="",Table3[[#This Row],[Account Legal Name]],Table3[[#This Row],[Top Parent Account]])</f>
        <v>Race Carreteras</v>
      </c>
      <c r="H3576" s="1"/>
    </row>
    <row r="3577" spans="1:8" x14ac:dyDescent="0.35">
      <c r="A3577" s="21"/>
      <c r="B3577" t="s">
        <v>18</v>
      </c>
      <c r="C3577" t="s">
        <v>6</v>
      </c>
      <c r="D3577" t="s">
        <v>898</v>
      </c>
      <c r="F3577" s="1">
        <v>45869</v>
      </c>
      <c r="G3577" t="str">
        <f>IF(Table3[[#This Row],[Top Parent Account]]="",Table3[[#This Row],[Account Legal Name]],Table3[[#This Row],[Top Parent Account]])</f>
        <v>Bash Ingenieria</v>
      </c>
      <c r="H3577" s="1"/>
    </row>
    <row r="3578" spans="1:8" x14ac:dyDescent="0.35">
      <c r="A3578" s="21"/>
      <c r="B3578" t="s">
        <v>23</v>
      </c>
      <c r="C3578" t="s">
        <v>6</v>
      </c>
      <c r="D3578" t="s">
        <v>2939</v>
      </c>
      <c r="F3578" s="1">
        <v>45869</v>
      </c>
      <c r="G3578" t="str">
        <f>IF(Table3[[#This Row],[Top Parent Account]]="",Table3[[#This Row],[Account Legal Name]],Table3[[#This Row],[Top Parent Account]])</f>
        <v>Rising Farms</v>
      </c>
      <c r="H3578" s="1"/>
    </row>
    <row r="3579" spans="1:8" x14ac:dyDescent="0.35">
      <c r="A3579" s="21"/>
      <c r="B3579" t="s">
        <v>989</v>
      </c>
      <c r="C3579" t="s">
        <v>6</v>
      </c>
      <c r="D3579" t="s">
        <v>2938</v>
      </c>
      <c r="F3579" s="1">
        <v>45869</v>
      </c>
      <c r="G3579" t="str">
        <f>IF(Table3[[#This Row],[Top Parent Account]]="",Table3[[#This Row],[Account Legal Name]],Table3[[#This Row],[Top Parent Account]])</f>
        <v>Karalundi</v>
      </c>
      <c r="H3579" s="1"/>
    </row>
    <row r="3580" spans="1:8" x14ac:dyDescent="0.35">
      <c r="A3580" s="21"/>
      <c r="B3580" t="s">
        <v>28</v>
      </c>
      <c r="C3580" t="s">
        <v>6</v>
      </c>
      <c r="D3580" t="s">
        <v>3011</v>
      </c>
      <c r="F3580" s="1">
        <v>45869</v>
      </c>
      <c r="G3580" t="str">
        <f>IF(Table3[[#This Row],[Top Parent Account]]="",Table3[[#This Row],[Account Legal Name]],Table3[[#This Row],[Top Parent Account]])</f>
        <v>TG LOGISTIC</v>
      </c>
      <c r="H3580" s="1"/>
    </row>
    <row r="3581" spans="1:8" x14ac:dyDescent="0.35">
      <c r="A3581" s="21"/>
      <c r="B3581" t="s">
        <v>739</v>
      </c>
      <c r="C3581" t="s">
        <v>6</v>
      </c>
      <c r="D3581" t="s">
        <v>519</v>
      </c>
      <c r="F3581" s="1">
        <v>45869</v>
      </c>
      <c r="G3581" t="str">
        <f>IF(Table3[[#This Row],[Top Parent Account]]="",Table3[[#This Row],[Account Legal Name]],Table3[[#This Row],[Top Parent Account]])</f>
        <v>Productos Rich</v>
      </c>
      <c r="H3581" s="1"/>
    </row>
    <row r="3582" spans="1:8" x14ac:dyDescent="0.35">
      <c r="A3582" s="21"/>
      <c r="B3582" t="s">
        <v>43</v>
      </c>
      <c r="C3582" t="s">
        <v>6</v>
      </c>
      <c r="D3582" t="s">
        <v>2995</v>
      </c>
      <c r="F3582" s="1">
        <v>45869</v>
      </c>
      <c r="G3582" t="str">
        <f>IF(Table3[[#This Row],[Top Parent Account]]="",Table3[[#This Row],[Account Legal Name]],Table3[[#This Row],[Top Parent Account]])</f>
        <v>ELAM Hidalgo Ensambladora Latinoamericana de Motores</v>
      </c>
      <c r="H3582" s="1"/>
    </row>
    <row r="3583" spans="1:8" x14ac:dyDescent="0.35">
      <c r="A3583" s="21"/>
      <c r="B3583" t="s">
        <v>375</v>
      </c>
      <c r="C3583" t="s">
        <v>6</v>
      </c>
      <c r="D3583" t="s">
        <v>1198</v>
      </c>
      <c r="F3583" s="1">
        <v>45869</v>
      </c>
      <c r="G3583" t="str">
        <f>IF(Table3[[#This Row],[Top Parent Account]]="",Table3[[#This Row],[Account Legal Name]],Table3[[#This Row],[Top Parent Account]])</f>
        <v>Polimeros Nacionales</v>
      </c>
      <c r="H3583" s="1"/>
    </row>
    <row r="3584" spans="1:8" x14ac:dyDescent="0.35">
      <c r="A3584" s="21"/>
      <c r="B3584" t="s">
        <v>21</v>
      </c>
      <c r="C3584" t="s">
        <v>6</v>
      </c>
      <c r="D3584" t="s">
        <v>2997</v>
      </c>
      <c r="F3584" s="1">
        <v>45869</v>
      </c>
      <c r="G3584" t="str">
        <f>IF(Table3[[#This Row],[Top Parent Account]]="",Table3[[#This Row],[Account Legal Name]],Table3[[#This Row],[Top Parent Account]])</f>
        <v>Antarix IP</v>
      </c>
      <c r="H3584" s="1"/>
    </row>
    <row r="3585" spans="1:8" x14ac:dyDescent="0.35">
      <c r="A3585" s="21"/>
      <c r="B3585" t="s">
        <v>21</v>
      </c>
      <c r="C3585" t="s">
        <v>6</v>
      </c>
      <c r="D3585" t="s">
        <v>2940</v>
      </c>
      <c r="F3585" s="1">
        <v>45869</v>
      </c>
      <c r="G3585" t="str">
        <f>IF(Table3[[#This Row],[Top Parent Account]]="",Table3[[#This Row],[Account Legal Name]],Table3[[#This Row],[Top Parent Account]])</f>
        <v>CORPORATIVO NAERCRIS</v>
      </c>
      <c r="H3585" s="1"/>
    </row>
    <row r="3586" spans="1:8" x14ac:dyDescent="0.35">
      <c r="A3586" s="21"/>
      <c r="B3586" t="s">
        <v>28</v>
      </c>
      <c r="C3586" t="s">
        <v>6</v>
      </c>
      <c r="D3586" t="s">
        <v>2941</v>
      </c>
      <c r="F3586" s="1">
        <v>45869</v>
      </c>
      <c r="G3586" t="str">
        <f>IF(Table3[[#This Row],[Top Parent Account]]="",Table3[[#This Row],[Account Legal Name]],Table3[[#This Row],[Top Parent Account]])</f>
        <v>Lácteos Florida</v>
      </c>
      <c r="H3586" s="1"/>
    </row>
    <row r="3587" spans="1:8" x14ac:dyDescent="0.35">
      <c r="A3587" s="21"/>
      <c r="B3587" t="s">
        <v>88</v>
      </c>
      <c r="C3587" t="s">
        <v>6</v>
      </c>
      <c r="D3587" t="s">
        <v>2942</v>
      </c>
      <c r="F3587" s="1">
        <v>45869</v>
      </c>
      <c r="G3587" t="str">
        <f>IF(Table3[[#This Row],[Top Parent Account]]="",Table3[[#This Row],[Account Legal Name]],Table3[[#This Row],[Top Parent Account]])</f>
        <v>Marycruz Vega Velázquez</v>
      </c>
      <c r="H3587" s="1"/>
    </row>
    <row r="3588" spans="1:8" x14ac:dyDescent="0.35">
      <c r="A3588" s="21"/>
      <c r="B3588" t="s">
        <v>116</v>
      </c>
      <c r="C3588" t="s">
        <v>6</v>
      </c>
      <c r="D3588" t="s">
        <v>2996</v>
      </c>
      <c r="F3588" s="1">
        <v>45869</v>
      </c>
      <c r="G3588" t="str">
        <f>IF(Table3[[#This Row],[Top Parent Account]]="",Table3[[#This Row],[Account Legal Name]],Table3[[#This Row],[Top Parent Account]])</f>
        <v>Global Fuentes</v>
      </c>
      <c r="H3588" s="1"/>
    </row>
    <row r="3589" spans="1:8" x14ac:dyDescent="0.35">
      <c r="A3589" s="21"/>
      <c r="B3589" t="s">
        <v>208</v>
      </c>
      <c r="C3589" t="s">
        <v>6</v>
      </c>
      <c r="D3589" t="s">
        <v>1140</v>
      </c>
      <c r="F3589" s="1">
        <v>45869</v>
      </c>
      <c r="G3589" t="str">
        <f>IF(Table3[[#This Row],[Top Parent Account]]="",Table3[[#This Row],[Account Legal Name]],Table3[[#This Row],[Top Parent Account]])</f>
        <v>TRBL</v>
      </c>
      <c r="H3589" s="1"/>
    </row>
    <row r="3590" spans="1:8" x14ac:dyDescent="0.35">
      <c r="A3590" s="21"/>
      <c r="B3590" t="s">
        <v>969</v>
      </c>
      <c r="C3590" t="s">
        <v>6</v>
      </c>
      <c r="D3590" t="s">
        <v>876</v>
      </c>
      <c r="F3590" s="1">
        <v>45869</v>
      </c>
      <c r="G3590" t="str">
        <f>IF(Table3[[#This Row],[Top Parent Account]]="",Table3[[#This Row],[Account Legal Name]],Table3[[#This Row],[Top Parent Account]])</f>
        <v>Asientos Prestige &amp; Comfort</v>
      </c>
      <c r="H3590" s="1"/>
    </row>
    <row r="3591" spans="1:8" x14ac:dyDescent="0.35">
      <c r="A3591" s="21"/>
      <c r="B3591" t="s">
        <v>43</v>
      </c>
      <c r="C3591" t="s">
        <v>6</v>
      </c>
      <c r="D3591" t="s">
        <v>1600</v>
      </c>
      <c r="F3591" s="1">
        <v>45869</v>
      </c>
      <c r="G3591" t="str">
        <f>IF(Table3[[#This Row],[Top Parent Account]]="",Table3[[#This Row],[Account Legal Name]],Table3[[#This Row],[Top Parent Account]])</f>
        <v>Acrilicos Sablon</v>
      </c>
      <c r="H3591" s="1"/>
    </row>
    <row r="3592" spans="1:8" x14ac:dyDescent="0.35">
      <c r="A3592" s="21"/>
      <c r="B3592" t="s">
        <v>84</v>
      </c>
      <c r="C3592" t="s">
        <v>6</v>
      </c>
      <c r="D3592" t="s">
        <v>1928</v>
      </c>
      <c r="F3592" s="1">
        <v>45869</v>
      </c>
      <c r="G3592" t="str">
        <f>IF(Table3[[#This Row],[Top Parent Account]]="",Table3[[#This Row],[Account Legal Name]],Table3[[#This Row],[Top Parent Account]])</f>
        <v>3R RECYCLING</v>
      </c>
      <c r="H3592" s="1"/>
    </row>
    <row r="3593" spans="1:8" x14ac:dyDescent="0.35">
      <c r="A3593" s="21"/>
      <c r="B3593" t="s">
        <v>84</v>
      </c>
      <c r="C3593" t="s">
        <v>6</v>
      </c>
      <c r="D3593" t="s">
        <v>1087</v>
      </c>
      <c r="F3593" s="1">
        <v>45869</v>
      </c>
      <c r="G3593" t="str">
        <f>IF(Table3[[#This Row],[Top Parent Account]]="",Table3[[#This Row],[Account Legal Name]],Table3[[#This Row],[Top Parent Account]])</f>
        <v>CARBOMET</v>
      </c>
      <c r="H3593" s="1"/>
    </row>
    <row r="3594" spans="1:8" x14ac:dyDescent="0.35">
      <c r="A3594" s="21"/>
      <c r="B3594" t="s">
        <v>43</v>
      </c>
      <c r="C3594" t="s">
        <v>6</v>
      </c>
      <c r="D3594" t="s">
        <v>1008</v>
      </c>
      <c r="F3594" s="1">
        <v>45869</v>
      </c>
      <c r="G3594" t="str">
        <f>IF(Table3[[#This Row],[Top Parent Account]]="",Table3[[#This Row],[Account Legal Name]],Table3[[#This Row],[Top Parent Account]])</f>
        <v>Laboratorios Vanquish</v>
      </c>
      <c r="H3594" s="1"/>
    </row>
    <row r="3595" spans="1:8" x14ac:dyDescent="0.35">
      <c r="A3595" s="21"/>
      <c r="B3595" t="s">
        <v>1643</v>
      </c>
      <c r="C3595" t="s">
        <v>6</v>
      </c>
      <c r="D3595" t="s">
        <v>830</v>
      </c>
      <c r="F3595" s="1">
        <v>45869</v>
      </c>
      <c r="G3595" t="str">
        <f>IF(Table3[[#This Row],[Top Parent Account]]="",Table3[[#This Row],[Account Legal Name]],Table3[[#This Row],[Top Parent Account]])</f>
        <v>Grupo Verzatec</v>
      </c>
      <c r="H3595" s="1"/>
    </row>
    <row r="3596" spans="1:8" x14ac:dyDescent="0.35">
      <c r="A3596" s="21"/>
      <c r="B3596" t="s">
        <v>32</v>
      </c>
      <c r="C3596" t="s">
        <v>6</v>
      </c>
      <c r="D3596" t="s">
        <v>2985</v>
      </c>
      <c r="F3596" s="1">
        <v>45869</v>
      </c>
      <c r="G3596" t="str">
        <f>IF(Table3[[#This Row],[Top Parent Account]]="",Table3[[#This Row],[Account Legal Name]],Table3[[#This Row],[Top Parent Account]])</f>
        <v>Exportadora de Cítricos San Gabriel</v>
      </c>
      <c r="H3596" s="1"/>
    </row>
    <row r="3597" spans="1:8" x14ac:dyDescent="0.35">
      <c r="A3597" s="21"/>
      <c r="B3597" t="s">
        <v>39</v>
      </c>
      <c r="C3597" t="s">
        <v>2943</v>
      </c>
      <c r="D3597" t="s">
        <v>794</v>
      </c>
      <c r="F3597" s="1">
        <v>45869</v>
      </c>
      <c r="G3597" t="str">
        <f>IF(Table3[[#This Row],[Top Parent Account]]="",Table3[[#This Row],[Account Legal Name]],Table3[[#This Row],[Top Parent Account]])</f>
        <v>Granjas Avicolas Rancho Grande</v>
      </c>
      <c r="H3597" s="1"/>
    </row>
    <row r="3598" spans="1:8" x14ac:dyDescent="0.35">
      <c r="A3598" s="21"/>
      <c r="B3598" t="s">
        <v>43</v>
      </c>
      <c r="C3598" t="s">
        <v>6</v>
      </c>
      <c r="D3598" t="s">
        <v>1008</v>
      </c>
      <c r="F3598" s="1">
        <v>45869</v>
      </c>
      <c r="G3598" t="str">
        <f>IF(Table3[[#This Row],[Top Parent Account]]="",Table3[[#This Row],[Account Legal Name]],Table3[[#This Row],[Top Parent Account]])</f>
        <v>Laboratorios Vanquish</v>
      </c>
      <c r="H3598" s="1"/>
    </row>
    <row r="3599" spans="1:8" x14ac:dyDescent="0.35">
      <c r="A3599" s="21"/>
      <c r="B3599" t="s">
        <v>172</v>
      </c>
      <c r="C3599" t="s">
        <v>6</v>
      </c>
      <c r="D3599" t="s">
        <v>2998</v>
      </c>
      <c r="F3599" s="1">
        <v>45869</v>
      </c>
      <c r="G3599" t="str">
        <f>IF(Table3[[#This Row],[Top Parent Account]]="",Table3[[#This Row],[Account Legal Name]],Table3[[#This Row],[Top Parent Account]])</f>
        <v>Connaught Consultancy Limited</v>
      </c>
      <c r="H3599" s="1"/>
    </row>
    <row r="3600" spans="1:8" x14ac:dyDescent="0.35">
      <c r="A3600" s="21"/>
      <c r="B3600" t="s">
        <v>14</v>
      </c>
      <c r="C3600" t="s">
        <v>6</v>
      </c>
      <c r="D3600" t="s">
        <v>1011</v>
      </c>
      <c r="F3600" s="1">
        <v>45868</v>
      </c>
      <c r="G3600" t="str">
        <f>IF(Table3[[#This Row],[Top Parent Account]]="",Table3[[#This Row],[Account Legal Name]],Table3[[#This Row],[Top Parent Account]])</f>
        <v>Tramusa Carrier de Mexico</v>
      </c>
      <c r="H3600" s="1"/>
    </row>
    <row r="3601" spans="1:8" x14ac:dyDescent="0.35">
      <c r="A3601" s="21"/>
      <c r="B3601" t="s">
        <v>14</v>
      </c>
      <c r="C3601" t="s">
        <v>6</v>
      </c>
      <c r="D3601" t="s">
        <v>2945</v>
      </c>
      <c r="F3601" s="1">
        <v>45868</v>
      </c>
      <c r="G3601" t="str">
        <f>IF(Table3[[#This Row],[Top Parent Account]]="",Table3[[#This Row],[Account Legal Name]],Table3[[#This Row],[Top Parent Account]])</f>
        <v>Corporativo Sanduze</v>
      </c>
      <c r="H3601" s="1"/>
    </row>
    <row r="3602" spans="1:8" x14ac:dyDescent="0.35">
      <c r="A3602" s="21"/>
      <c r="B3602" t="s">
        <v>18</v>
      </c>
      <c r="C3602" t="s">
        <v>6</v>
      </c>
      <c r="D3602" t="s">
        <v>2944</v>
      </c>
      <c r="F3602" s="1">
        <v>45868</v>
      </c>
      <c r="G3602" t="str">
        <f>IF(Table3[[#This Row],[Top Parent Account]]="",Table3[[#This Row],[Account Legal Name]],Table3[[#This Row],[Top Parent Account]])</f>
        <v>Prexon Prefabricados</v>
      </c>
      <c r="H3602" s="1"/>
    </row>
    <row r="3603" spans="1:8" x14ac:dyDescent="0.35">
      <c r="A3603" s="21"/>
      <c r="B3603" t="s">
        <v>28</v>
      </c>
      <c r="C3603" t="s">
        <v>6</v>
      </c>
      <c r="D3603" t="s">
        <v>1046</v>
      </c>
      <c r="F3603" s="1">
        <v>45868</v>
      </c>
      <c r="G3603" t="str">
        <f>IF(Table3[[#This Row],[Top Parent Account]]="",Table3[[#This Row],[Account Legal Name]],Table3[[#This Row],[Top Parent Account]])</f>
        <v>HACHE TRANSPORTES TRC</v>
      </c>
      <c r="H3603" s="1"/>
    </row>
    <row r="3604" spans="1:8" x14ac:dyDescent="0.35">
      <c r="A3604" s="21"/>
      <c r="B3604" t="s">
        <v>18</v>
      </c>
      <c r="C3604" t="s">
        <v>6</v>
      </c>
      <c r="D3604" t="s">
        <v>1584</v>
      </c>
      <c r="F3604" s="1">
        <v>45868</v>
      </c>
      <c r="G3604" t="str">
        <f>IF(Table3[[#This Row],[Top Parent Account]]="",Table3[[#This Row],[Account Legal Name]],Table3[[#This Row],[Top Parent Account]])</f>
        <v>Sun Grain Comercial</v>
      </c>
      <c r="H3604" s="1"/>
    </row>
    <row r="3605" spans="1:8" x14ac:dyDescent="0.35">
      <c r="A3605" s="21"/>
      <c r="B3605" t="s">
        <v>39</v>
      </c>
      <c r="C3605" t="s">
        <v>2946</v>
      </c>
      <c r="D3605" t="s">
        <v>520</v>
      </c>
      <c r="F3605" s="1">
        <v>45868</v>
      </c>
      <c r="G3605" t="str">
        <f>IF(Table3[[#This Row],[Top Parent Account]]="",Table3[[#This Row],[Account Legal Name]],Table3[[#This Row],[Top Parent Account]])</f>
        <v>Comercializadora de Alimentos Ochoa</v>
      </c>
      <c r="H3605" s="1"/>
    </row>
    <row r="3606" spans="1:8" x14ac:dyDescent="0.35">
      <c r="A3606" s="21"/>
      <c r="B3606" t="s">
        <v>375</v>
      </c>
      <c r="C3606" t="s">
        <v>6</v>
      </c>
      <c r="D3606" t="s">
        <v>2947</v>
      </c>
      <c r="F3606" s="1">
        <v>45868</v>
      </c>
      <c r="G3606" t="str">
        <f>IF(Table3[[#This Row],[Top Parent Account]]="",Table3[[#This Row],[Account Legal Name]],Table3[[#This Row],[Top Parent Account]])</f>
        <v>SECARSA COMBUSTIBLES</v>
      </c>
      <c r="H3606" s="1"/>
    </row>
    <row r="3607" spans="1:8" x14ac:dyDescent="0.35">
      <c r="A3607" s="21"/>
      <c r="B3607" t="s">
        <v>121</v>
      </c>
      <c r="C3607" t="s">
        <v>6</v>
      </c>
      <c r="D3607" t="s">
        <v>3012</v>
      </c>
      <c r="F3607" s="1">
        <v>45868</v>
      </c>
      <c r="G3607" t="str">
        <f>IF(Table3[[#This Row],[Top Parent Account]]="",Table3[[#This Row],[Account Legal Name]],Table3[[#This Row],[Top Parent Account]])</f>
        <v>Tecnología Tecnometal</v>
      </c>
      <c r="H3607" s="1"/>
    </row>
    <row r="3608" spans="1:8" x14ac:dyDescent="0.35">
      <c r="A3608" s="21"/>
      <c r="B3608" t="s">
        <v>2912</v>
      </c>
      <c r="C3608" t="s">
        <v>3046</v>
      </c>
      <c r="D3608" t="s">
        <v>3021</v>
      </c>
      <c r="E3608" t="s">
        <v>3022</v>
      </c>
      <c r="F3608" s="1">
        <v>45868</v>
      </c>
      <c r="G3608" t="str">
        <f>IF(Table3[[#This Row],[Top Parent Account]]="",Table3[[#This Row],[Account Legal Name]],Table3[[#This Row],[Top Parent Account]])</f>
        <v>Kdm Fire Systems</v>
      </c>
      <c r="H3608" s="1"/>
    </row>
    <row r="3609" spans="1:8" x14ac:dyDescent="0.35">
      <c r="A3609" s="21"/>
      <c r="B3609" t="s">
        <v>969</v>
      </c>
      <c r="C3609" t="s">
        <v>6</v>
      </c>
      <c r="D3609" t="s">
        <v>2279</v>
      </c>
      <c r="F3609" s="1">
        <v>45868</v>
      </c>
      <c r="G3609" t="str">
        <f>IF(Table3[[#This Row],[Top Parent Account]]="",Table3[[#This Row],[Account Legal Name]],Table3[[#This Row],[Top Parent Account]])</f>
        <v>Abarrotes Hilo</v>
      </c>
      <c r="H3609" s="1"/>
    </row>
    <row r="3610" spans="1:8" x14ac:dyDescent="0.35">
      <c r="A3610" s="21"/>
      <c r="B3610" t="s">
        <v>169</v>
      </c>
      <c r="C3610" t="s">
        <v>2948</v>
      </c>
      <c r="D3610" t="s">
        <v>1211</v>
      </c>
      <c r="F3610" s="1">
        <v>45868</v>
      </c>
      <c r="G3610" t="str">
        <f>IF(Table3[[#This Row],[Top Parent Account]]="",Table3[[#This Row],[Account Legal Name]],Table3[[#This Row],[Top Parent Account]])</f>
        <v>Productos Zam-Fre</v>
      </c>
      <c r="H3610" s="1"/>
    </row>
    <row r="3611" spans="1:8" x14ac:dyDescent="0.35">
      <c r="A3611" s="21"/>
      <c r="B3611" t="s">
        <v>26</v>
      </c>
      <c r="C3611" t="s">
        <v>6</v>
      </c>
      <c r="D3611" t="s">
        <v>2949</v>
      </c>
      <c r="F3611" s="1">
        <v>45868</v>
      </c>
      <c r="G3611" t="str">
        <f>IF(Table3[[#This Row],[Top Parent Account]]="",Table3[[#This Row],[Account Legal Name]],Table3[[#This Row],[Top Parent Account]])</f>
        <v>Goncalves de México</v>
      </c>
      <c r="H3611" s="1"/>
    </row>
    <row r="3612" spans="1:8" x14ac:dyDescent="0.35">
      <c r="A3612" s="21"/>
      <c r="B3612" t="s">
        <v>37</v>
      </c>
      <c r="C3612" t="s">
        <v>6</v>
      </c>
      <c r="D3612" t="s">
        <v>2999</v>
      </c>
      <c r="F3612" s="1">
        <v>45868</v>
      </c>
      <c r="G3612" t="str">
        <f>IF(Table3[[#This Row],[Top Parent Account]]="",Table3[[#This Row],[Account Legal Name]],Table3[[#This Row],[Top Parent Account]])</f>
        <v>ZATO COMERCIALIZADORA BIOTECNOLOGICA</v>
      </c>
      <c r="H3612" s="1"/>
    </row>
    <row r="3613" spans="1:8" x14ac:dyDescent="0.35">
      <c r="A3613" s="21"/>
      <c r="B3613" t="s">
        <v>1006</v>
      </c>
      <c r="C3613" t="s">
        <v>6</v>
      </c>
      <c r="D3613" t="s">
        <v>3000</v>
      </c>
      <c r="F3613" s="1">
        <v>45868</v>
      </c>
      <c r="G3613" t="str">
        <f>IF(Table3[[#This Row],[Top Parent Account]]="",Table3[[#This Row],[Account Legal Name]],Table3[[#This Row],[Top Parent Account]])</f>
        <v>AUTOLINEAS DEX</v>
      </c>
      <c r="H3613" s="1"/>
    </row>
    <row r="3614" spans="1:8" x14ac:dyDescent="0.35">
      <c r="A3614" s="21"/>
      <c r="B3614" t="s">
        <v>208</v>
      </c>
      <c r="C3614" t="s">
        <v>6</v>
      </c>
      <c r="D3614" t="s">
        <v>2273</v>
      </c>
      <c r="F3614" s="1">
        <v>45868</v>
      </c>
      <c r="G3614" t="str">
        <f>IF(Table3[[#This Row],[Top Parent Account]]="",Table3[[#This Row],[Account Legal Name]],Table3[[#This Row],[Top Parent Account]])</f>
        <v>Medidores Industriales y Médicos</v>
      </c>
      <c r="H3614" s="1"/>
    </row>
    <row r="3615" spans="1:8" x14ac:dyDescent="0.35">
      <c r="A3615" s="21"/>
      <c r="B3615" t="s">
        <v>2884</v>
      </c>
      <c r="C3615" t="s">
        <v>6</v>
      </c>
      <c r="D3615" t="s">
        <v>3001</v>
      </c>
      <c r="F3615" s="1">
        <v>45868</v>
      </c>
      <c r="G3615" t="str">
        <f>IF(Table3[[#This Row],[Top Parent Account]]="",Table3[[#This Row],[Account Legal Name]],Table3[[#This Row],[Top Parent Account]])</f>
        <v>Armo Diseño</v>
      </c>
      <c r="H3615" s="1"/>
    </row>
    <row r="3616" spans="1:8" x14ac:dyDescent="0.35">
      <c r="A3616" s="21"/>
      <c r="B3616" t="s">
        <v>21</v>
      </c>
      <c r="C3616" t="s">
        <v>6</v>
      </c>
      <c r="D3616" t="s">
        <v>2950</v>
      </c>
      <c r="F3616" s="1">
        <v>45868</v>
      </c>
      <c r="G3616" t="str">
        <f>IF(Table3[[#This Row],[Top Parent Account]]="",Table3[[#This Row],[Account Legal Name]],Table3[[#This Row],[Top Parent Account]])</f>
        <v>Verlogistics</v>
      </c>
      <c r="H3616" s="1"/>
    </row>
    <row r="3617" spans="1:8" x14ac:dyDescent="0.35">
      <c r="A3617" s="21"/>
      <c r="B3617" t="s">
        <v>7</v>
      </c>
      <c r="C3617" t="s">
        <v>6</v>
      </c>
      <c r="D3617" t="s">
        <v>3002</v>
      </c>
      <c r="F3617" s="1">
        <v>45868</v>
      </c>
      <c r="G3617" t="str">
        <f>IF(Table3[[#This Row],[Top Parent Account]]="",Table3[[#This Row],[Account Legal Name]],Table3[[#This Row],[Top Parent Account]])</f>
        <v>Productora De Quesos Sierra Verde</v>
      </c>
      <c r="H3617" s="1"/>
    </row>
    <row r="3618" spans="1:8" x14ac:dyDescent="0.35">
      <c r="A3618" s="21"/>
      <c r="B3618" t="s">
        <v>207</v>
      </c>
      <c r="C3618" t="s">
        <v>6</v>
      </c>
      <c r="D3618" t="s">
        <v>2951</v>
      </c>
      <c r="F3618" s="1">
        <v>45868</v>
      </c>
      <c r="G3618" t="str">
        <f>IF(Table3[[#This Row],[Top Parent Account]]="",Table3[[#This Row],[Account Legal Name]],Table3[[#This Row],[Top Parent Account]])</f>
        <v>Ilumina Alimentos</v>
      </c>
      <c r="H3618" s="1"/>
    </row>
    <row r="3619" spans="1:8" x14ac:dyDescent="0.35">
      <c r="A3619" s="21"/>
      <c r="B3619" t="s">
        <v>1006</v>
      </c>
      <c r="C3619" t="s">
        <v>6</v>
      </c>
      <c r="D3619" t="s">
        <v>3003</v>
      </c>
      <c r="F3619" s="1">
        <v>45868</v>
      </c>
      <c r="G3619" t="str">
        <f>IF(Table3[[#This Row],[Top Parent Account]]="",Table3[[#This Row],[Account Legal Name]],Table3[[#This Row],[Top Parent Account]])</f>
        <v>CONTAINERS DEL PACIFICO</v>
      </c>
      <c r="H3619" s="1"/>
    </row>
    <row r="3620" spans="1:8" x14ac:dyDescent="0.35">
      <c r="A3620" s="21"/>
      <c r="B3620" t="s">
        <v>7</v>
      </c>
      <c r="C3620" t="s">
        <v>6</v>
      </c>
      <c r="D3620" t="s">
        <v>2952</v>
      </c>
      <c r="F3620" s="1">
        <v>45868</v>
      </c>
      <c r="G3620" t="str">
        <f>IF(Table3[[#This Row],[Top Parent Account]]="",Table3[[#This Row],[Account Legal Name]],Table3[[#This Row],[Top Parent Account]])</f>
        <v>Semiremolques El paisano</v>
      </c>
      <c r="H3620" s="1"/>
    </row>
    <row r="3621" spans="1:8" x14ac:dyDescent="0.35">
      <c r="A3621" s="21"/>
      <c r="B3621" t="s">
        <v>10</v>
      </c>
      <c r="C3621" t="s">
        <v>6</v>
      </c>
      <c r="D3621" t="s">
        <v>593</v>
      </c>
      <c r="F3621" s="1">
        <v>45868</v>
      </c>
      <c r="G3621" t="str">
        <f>IF(Table3[[#This Row],[Top Parent Account]]="",Table3[[#This Row],[Account Legal Name]],Table3[[#This Row],[Top Parent Account]])</f>
        <v>Armasel</v>
      </c>
      <c r="H3621" s="1"/>
    </row>
    <row r="3622" spans="1:8" x14ac:dyDescent="0.35">
      <c r="A3622" s="21"/>
      <c r="B3622" t="s">
        <v>78</v>
      </c>
      <c r="C3622" t="s">
        <v>6</v>
      </c>
      <c r="D3622" t="s">
        <v>1145</v>
      </c>
      <c r="F3622" s="1">
        <v>45868</v>
      </c>
      <c r="G3622" t="str">
        <f>IF(Table3[[#This Row],[Top Parent Account]]="",Table3[[#This Row],[Account Legal Name]],Table3[[#This Row],[Top Parent Account]])</f>
        <v>OCA ENSAYOS, INSPECCIÓN Y CERTIFICACIONES MÉXICO</v>
      </c>
      <c r="H3622" s="1"/>
    </row>
    <row r="3623" spans="1:8" x14ac:dyDescent="0.35">
      <c r="A3623" s="21"/>
      <c r="B3623" t="s">
        <v>7</v>
      </c>
      <c r="C3623" t="s">
        <v>6</v>
      </c>
      <c r="D3623" t="s">
        <v>2954</v>
      </c>
      <c r="F3623" s="1">
        <v>45868</v>
      </c>
      <c r="G3623" t="str">
        <f>IF(Table3[[#This Row],[Top Parent Account]]="",Table3[[#This Row],[Account Legal Name]],Table3[[#This Row],[Top Parent Account]])</f>
        <v>Industrias Met Gri</v>
      </c>
      <c r="H3623" s="1"/>
    </row>
    <row r="3624" spans="1:8" x14ac:dyDescent="0.35">
      <c r="A3624" s="21"/>
      <c r="B3624" t="s">
        <v>39</v>
      </c>
      <c r="C3624" t="s">
        <v>2953</v>
      </c>
      <c r="D3624" t="s">
        <v>2073</v>
      </c>
      <c r="F3624" s="1">
        <v>45868</v>
      </c>
      <c r="G3624" t="str">
        <f>IF(Table3[[#This Row],[Top Parent Account]]="",Table3[[#This Row],[Account Legal Name]],Table3[[#This Row],[Top Parent Account]])</f>
        <v>Agricultores Unidos de Mexicali</v>
      </c>
      <c r="H3624" s="1"/>
    </row>
    <row r="3625" spans="1:8" x14ac:dyDescent="0.35">
      <c r="A3625" s="21"/>
      <c r="B3625" t="s">
        <v>1006</v>
      </c>
      <c r="C3625" t="s">
        <v>6</v>
      </c>
      <c r="D3625" t="s">
        <v>3004</v>
      </c>
      <c r="F3625" s="1">
        <v>45868</v>
      </c>
      <c r="G3625" t="str">
        <f>IF(Table3[[#This Row],[Top Parent Account]]="",Table3[[#This Row],[Account Legal Name]],Table3[[#This Row],[Top Parent Account]])</f>
        <v>Manzanillo Contenedores y Transporte LOGISTIC</v>
      </c>
      <c r="H3625" s="1"/>
    </row>
    <row r="3626" spans="1:8" x14ac:dyDescent="0.35">
      <c r="A3626" s="21"/>
      <c r="B3626" t="s">
        <v>2658</v>
      </c>
      <c r="C3626" t="s">
        <v>6</v>
      </c>
      <c r="D3626" t="s">
        <v>3008</v>
      </c>
      <c r="F3626" s="1">
        <v>45868</v>
      </c>
      <c r="G3626" t="str">
        <f>IF(Table3[[#This Row],[Top Parent Account]]="",Table3[[#This Row],[Account Legal Name]],Table3[[#This Row],[Top Parent Account]])</f>
        <v>HEMAN MANUFACTURING</v>
      </c>
      <c r="H3626" s="1"/>
    </row>
    <row r="3627" spans="1:8" x14ac:dyDescent="0.35">
      <c r="A3627" s="21"/>
      <c r="B3627" t="s">
        <v>27</v>
      </c>
      <c r="C3627" t="s">
        <v>22</v>
      </c>
      <c r="D3627" t="s">
        <v>438</v>
      </c>
      <c r="F3627" s="1">
        <v>45867</v>
      </c>
      <c r="G3627" t="str">
        <f>IF(Table3[[#This Row],[Top Parent Account]]="",Table3[[#This Row],[Account Legal Name]],Table3[[#This Row],[Top Parent Account]])</f>
        <v>Arbomex</v>
      </c>
      <c r="H3627" s="1"/>
    </row>
    <row r="3628" spans="1:8" x14ac:dyDescent="0.35">
      <c r="A3628" s="21"/>
      <c r="B3628" t="s">
        <v>24</v>
      </c>
      <c r="C3628" t="s">
        <v>6</v>
      </c>
      <c r="D3628" t="s">
        <v>779</v>
      </c>
      <c r="F3628" s="1">
        <v>45867</v>
      </c>
      <c r="G3628" t="str">
        <f>IF(Table3[[#This Row],[Top Parent Account]]="",Table3[[#This Row],[Account Legal Name]],Table3[[#This Row],[Top Parent Account]])</f>
        <v>Constructora Gusa</v>
      </c>
      <c r="H3628" s="1"/>
    </row>
    <row r="3629" spans="1:8" x14ac:dyDescent="0.35">
      <c r="A3629" s="21"/>
      <c r="B3629" t="s">
        <v>28</v>
      </c>
      <c r="C3629" t="s">
        <v>6</v>
      </c>
      <c r="D3629" t="s">
        <v>2955</v>
      </c>
      <c r="F3629" s="1">
        <v>45867</v>
      </c>
      <c r="G3629" t="str">
        <f>IF(Table3[[#This Row],[Top Parent Account]]="",Table3[[#This Row],[Account Legal Name]],Table3[[#This Row],[Top Parent Account]])</f>
        <v>Tostadas libra</v>
      </c>
      <c r="H3629" s="1"/>
    </row>
    <row r="3630" spans="1:8" x14ac:dyDescent="0.35">
      <c r="A3630" s="21"/>
      <c r="B3630" t="s">
        <v>1006</v>
      </c>
      <c r="C3630" t="s">
        <v>6</v>
      </c>
      <c r="D3630" t="s">
        <v>725</v>
      </c>
      <c r="F3630" s="1">
        <v>45867</v>
      </c>
      <c r="G3630" t="str">
        <f>IF(Table3[[#This Row],[Top Parent Account]]="",Table3[[#This Row],[Account Legal Name]],Table3[[#This Row],[Top Parent Account]])</f>
        <v>TRANSPORTES NOGO</v>
      </c>
      <c r="H3630" s="1"/>
    </row>
    <row r="3631" spans="1:8" x14ac:dyDescent="0.35">
      <c r="A3631" s="21"/>
      <c r="B3631" t="s">
        <v>88</v>
      </c>
      <c r="C3631" t="s">
        <v>6</v>
      </c>
      <c r="D3631" t="s">
        <v>2956</v>
      </c>
      <c r="F3631" s="1">
        <v>45867</v>
      </c>
      <c r="G3631" t="str">
        <f>IF(Table3[[#This Row],[Top Parent Account]]="",Table3[[#This Row],[Account Legal Name]],Table3[[#This Row],[Top Parent Account]])</f>
        <v>Industria Vitalizadora Otto´s Tire</v>
      </c>
      <c r="H3631" s="1"/>
    </row>
    <row r="3632" spans="1:8" x14ac:dyDescent="0.35">
      <c r="A3632" s="21"/>
      <c r="B3632" t="s">
        <v>2884</v>
      </c>
      <c r="C3632" t="s">
        <v>6</v>
      </c>
      <c r="D3632" t="s">
        <v>1004</v>
      </c>
      <c r="F3632" s="1">
        <v>45867</v>
      </c>
      <c r="G3632" t="str">
        <f>IF(Table3[[#This Row],[Top Parent Account]]="",Table3[[#This Row],[Account Legal Name]],Table3[[#This Row],[Top Parent Account]])</f>
        <v>Grupo Turbofin</v>
      </c>
      <c r="H3632" s="1"/>
    </row>
    <row r="3633" spans="1:8" x14ac:dyDescent="0.35">
      <c r="A3633" s="21"/>
      <c r="B3633" t="s">
        <v>24</v>
      </c>
      <c r="C3633" t="s">
        <v>6</v>
      </c>
      <c r="D3633" t="s">
        <v>2958</v>
      </c>
      <c r="E3633" t="s">
        <v>2959</v>
      </c>
      <c r="F3633" s="1">
        <v>45867</v>
      </c>
      <c r="G3633" t="str">
        <f>IF(Table3[[#This Row],[Top Parent Account]]="",Table3[[#This Row],[Account Legal Name]],Table3[[#This Row],[Top Parent Account]])</f>
        <v>Grupo Ceres</v>
      </c>
      <c r="H3633" s="1"/>
    </row>
    <row r="3634" spans="1:8" x14ac:dyDescent="0.35">
      <c r="A3634" s="21"/>
      <c r="B3634" t="s">
        <v>925</v>
      </c>
      <c r="C3634" t="s">
        <v>6</v>
      </c>
      <c r="D3634" t="s">
        <v>2957</v>
      </c>
      <c r="F3634" s="1">
        <v>45867</v>
      </c>
      <c r="G3634" t="str">
        <f>IF(Table3[[#This Row],[Top Parent Account]]="",Table3[[#This Row],[Account Legal Name]],Table3[[#This Row],[Top Parent Account]])</f>
        <v>Somaki de México</v>
      </c>
      <c r="H3634" s="1"/>
    </row>
    <row r="3635" spans="1:8" x14ac:dyDescent="0.35">
      <c r="A3635" s="21"/>
      <c r="B3635" t="s">
        <v>11</v>
      </c>
      <c r="C3635" t="s">
        <v>6</v>
      </c>
      <c r="D3635" t="s">
        <v>185</v>
      </c>
      <c r="F3635" s="1">
        <v>45867</v>
      </c>
      <c r="G3635" t="str">
        <f>IF(Table3[[#This Row],[Top Parent Account]]="",Table3[[#This Row],[Account Legal Name]],Table3[[#This Row],[Top Parent Account]])</f>
        <v>Ganaderos Productores De Leche Pura</v>
      </c>
      <c r="H3635" s="1"/>
    </row>
    <row r="3636" spans="1:8" x14ac:dyDescent="0.35">
      <c r="A3636" s="21"/>
      <c r="B3636" t="s">
        <v>18</v>
      </c>
      <c r="C3636" t="s">
        <v>6</v>
      </c>
      <c r="D3636" t="s">
        <v>3948</v>
      </c>
      <c r="F3636" s="1">
        <v>45867</v>
      </c>
      <c r="G3636" t="str">
        <f>IF(Table3[[#This Row],[Top Parent Account]]="",Table3[[#This Row],[Account Legal Name]],Table3[[#This Row],[Top Parent Account]])</f>
        <v>COMER MART</v>
      </c>
      <c r="H3636" s="1"/>
    </row>
    <row r="3637" spans="1:8" x14ac:dyDescent="0.35">
      <c r="A3637" s="21"/>
      <c r="B3637" t="s">
        <v>207</v>
      </c>
      <c r="C3637" t="s">
        <v>6</v>
      </c>
      <c r="D3637" t="s">
        <v>2960</v>
      </c>
      <c r="F3637" s="1">
        <v>45867</v>
      </c>
      <c r="G3637" t="str">
        <f>IF(Table3[[#This Row],[Top Parent Account]]="",Table3[[#This Row],[Account Legal Name]],Table3[[#This Row],[Top Parent Account]])</f>
        <v>Grupo Medesa</v>
      </c>
      <c r="H3637" s="1"/>
    </row>
    <row r="3638" spans="1:8" x14ac:dyDescent="0.35">
      <c r="A3638" s="21"/>
      <c r="B3638" t="s">
        <v>932</v>
      </c>
      <c r="C3638" t="s">
        <v>1693</v>
      </c>
      <c r="D3638" t="s">
        <v>3005</v>
      </c>
      <c r="F3638" s="1">
        <v>45867</v>
      </c>
      <c r="G3638" t="str">
        <f>IF(Table3[[#This Row],[Top Parent Account]]="",Table3[[#This Row],[Account Legal Name]],Table3[[#This Row],[Top Parent Account]])</f>
        <v>Sistemas Multidireccionales SM8 de Mexico</v>
      </c>
      <c r="H3638" s="1"/>
    </row>
    <row r="3639" spans="1:8" x14ac:dyDescent="0.35">
      <c r="A3639" s="21"/>
      <c r="B3639" t="s">
        <v>969</v>
      </c>
      <c r="C3639" t="s">
        <v>6</v>
      </c>
      <c r="D3639" t="s">
        <v>1152</v>
      </c>
      <c r="F3639" s="1">
        <v>45867</v>
      </c>
      <c r="G3639" t="str">
        <f>IF(Table3[[#This Row],[Top Parent Account]]="",Table3[[#This Row],[Account Legal Name]],Table3[[#This Row],[Top Parent Account]])</f>
        <v>Distribuidora de Dulces NIla</v>
      </c>
      <c r="H3639" s="1"/>
    </row>
    <row r="3640" spans="1:8" x14ac:dyDescent="0.35">
      <c r="A3640" s="21"/>
      <c r="B3640" t="s">
        <v>116</v>
      </c>
      <c r="C3640" t="s">
        <v>22</v>
      </c>
      <c r="D3640" t="s">
        <v>1809</v>
      </c>
      <c r="F3640" s="1">
        <v>45867</v>
      </c>
      <c r="G3640" t="str">
        <f>IF(Table3[[#This Row],[Top Parent Account]]="",Table3[[#This Row],[Account Legal Name]],Table3[[#This Row],[Top Parent Account]])</f>
        <v>GRUPO NUTEC</v>
      </c>
      <c r="H3640" s="1"/>
    </row>
    <row r="3641" spans="1:8" x14ac:dyDescent="0.35">
      <c r="A3641" s="21"/>
      <c r="B3641" t="s">
        <v>88</v>
      </c>
      <c r="C3641" t="s">
        <v>2961</v>
      </c>
      <c r="D3641" t="s">
        <v>2962</v>
      </c>
      <c r="F3641" s="1">
        <v>45867</v>
      </c>
      <c r="G3641" t="str">
        <f>IF(Table3[[#This Row],[Top Parent Account]]="",Table3[[#This Row],[Account Legal Name]],Table3[[#This Row],[Top Parent Account]])</f>
        <v>International Foods Saltillo</v>
      </c>
      <c r="H3641" s="1"/>
    </row>
    <row r="3642" spans="1:8" x14ac:dyDescent="0.35">
      <c r="A3642" s="21"/>
      <c r="B3642" t="s">
        <v>70</v>
      </c>
      <c r="C3642" t="s">
        <v>6</v>
      </c>
      <c r="D3642" t="s">
        <v>2963</v>
      </c>
      <c r="F3642" s="1">
        <v>45867</v>
      </c>
      <c r="G3642" t="str">
        <f>IF(Table3[[#This Row],[Top Parent Account]]="",Table3[[#This Row],[Account Legal Name]],Table3[[#This Row],[Top Parent Account]])</f>
        <v>Centro Médico Alteño</v>
      </c>
      <c r="H3642" s="1"/>
    </row>
    <row r="3643" spans="1:8" x14ac:dyDescent="0.35">
      <c r="A3643" s="21"/>
      <c r="B3643" t="s">
        <v>121</v>
      </c>
      <c r="C3643" t="s">
        <v>6</v>
      </c>
      <c r="D3643" t="s">
        <v>2964</v>
      </c>
      <c r="F3643" s="1">
        <v>45867</v>
      </c>
      <c r="G3643" t="str">
        <f>IF(Table3[[#This Row],[Top Parent Account]]="",Table3[[#This Row],[Account Legal Name]],Table3[[#This Row],[Top Parent Account]])</f>
        <v>BERNAL FISH MARKET</v>
      </c>
      <c r="H3643" s="1"/>
    </row>
    <row r="3644" spans="1:8" x14ac:dyDescent="0.35">
      <c r="A3644" s="21"/>
      <c r="B3644" t="s">
        <v>77</v>
      </c>
      <c r="C3644" t="s">
        <v>6</v>
      </c>
      <c r="D3644" t="s">
        <v>3006</v>
      </c>
      <c r="F3644" s="1">
        <v>45867</v>
      </c>
      <c r="G3644" t="str">
        <f>IF(Table3[[#This Row],[Top Parent Account]]="",Table3[[#This Row],[Account Legal Name]],Table3[[#This Row],[Top Parent Account]])</f>
        <v>Agroganadera waggoner</v>
      </c>
      <c r="H3644" s="1"/>
    </row>
    <row r="3645" spans="1:8" x14ac:dyDescent="0.35">
      <c r="A3645" s="21"/>
      <c r="B3645" t="s">
        <v>39</v>
      </c>
      <c r="C3645" t="s">
        <v>6</v>
      </c>
      <c r="D3645" t="s">
        <v>2965</v>
      </c>
      <c r="F3645" s="1">
        <v>45867</v>
      </c>
      <c r="G3645" t="str">
        <f>IF(Table3[[#This Row],[Top Parent Account]]="",Table3[[#This Row],[Account Legal Name]],Table3[[#This Row],[Top Parent Account]])</f>
        <v>Plasticos Bajacal</v>
      </c>
      <c r="H3645" s="1"/>
    </row>
    <row r="3646" spans="1:8" x14ac:dyDescent="0.35">
      <c r="A3646" s="21"/>
      <c r="B3646" t="s">
        <v>23</v>
      </c>
      <c r="C3646" t="s">
        <v>6</v>
      </c>
      <c r="D3646" t="s">
        <v>2966</v>
      </c>
      <c r="F3646" s="1">
        <v>45867</v>
      </c>
      <c r="G3646" t="str">
        <f>IF(Table3[[#This Row],[Top Parent Account]]="",Table3[[#This Row],[Account Legal Name]],Table3[[#This Row],[Top Parent Account]])</f>
        <v>Maprysa</v>
      </c>
      <c r="H3646" s="1"/>
    </row>
    <row r="3647" spans="1:8" x14ac:dyDescent="0.35">
      <c r="A3647" s="21"/>
      <c r="B3647" t="s">
        <v>11</v>
      </c>
      <c r="C3647" t="s">
        <v>6</v>
      </c>
      <c r="D3647" t="s">
        <v>783</v>
      </c>
      <c r="F3647" s="1">
        <v>45867</v>
      </c>
      <c r="G3647" t="str">
        <f>IF(Table3[[#This Row],[Top Parent Account]]="",Table3[[#This Row],[Account Legal Name]],Table3[[#This Row],[Top Parent Account]])</f>
        <v>Grupo Andrade</v>
      </c>
      <c r="H3647" s="1"/>
    </row>
    <row r="3648" spans="1:8" x14ac:dyDescent="0.35">
      <c r="A3648" s="21"/>
      <c r="B3648" t="s">
        <v>14</v>
      </c>
      <c r="C3648" t="s">
        <v>6</v>
      </c>
      <c r="D3648" t="s">
        <v>728</v>
      </c>
      <c r="F3648" s="1">
        <v>45867</v>
      </c>
      <c r="G3648" t="str">
        <f>IF(Table3[[#This Row],[Top Parent Account]]="",Table3[[#This Row],[Account Legal Name]],Table3[[#This Row],[Top Parent Account]])</f>
        <v>Keymax Comercializadora</v>
      </c>
      <c r="H3648" s="1"/>
    </row>
    <row r="3649" spans="1:8" x14ac:dyDescent="0.35">
      <c r="A3649" s="21"/>
      <c r="B3649" t="s">
        <v>14</v>
      </c>
      <c r="C3649" t="s">
        <v>6</v>
      </c>
      <c r="D3649" t="s">
        <v>2967</v>
      </c>
      <c r="F3649" s="1">
        <v>45867</v>
      </c>
      <c r="G3649" t="str">
        <f>IF(Table3[[#This Row],[Top Parent Account]]="",Table3[[#This Row],[Account Legal Name]],Table3[[#This Row],[Top Parent Account]])</f>
        <v>Transportes Especializados Coronado Romo</v>
      </c>
      <c r="H3649" s="1"/>
    </row>
    <row r="3650" spans="1:8" x14ac:dyDescent="0.35">
      <c r="A3650" s="21"/>
      <c r="B3650" t="s">
        <v>925</v>
      </c>
      <c r="C3650" t="s">
        <v>6</v>
      </c>
      <c r="D3650" t="s">
        <v>5006</v>
      </c>
      <c r="E3650" t="s">
        <v>2971</v>
      </c>
      <c r="F3650" s="1">
        <v>45867</v>
      </c>
      <c r="G3650" t="str">
        <f>IF(Table3[[#This Row],[Top Parent Account]]="",Table3[[#This Row],[Account Legal Name]],Table3[[#This Row],[Top Parent Account]])</f>
        <v>Industrias Cuamex</v>
      </c>
      <c r="H3650" s="1"/>
    </row>
    <row r="3651" spans="1:8" x14ac:dyDescent="0.35">
      <c r="A3651" s="21"/>
      <c r="B3651" t="s">
        <v>28</v>
      </c>
      <c r="C3651" t="s">
        <v>6</v>
      </c>
      <c r="D3651" t="s">
        <v>2968</v>
      </c>
      <c r="F3651" s="1">
        <v>45867</v>
      </c>
      <c r="G3651" t="str">
        <f>IF(Table3[[#This Row],[Top Parent Account]]="",Table3[[#This Row],[Account Legal Name]],Table3[[#This Row],[Top Parent Account]])</f>
        <v>Comercializadora Confya</v>
      </c>
      <c r="H3651" s="1"/>
    </row>
    <row r="3652" spans="1:8" x14ac:dyDescent="0.35">
      <c r="A3652" s="21"/>
      <c r="B3652" t="s">
        <v>932</v>
      </c>
      <c r="C3652" t="s">
        <v>6</v>
      </c>
      <c r="D3652" t="s">
        <v>2969</v>
      </c>
      <c r="F3652" s="1">
        <v>45867</v>
      </c>
      <c r="G3652" t="str">
        <f>IF(Table3[[#This Row],[Top Parent Account]]="",Table3[[#This Row],[Account Legal Name]],Table3[[#This Row],[Top Parent Account]])</f>
        <v>Soluciones Químicas Para El Campo y La Industria</v>
      </c>
      <c r="H3652" s="1"/>
    </row>
    <row r="3653" spans="1:8" x14ac:dyDescent="0.35">
      <c r="A3653" s="21"/>
      <c r="B3653" t="s">
        <v>7</v>
      </c>
      <c r="C3653" t="s">
        <v>6</v>
      </c>
      <c r="D3653" t="s">
        <v>2970</v>
      </c>
      <c r="F3653" s="1">
        <v>45867</v>
      </c>
      <c r="G3653" t="str">
        <f>IF(Table3[[#This Row],[Top Parent Account]]="",Table3[[#This Row],[Account Legal Name]],Table3[[#This Row],[Top Parent Account]])</f>
        <v>Servicios  de Apoyo  Logistico a Productores del  Campo</v>
      </c>
      <c r="H3653" s="1"/>
    </row>
    <row r="3654" spans="1:8" x14ac:dyDescent="0.35">
      <c r="A3654" s="21"/>
      <c r="B3654" t="s">
        <v>51</v>
      </c>
      <c r="C3654" t="s">
        <v>6</v>
      </c>
      <c r="D3654" t="s">
        <v>2972</v>
      </c>
      <c r="F3654" s="1">
        <v>45867</v>
      </c>
      <c r="G3654" t="str">
        <f>IF(Table3[[#This Row],[Top Parent Account]]="",Table3[[#This Row],[Account Legal Name]],Table3[[#This Row],[Top Parent Account]])</f>
        <v>ADRA Ingeniería</v>
      </c>
      <c r="H3654" s="1"/>
    </row>
    <row r="3655" spans="1:8" x14ac:dyDescent="0.35">
      <c r="A3655" s="21"/>
      <c r="B3655" t="s">
        <v>116</v>
      </c>
      <c r="C3655" t="s">
        <v>6</v>
      </c>
      <c r="D3655" t="s">
        <v>1142</v>
      </c>
      <c r="F3655" s="1">
        <v>45867</v>
      </c>
      <c r="G3655" t="str">
        <f>IF(Table3[[#This Row],[Top Parent Account]]="",Table3[[#This Row],[Account Legal Name]],Table3[[#This Row],[Top Parent Account]])</f>
        <v>Autotransportes Pilot</v>
      </c>
      <c r="H3655" s="1"/>
    </row>
    <row r="3656" spans="1:8" x14ac:dyDescent="0.35">
      <c r="A3656" s="21"/>
      <c r="B3656" t="s">
        <v>375</v>
      </c>
      <c r="C3656" t="s">
        <v>6</v>
      </c>
      <c r="D3656" t="s">
        <v>2752</v>
      </c>
      <c r="F3656" s="1">
        <v>45866</v>
      </c>
      <c r="G3656" t="str">
        <f>IF(Table3[[#This Row],[Top Parent Account]]="",Table3[[#This Row],[Account Legal Name]],Table3[[#This Row],[Top Parent Account]])</f>
        <v>Botanas Metropoli</v>
      </c>
      <c r="H3656" s="1"/>
    </row>
    <row r="3657" spans="1:8" x14ac:dyDescent="0.35">
      <c r="A3657" s="21"/>
      <c r="B3657" t="s">
        <v>375</v>
      </c>
      <c r="C3657" t="s">
        <v>6</v>
      </c>
      <c r="D3657" t="s">
        <v>2947</v>
      </c>
      <c r="F3657" s="1">
        <v>45866</v>
      </c>
      <c r="G3657" t="str">
        <f>IF(Table3[[#This Row],[Top Parent Account]]="",Table3[[#This Row],[Account Legal Name]],Table3[[#This Row],[Top Parent Account]])</f>
        <v>SECARSA COMBUSTIBLES</v>
      </c>
      <c r="H3657" s="1"/>
    </row>
    <row r="3658" spans="1:8" x14ac:dyDescent="0.35">
      <c r="A3658" s="21"/>
      <c r="B3658" t="s">
        <v>169</v>
      </c>
      <c r="C3658" t="s">
        <v>6</v>
      </c>
      <c r="D3658" t="s">
        <v>2973</v>
      </c>
      <c r="F3658" s="1">
        <v>45866</v>
      </c>
      <c r="G3658" t="str">
        <f>IF(Table3[[#This Row],[Top Parent Account]]="",Table3[[#This Row],[Account Legal Name]],Table3[[#This Row],[Top Parent Account]])</f>
        <v>SYNELMEX</v>
      </c>
      <c r="H3658" s="1"/>
    </row>
    <row r="3659" spans="1:8" x14ac:dyDescent="0.35">
      <c r="A3659" s="21"/>
      <c r="B3659" t="s">
        <v>38</v>
      </c>
      <c r="C3659" t="s">
        <v>6</v>
      </c>
      <c r="D3659" t="s">
        <v>1877</v>
      </c>
      <c r="F3659" s="1">
        <v>45866</v>
      </c>
      <c r="G3659" t="str">
        <f>IF(Table3[[#This Row],[Top Parent Account]]="",Table3[[#This Row],[Account Legal Name]],Table3[[#This Row],[Top Parent Account]])</f>
        <v>Tequila Siete Leguas</v>
      </c>
      <c r="H3659" s="1"/>
    </row>
    <row r="3660" spans="1:8" x14ac:dyDescent="0.35">
      <c r="A3660" s="21"/>
      <c r="B3660" t="s">
        <v>18</v>
      </c>
      <c r="C3660" t="s">
        <v>6</v>
      </c>
      <c r="D3660" t="s">
        <v>2974</v>
      </c>
      <c r="F3660" s="1">
        <v>45866</v>
      </c>
      <c r="G3660" t="str">
        <f>IF(Table3[[#This Row],[Top Parent Account]]="",Table3[[#This Row],[Account Legal Name]],Table3[[#This Row],[Top Parent Account]])</f>
        <v>PL COCINA</v>
      </c>
      <c r="H3660" s="1"/>
    </row>
    <row r="3661" spans="1:8" x14ac:dyDescent="0.35">
      <c r="A3661" s="21"/>
      <c r="B3661" t="s">
        <v>24</v>
      </c>
      <c r="C3661" t="s">
        <v>6</v>
      </c>
      <c r="D3661" t="s">
        <v>1747</v>
      </c>
      <c r="F3661" s="1">
        <v>45866</v>
      </c>
      <c r="G3661" t="str">
        <f>IF(Table3[[#This Row],[Top Parent Account]]="",Table3[[#This Row],[Account Legal Name]],Table3[[#This Row],[Top Parent Account]])</f>
        <v>Agro Servicios A Productores Del Valle</v>
      </c>
      <c r="H3661" s="1"/>
    </row>
    <row r="3662" spans="1:8" x14ac:dyDescent="0.35">
      <c r="A3662" s="21"/>
      <c r="B3662" t="s">
        <v>24</v>
      </c>
      <c r="C3662" t="s">
        <v>6</v>
      </c>
      <c r="D3662" t="s">
        <v>2975</v>
      </c>
      <c r="F3662" s="1">
        <v>45866</v>
      </c>
      <c r="G3662" t="str">
        <f>IF(Table3[[#This Row],[Top Parent Account]]="",Table3[[#This Row],[Account Legal Name]],Table3[[#This Row],[Top Parent Account]])</f>
        <v>Productos Meza</v>
      </c>
      <c r="H3662" s="1"/>
    </row>
    <row r="3663" spans="1:8" x14ac:dyDescent="0.35">
      <c r="A3663" s="21"/>
      <c r="B3663" t="s">
        <v>24</v>
      </c>
      <c r="C3663" t="s">
        <v>6</v>
      </c>
      <c r="D3663" t="s">
        <v>2820</v>
      </c>
      <c r="F3663" s="1">
        <v>45866</v>
      </c>
      <c r="G3663" t="str">
        <f>IF(Table3[[#This Row],[Top Parent Account]]="",Table3[[#This Row],[Account Legal Name]],Table3[[#This Row],[Top Parent Account]])</f>
        <v>Conservas Del Norte</v>
      </c>
      <c r="H3663" s="1"/>
    </row>
    <row r="3664" spans="1:8" x14ac:dyDescent="0.35">
      <c r="A3664" s="21"/>
      <c r="B3664" t="s">
        <v>24</v>
      </c>
      <c r="C3664" t="s">
        <v>6</v>
      </c>
      <c r="D3664" t="s">
        <v>2566</v>
      </c>
      <c r="F3664" s="1">
        <v>45866</v>
      </c>
      <c r="G3664" t="str">
        <f>IF(Table3[[#This Row],[Top Parent Account]]="",Table3[[#This Row],[Account Legal Name]],Table3[[#This Row],[Top Parent Account]])</f>
        <v>Constructora y Arrendadora López</v>
      </c>
      <c r="H3664" s="1"/>
    </row>
    <row r="3665" spans="1:8" x14ac:dyDescent="0.35">
      <c r="A3665" s="21"/>
      <c r="B3665" t="s">
        <v>56</v>
      </c>
      <c r="C3665" t="s">
        <v>6</v>
      </c>
      <c r="D3665" t="s">
        <v>2874</v>
      </c>
      <c r="F3665" s="1">
        <v>45866</v>
      </c>
      <c r="G3665" t="str">
        <f>IF(Table3[[#This Row],[Top Parent Account]]="",Table3[[#This Row],[Account Legal Name]],Table3[[#This Row],[Top Parent Account]])</f>
        <v>Grupo Logístico Integral</v>
      </c>
      <c r="H3665" s="1"/>
    </row>
    <row r="3666" spans="1:8" x14ac:dyDescent="0.35">
      <c r="A3666" s="21"/>
      <c r="B3666" t="s">
        <v>2693</v>
      </c>
      <c r="C3666" t="s">
        <v>6</v>
      </c>
      <c r="D3666" t="s">
        <v>863</v>
      </c>
      <c r="F3666" s="1">
        <v>45866</v>
      </c>
      <c r="G3666" t="str">
        <f>IF(Table3[[#This Row],[Top Parent Account]]="",Table3[[#This Row],[Account Legal Name]],Table3[[#This Row],[Top Parent Account]])</f>
        <v>Inosan Biopharma</v>
      </c>
      <c r="H3666" s="1"/>
    </row>
    <row r="3667" spans="1:8" x14ac:dyDescent="0.35">
      <c r="A3667" s="21"/>
      <c r="B3667" t="s">
        <v>121</v>
      </c>
      <c r="C3667" t="s">
        <v>6</v>
      </c>
      <c r="D3667" t="s">
        <v>2976</v>
      </c>
      <c r="F3667" s="1">
        <v>45866</v>
      </c>
      <c r="G3667" t="str">
        <f>IF(Table3[[#This Row],[Top Parent Account]]="",Table3[[#This Row],[Account Legal Name]],Table3[[#This Row],[Top Parent Account]])</f>
        <v>CMAS-CONSTRUMATERIALES</v>
      </c>
      <c r="H3667" s="1"/>
    </row>
    <row r="3668" spans="1:8" x14ac:dyDescent="0.35">
      <c r="A3668" s="21"/>
      <c r="B3668" t="s">
        <v>208</v>
      </c>
      <c r="C3668" t="s">
        <v>6</v>
      </c>
      <c r="D3668" t="s">
        <v>2977</v>
      </c>
      <c r="F3668" s="1">
        <v>45866</v>
      </c>
      <c r="G3668" t="str">
        <f>IF(Table3[[#This Row],[Top Parent Account]]="",Table3[[#This Row],[Account Legal Name]],Table3[[#This Row],[Top Parent Account]])</f>
        <v>Edelflex</v>
      </c>
      <c r="H3668" s="1"/>
    </row>
    <row r="3669" spans="1:8" x14ac:dyDescent="0.35">
      <c r="A3669" s="21"/>
      <c r="B3669" t="s">
        <v>2658</v>
      </c>
      <c r="C3669" t="s">
        <v>6</v>
      </c>
      <c r="D3669" t="s">
        <v>2978</v>
      </c>
      <c r="F3669" s="1">
        <v>45866</v>
      </c>
      <c r="G3669" t="str">
        <f>IF(Table3[[#This Row],[Top Parent Account]]="",Table3[[#This Row],[Account Legal Name]],Table3[[#This Row],[Top Parent Account]])</f>
        <v>Grupo Perfimexa</v>
      </c>
      <c r="H3669" s="1"/>
    </row>
    <row r="3670" spans="1:8" x14ac:dyDescent="0.35">
      <c r="A3670" s="21"/>
      <c r="B3670" t="s">
        <v>969</v>
      </c>
      <c r="C3670" t="s">
        <v>6</v>
      </c>
      <c r="D3670" t="s">
        <v>2320</v>
      </c>
      <c r="F3670" s="1">
        <v>45866</v>
      </c>
      <c r="G3670" t="str">
        <f>IF(Table3[[#This Row],[Top Parent Account]]="",Table3[[#This Row],[Account Legal Name]],Table3[[#This Row],[Top Parent Account]])</f>
        <v>Plegadizos y Corrugados Apolo</v>
      </c>
      <c r="H3670" s="1"/>
    </row>
    <row r="3671" spans="1:8" x14ac:dyDescent="0.35">
      <c r="A3671" s="21"/>
      <c r="B3671" t="s">
        <v>172</v>
      </c>
      <c r="C3671" t="s">
        <v>6</v>
      </c>
      <c r="D3671" t="s">
        <v>595</v>
      </c>
      <c r="F3671" s="1">
        <v>45866</v>
      </c>
      <c r="G3671" t="str">
        <f>IF(Table3[[#This Row],[Top Parent Account]]="",Table3[[#This Row],[Account Legal Name]],Table3[[#This Row],[Top Parent Account]])</f>
        <v>Aveymas</v>
      </c>
      <c r="H3671" s="1"/>
    </row>
    <row r="3672" spans="1:8" x14ac:dyDescent="0.35">
      <c r="A3672" s="21"/>
      <c r="B3672" t="s">
        <v>989</v>
      </c>
      <c r="C3672" t="s">
        <v>6</v>
      </c>
      <c r="D3672" t="s">
        <v>2980</v>
      </c>
      <c r="E3672" t="s">
        <v>2981</v>
      </c>
      <c r="F3672" s="1">
        <v>45866</v>
      </c>
      <c r="G3672" t="str">
        <f>IF(Table3[[#This Row],[Top Parent Account]]="",Table3[[#This Row],[Account Legal Name]],Table3[[#This Row],[Top Parent Account]])</f>
        <v>Saya Group México</v>
      </c>
      <c r="H3672" s="1"/>
    </row>
    <row r="3673" spans="1:8" x14ac:dyDescent="0.35">
      <c r="A3673" s="21"/>
      <c r="B3673" t="s">
        <v>78</v>
      </c>
      <c r="C3673" t="s">
        <v>6</v>
      </c>
      <c r="D3673" t="s">
        <v>2979</v>
      </c>
      <c r="F3673" s="1">
        <v>45866</v>
      </c>
      <c r="G3673" t="str">
        <f>IF(Table3[[#This Row],[Top Parent Account]]="",Table3[[#This Row],[Account Legal Name]],Table3[[#This Row],[Top Parent Account]])</f>
        <v>ATLINE MEXICO</v>
      </c>
      <c r="H3673" s="1"/>
    </row>
    <row r="3674" spans="1:8" x14ac:dyDescent="0.35">
      <c r="A3674" s="21"/>
      <c r="B3674" t="s">
        <v>21</v>
      </c>
      <c r="C3674" t="s">
        <v>6</v>
      </c>
      <c r="D3674" t="s">
        <v>1014</v>
      </c>
      <c r="F3674" s="1">
        <v>45866</v>
      </c>
      <c r="G3674" t="str">
        <f>IF(Table3[[#This Row],[Top Parent Account]]="",Table3[[#This Row],[Account Legal Name]],Table3[[#This Row],[Top Parent Account]])</f>
        <v>Eyasa</v>
      </c>
      <c r="H3674" s="1"/>
    </row>
    <row r="3675" spans="1:8" x14ac:dyDescent="0.35">
      <c r="A3675" s="21"/>
      <c r="B3675" t="s">
        <v>208</v>
      </c>
      <c r="C3675" t="s">
        <v>6</v>
      </c>
      <c r="D3675" t="s">
        <v>3007</v>
      </c>
      <c r="F3675" s="1">
        <v>45866</v>
      </c>
      <c r="G3675" t="str">
        <f>IF(Table3[[#This Row],[Top Parent Account]]="",Table3[[#This Row],[Account Legal Name]],Table3[[#This Row],[Top Parent Account]])</f>
        <v>IMPORTADORA RYM</v>
      </c>
      <c r="H3675" s="1"/>
    </row>
    <row r="3676" spans="1:8" x14ac:dyDescent="0.35">
      <c r="A3676" s="21"/>
      <c r="B3676" t="s">
        <v>11</v>
      </c>
      <c r="C3676" t="s">
        <v>6</v>
      </c>
      <c r="D3676" t="s">
        <v>1345</v>
      </c>
      <c r="F3676" s="1">
        <v>45866</v>
      </c>
      <c r="G3676" t="str">
        <f>IF(Table3[[#This Row],[Top Parent Account]]="",Table3[[#This Row],[Account Legal Name]],Table3[[#This Row],[Top Parent Account]])</f>
        <v>Productora y Comercializadora Internacional Mexicana</v>
      </c>
      <c r="H3676" s="1"/>
    </row>
    <row r="3677" spans="1:8" x14ac:dyDescent="0.35">
      <c r="A3677" s="21"/>
      <c r="B3677" t="s">
        <v>970</v>
      </c>
      <c r="C3677" t="s">
        <v>6</v>
      </c>
      <c r="D3677" t="s">
        <v>1634</v>
      </c>
      <c r="F3677" s="1">
        <v>45863</v>
      </c>
      <c r="G3677" t="str">
        <f>IF(Table3[[#This Row],[Top Parent Account]]="",Table3[[#This Row],[Account Legal Name]],Table3[[#This Row],[Top Parent Account]])</f>
        <v>Belleza y Vanidad</v>
      </c>
      <c r="H3677" s="1"/>
    </row>
    <row r="3678" spans="1:8" x14ac:dyDescent="0.35">
      <c r="A3678" s="21"/>
      <c r="B3678" t="s">
        <v>925</v>
      </c>
      <c r="C3678" t="s">
        <v>6</v>
      </c>
      <c r="D3678" t="s">
        <v>2913</v>
      </c>
      <c r="F3678" s="1">
        <v>45863</v>
      </c>
      <c r="G3678" t="str">
        <f>IF(Table3[[#This Row],[Top Parent Account]]="",Table3[[#This Row],[Account Legal Name]],Table3[[#This Row],[Top Parent Account]])</f>
        <v>Organo Sintesis</v>
      </c>
      <c r="H3678" s="1"/>
    </row>
    <row r="3679" spans="1:8" x14ac:dyDescent="0.35">
      <c r="A3679" s="21"/>
      <c r="B3679" t="s">
        <v>14</v>
      </c>
      <c r="C3679" t="s">
        <v>6</v>
      </c>
      <c r="D3679" t="s">
        <v>2914</v>
      </c>
      <c r="F3679" s="1">
        <v>45863</v>
      </c>
      <c r="G3679" t="str">
        <f>IF(Table3[[#This Row],[Top Parent Account]]="",Table3[[#This Row],[Account Legal Name]],Table3[[#This Row],[Top Parent Account]])</f>
        <v>International AMS</v>
      </c>
      <c r="H3679" s="1"/>
    </row>
    <row r="3680" spans="1:8" x14ac:dyDescent="0.35">
      <c r="A3680" s="21"/>
      <c r="B3680" t="s">
        <v>969</v>
      </c>
      <c r="C3680" t="s">
        <v>6</v>
      </c>
      <c r="D3680" t="s">
        <v>2911</v>
      </c>
      <c r="F3680" s="1">
        <v>45863</v>
      </c>
      <c r="G3680" t="str">
        <f>IF(Table3[[#This Row],[Top Parent Account]]="",Table3[[#This Row],[Account Legal Name]],Table3[[#This Row],[Top Parent Account]])</f>
        <v>CENTRO DE ENFOQUE A LA SALUD Y BELLEZA CESB</v>
      </c>
      <c r="H3680" s="1"/>
    </row>
    <row r="3681" spans="1:8" x14ac:dyDescent="0.35">
      <c r="A3681" s="21"/>
      <c r="B3681" t="s">
        <v>7</v>
      </c>
      <c r="C3681" t="s">
        <v>6</v>
      </c>
      <c r="D3681" t="s">
        <v>2932</v>
      </c>
      <c r="F3681" s="1">
        <v>45863</v>
      </c>
      <c r="G3681" t="str">
        <f>IF(Table3[[#This Row],[Top Parent Account]]="",Table3[[#This Row],[Account Legal Name]],Table3[[#This Row],[Top Parent Account]])</f>
        <v>Informática Empresarial Integrada</v>
      </c>
      <c r="H3681" s="1"/>
    </row>
    <row r="3682" spans="1:8" x14ac:dyDescent="0.35">
      <c r="A3682" s="21"/>
      <c r="B3682" t="s">
        <v>12</v>
      </c>
      <c r="C3682" t="s">
        <v>6</v>
      </c>
      <c r="D3682" t="s">
        <v>2915</v>
      </c>
      <c r="F3682" s="1">
        <v>45863</v>
      </c>
      <c r="G3682" t="str">
        <f>IF(Table3[[#This Row],[Top Parent Account]]="",Table3[[#This Row],[Account Legal Name]],Table3[[#This Row],[Top Parent Account]])</f>
        <v>Caribe Maquinter</v>
      </c>
      <c r="H3682" s="1"/>
    </row>
    <row r="3683" spans="1:8" x14ac:dyDescent="0.35">
      <c r="A3683" s="21"/>
      <c r="B3683" t="s">
        <v>10</v>
      </c>
      <c r="C3683" t="s">
        <v>6</v>
      </c>
      <c r="D3683" t="s">
        <v>514</v>
      </c>
      <c r="F3683" s="1">
        <v>45863</v>
      </c>
      <c r="G3683" t="str">
        <f>IF(Table3[[#This Row],[Top Parent Account]]="",Table3[[#This Row],[Account Legal Name]],Table3[[#This Row],[Top Parent Account]])</f>
        <v>Templados del Centro</v>
      </c>
      <c r="H3683" s="1"/>
    </row>
    <row r="3684" spans="1:8" x14ac:dyDescent="0.35">
      <c r="A3684" s="21"/>
      <c r="B3684" t="s">
        <v>56</v>
      </c>
      <c r="C3684" t="s">
        <v>6</v>
      </c>
      <c r="D3684" t="s">
        <v>368</v>
      </c>
      <c r="F3684" s="1">
        <v>45863</v>
      </c>
      <c r="G3684" t="str">
        <f>IF(Table3[[#This Row],[Top Parent Account]]="",Table3[[#This Row],[Account Legal Name]],Table3[[#This Row],[Top Parent Account]])</f>
        <v>Centro Médico De Toluca</v>
      </c>
      <c r="H3684" s="1"/>
    </row>
    <row r="3685" spans="1:8" x14ac:dyDescent="0.35">
      <c r="A3685" s="21"/>
      <c r="B3685" t="s">
        <v>14</v>
      </c>
      <c r="C3685" t="s">
        <v>6</v>
      </c>
      <c r="D3685" t="s">
        <v>2872</v>
      </c>
      <c r="F3685" s="1">
        <v>45863</v>
      </c>
      <c r="G3685" t="str">
        <f>IF(Table3[[#This Row],[Top Parent Account]]="",Table3[[#This Row],[Account Legal Name]],Table3[[#This Row],[Top Parent Account]])</f>
        <v>Proximedica</v>
      </c>
      <c r="H3685" s="1"/>
    </row>
    <row r="3686" spans="1:8" x14ac:dyDescent="0.35">
      <c r="A3686" s="21"/>
      <c r="B3686" t="s">
        <v>18</v>
      </c>
      <c r="C3686" t="s">
        <v>6</v>
      </c>
      <c r="D3686" t="s">
        <v>749</v>
      </c>
      <c r="F3686" s="1">
        <v>45863</v>
      </c>
      <c r="G3686" t="str">
        <f>IF(Table3[[#This Row],[Top Parent Account]]="",Table3[[#This Row],[Account Legal Name]],Table3[[#This Row],[Top Parent Account]])</f>
        <v>Herramientas y Dispositivos Mecánicos</v>
      </c>
      <c r="H3686" s="1"/>
    </row>
    <row r="3687" spans="1:8" x14ac:dyDescent="0.35">
      <c r="A3687" s="21"/>
      <c r="B3687" t="s">
        <v>21</v>
      </c>
      <c r="C3687" t="s">
        <v>6</v>
      </c>
      <c r="D3687" t="s">
        <v>2916</v>
      </c>
      <c r="F3687" s="1">
        <v>45863</v>
      </c>
      <c r="G3687" t="str">
        <f>IF(Table3[[#This Row],[Top Parent Account]]="",Table3[[#This Row],[Account Legal Name]],Table3[[#This Row],[Top Parent Account]])</f>
        <v>Transportes Rugarva</v>
      </c>
      <c r="H3687" s="1"/>
    </row>
    <row r="3688" spans="1:8" x14ac:dyDescent="0.35">
      <c r="A3688" s="21"/>
      <c r="B3688" t="s">
        <v>820</v>
      </c>
      <c r="C3688" t="s">
        <v>6</v>
      </c>
      <c r="D3688" t="s">
        <v>2917</v>
      </c>
      <c r="F3688" s="1">
        <v>45863</v>
      </c>
      <c r="G3688" t="str">
        <f>IF(Table3[[#This Row],[Top Parent Account]]="",Table3[[#This Row],[Account Legal Name]],Table3[[#This Row],[Top Parent Account]])</f>
        <v>Ranver</v>
      </c>
      <c r="H3688" s="1"/>
    </row>
    <row r="3689" spans="1:8" x14ac:dyDescent="0.35">
      <c r="A3689" s="21"/>
      <c r="B3689" t="s">
        <v>28</v>
      </c>
      <c r="C3689" t="s">
        <v>6</v>
      </c>
      <c r="D3689" t="s">
        <v>2933</v>
      </c>
      <c r="F3689" s="1">
        <v>45863</v>
      </c>
      <c r="G3689" t="str">
        <f>IF(Table3[[#This Row],[Top Parent Account]]="",Table3[[#This Row],[Account Legal Name]],Table3[[#This Row],[Top Parent Account]])</f>
        <v>Nutrilag</v>
      </c>
      <c r="H3689" s="1"/>
    </row>
    <row r="3690" spans="1:8" x14ac:dyDescent="0.35">
      <c r="A3690" s="21"/>
      <c r="B3690" t="s">
        <v>32</v>
      </c>
      <c r="C3690" t="s">
        <v>6</v>
      </c>
      <c r="D3690" t="s">
        <v>2918</v>
      </c>
      <c r="F3690" s="1">
        <v>45863</v>
      </c>
      <c r="G3690" t="str">
        <f>IF(Table3[[#This Row],[Top Parent Account]]="",Table3[[#This Row],[Account Legal Name]],Table3[[#This Row],[Top Parent Account]])</f>
        <v>Transportacion  B&amp;B</v>
      </c>
      <c r="H3690" s="1"/>
    </row>
    <row r="3691" spans="1:8" x14ac:dyDescent="0.35">
      <c r="A3691" s="21"/>
      <c r="B3691" t="s">
        <v>589</v>
      </c>
      <c r="C3691" t="s">
        <v>6</v>
      </c>
      <c r="D3691" t="s">
        <v>2919</v>
      </c>
      <c r="F3691" s="1">
        <v>45863</v>
      </c>
      <c r="G3691" t="str">
        <f>IF(Table3[[#This Row],[Top Parent Account]]="",Table3[[#This Row],[Account Legal Name]],Table3[[#This Row],[Top Parent Account]])</f>
        <v>Velosa</v>
      </c>
      <c r="H3691" s="1"/>
    </row>
    <row r="3692" spans="1:8" x14ac:dyDescent="0.35">
      <c r="A3692" s="21"/>
      <c r="B3692" t="s">
        <v>589</v>
      </c>
      <c r="C3692" t="s">
        <v>6</v>
      </c>
      <c r="D3692" t="s">
        <v>2920</v>
      </c>
      <c r="F3692" s="1">
        <v>45863</v>
      </c>
      <c r="G3692" t="str">
        <f>IF(Table3[[#This Row],[Top Parent Account]]="",Table3[[#This Row],[Account Legal Name]],Table3[[#This Row],[Top Parent Account]])</f>
        <v>Concretos Chairel</v>
      </c>
      <c r="H3692" s="1"/>
    </row>
    <row r="3693" spans="1:8" x14ac:dyDescent="0.35">
      <c r="A3693" s="21"/>
      <c r="B3693" t="s">
        <v>28</v>
      </c>
      <c r="C3693" t="s">
        <v>6</v>
      </c>
      <c r="D3693" t="s">
        <v>3090</v>
      </c>
      <c r="F3693" s="1">
        <v>45863</v>
      </c>
      <c r="G3693" t="str">
        <f>IF(Table3[[#This Row],[Top Parent Account]]="",Table3[[#This Row],[Account Legal Name]],Table3[[#This Row],[Top Parent Account]])</f>
        <v>EQ MANUFACTURAS</v>
      </c>
      <c r="H3693" s="1"/>
    </row>
    <row r="3694" spans="1:8" x14ac:dyDescent="0.35">
      <c r="A3694" s="21"/>
      <c r="B3694" t="s">
        <v>84</v>
      </c>
      <c r="C3694" t="s">
        <v>87</v>
      </c>
      <c r="D3694" t="s">
        <v>2921</v>
      </c>
      <c r="F3694" s="1">
        <v>45863</v>
      </c>
      <c r="G3694" t="str">
        <f>IF(Table3[[#This Row],[Top Parent Account]]="",Table3[[#This Row],[Account Legal Name]],Table3[[#This Row],[Top Parent Account]])</f>
        <v>G&amp;H MANUFACTURING</v>
      </c>
      <c r="H3694" s="1"/>
    </row>
    <row r="3695" spans="1:8" x14ac:dyDescent="0.35">
      <c r="A3695" s="21"/>
      <c r="B3695" t="s">
        <v>970</v>
      </c>
      <c r="C3695" t="s">
        <v>6</v>
      </c>
      <c r="D3695" t="s">
        <v>2909</v>
      </c>
      <c r="E3695" t="s">
        <v>2692</v>
      </c>
      <c r="F3695" s="1">
        <v>45862</v>
      </c>
      <c r="G3695" t="str">
        <f>IF(Table3[[#This Row],[Top Parent Account]]="",Table3[[#This Row],[Account Legal Name]],Table3[[#This Row],[Top Parent Account]])</f>
        <v>Grupo Dragon</v>
      </c>
      <c r="H3695" s="1"/>
    </row>
    <row r="3696" spans="1:8" x14ac:dyDescent="0.35">
      <c r="A3696" s="21"/>
      <c r="B3696" t="s">
        <v>970</v>
      </c>
      <c r="C3696" t="s">
        <v>6</v>
      </c>
      <c r="D3696" t="s">
        <v>658</v>
      </c>
      <c r="F3696" s="1">
        <v>45862</v>
      </c>
      <c r="G3696" t="str">
        <f>IF(Table3[[#This Row],[Top Parent Account]]="",Table3[[#This Row],[Account Legal Name]],Table3[[#This Row],[Top Parent Account]])</f>
        <v>SUPER FLAMA</v>
      </c>
      <c r="H3696" s="1"/>
    </row>
    <row r="3697" spans="1:8" x14ac:dyDescent="0.35">
      <c r="A3697" s="21"/>
      <c r="B3697" t="s">
        <v>375</v>
      </c>
      <c r="C3697" t="s">
        <v>6</v>
      </c>
      <c r="D3697" t="s">
        <v>1426</v>
      </c>
      <c r="F3697" s="1">
        <v>45862</v>
      </c>
      <c r="G3697" t="str">
        <f>IF(Table3[[#This Row],[Top Parent Account]]="",Table3[[#This Row],[Account Legal Name]],Table3[[#This Row],[Top Parent Account]])</f>
        <v>Silodisa Servicio Integral De Logística y Distribución</v>
      </c>
      <c r="H3697" s="1"/>
    </row>
    <row r="3698" spans="1:8" x14ac:dyDescent="0.35">
      <c r="A3698" s="21"/>
      <c r="B3698" t="s">
        <v>820</v>
      </c>
      <c r="C3698" t="s">
        <v>6</v>
      </c>
      <c r="D3698" t="s">
        <v>225</v>
      </c>
      <c r="E3698" t="s">
        <v>321</v>
      </c>
      <c r="F3698" s="1">
        <v>45862</v>
      </c>
      <c r="G3698" t="str">
        <f>IF(Table3[[#This Row],[Top Parent Account]]="",Table3[[#This Row],[Account Legal Name]],Table3[[#This Row],[Top Parent Account]])</f>
        <v>Conservas La Costena</v>
      </c>
      <c r="H3698" s="1"/>
    </row>
    <row r="3699" spans="1:8" x14ac:dyDescent="0.35">
      <c r="A3699" s="21"/>
      <c r="B3699" t="s">
        <v>11</v>
      </c>
      <c r="C3699" t="s">
        <v>6</v>
      </c>
      <c r="D3699" t="s">
        <v>2922</v>
      </c>
      <c r="F3699" s="1">
        <v>45862</v>
      </c>
      <c r="G3699" t="str">
        <f>IF(Table3[[#This Row],[Top Parent Account]]="",Table3[[#This Row],[Account Legal Name]],Table3[[#This Row],[Top Parent Account]])</f>
        <v>First Quality Chemicals</v>
      </c>
      <c r="H3699" s="1"/>
    </row>
    <row r="3700" spans="1:8" x14ac:dyDescent="0.35">
      <c r="A3700" s="21"/>
      <c r="B3700" t="s">
        <v>37</v>
      </c>
      <c r="C3700" t="s">
        <v>6</v>
      </c>
      <c r="D3700" t="s">
        <v>2864</v>
      </c>
      <c r="F3700" s="1">
        <v>45862</v>
      </c>
      <c r="G3700" t="str">
        <f>IF(Table3[[#This Row],[Top Parent Account]]="",Table3[[#This Row],[Account Legal Name]],Table3[[#This Row],[Top Parent Account]])</f>
        <v>Agricola 76</v>
      </c>
      <c r="H3700" s="1"/>
    </row>
    <row r="3701" spans="1:8" x14ac:dyDescent="0.35">
      <c r="A3701" s="21"/>
      <c r="B3701" t="s">
        <v>207</v>
      </c>
      <c r="C3701" t="s">
        <v>6</v>
      </c>
      <c r="D3701" t="s">
        <v>2865</v>
      </c>
      <c r="F3701" s="1">
        <v>45862</v>
      </c>
      <c r="G3701" t="str">
        <f>IF(Table3[[#This Row],[Top Parent Account]]="",Table3[[#This Row],[Account Legal Name]],Table3[[#This Row],[Top Parent Account]])</f>
        <v>ALSAR</v>
      </c>
      <c r="H3701" s="1"/>
    </row>
    <row r="3702" spans="1:8" x14ac:dyDescent="0.35">
      <c r="A3702" s="21"/>
      <c r="B3702" t="s">
        <v>28</v>
      </c>
      <c r="C3702" t="s">
        <v>6</v>
      </c>
      <c r="D3702" t="s">
        <v>2866</v>
      </c>
      <c r="F3702" s="1">
        <v>45862</v>
      </c>
      <c r="G3702" t="str">
        <f>IF(Table3[[#This Row],[Top Parent Account]]="",Table3[[#This Row],[Account Legal Name]],Table3[[#This Row],[Top Parent Account]])</f>
        <v>Eco Zar</v>
      </c>
      <c r="H3702" s="1"/>
    </row>
    <row r="3703" spans="1:8" x14ac:dyDescent="0.35">
      <c r="A3703" s="21"/>
      <c r="B3703" t="s">
        <v>26</v>
      </c>
      <c r="C3703" t="s">
        <v>6</v>
      </c>
      <c r="D3703" t="s">
        <v>2023</v>
      </c>
      <c r="F3703" s="1">
        <v>45862</v>
      </c>
      <c r="G3703" t="str">
        <f>IF(Table3[[#This Row],[Top Parent Account]]="",Table3[[#This Row],[Account Legal Name]],Table3[[#This Row],[Top Parent Account]])</f>
        <v>Operadora de Terminales Marítimas</v>
      </c>
      <c r="H3703" s="1"/>
    </row>
    <row r="3704" spans="1:8" x14ac:dyDescent="0.35">
      <c r="A3704" s="21"/>
      <c r="B3704" t="s">
        <v>39</v>
      </c>
      <c r="C3704" t="s">
        <v>2867</v>
      </c>
      <c r="D3704" t="s">
        <v>523</v>
      </c>
      <c r="F3704" s="1">
        <v>45862</v>
      </c>
      <c r="G3704" t="str">
        <f>IF(Table3[[#This Row],[Top Parent Account]]="",Table3[[#This Row],[Account Legal Name]],Table3[[#This Row],[Top Parent Account]])</f>
        <v>Aluminio de Baja California</v>
      </c>
      <c r="H3704" s="1"/>
    </row>
    <row r="3705" spans="1:8" x14ac:dyDescent="0.35">
      <c r="A3705" s="21"/>
      <c r="B3705" t="s">
        <v>18</v>
      </c>
      <c r="C3705" t="s">
        <v>6</v>
      </c>
      <c r="D3705" t="s">
        <v>951</v>
      </c>
      <c r="F3705" s="1">
        <v>45862</v>
      </c>
      <c r="G3705" t="str">
        <f>IF(Table3[[#This Row],[Top Parent Account]]="",Table3[[#This Row],[Account Legal Name]],Table3[[#This Row],[Top Parent Account]])</f>
        <v>SOLUCONTROL Y PROYECTOS</v>
      </c>
      <c r="H3705" s="1"/>
    </row>
    <row r="3706" spans="1:8" x14ac:dyDescent="0.35">
      <c r="A3706" s="21"/>
      <c r="B3706" t="s">
        <v>925</v>
      </c>
      <c r="C3706" t="s">
        <v>6</v>
      </c>
      <c r="D3706" t="s">
        <v>1387</v>
      </c>
      <c r="F3706" s="1">
        <v>45862</v>
      </c>
      <c r="G3706" t="str">
        <f>IF(Table3[[#This Row],[Top Parent Account]]="",Table3[[#This Row],[Account Legal Name]],Table3[[#This Row],[Top Parent Account]])</f>
        <v>Casa Lumbre</v>
      </c>
      <c r="H3706" s="1"/>
    </row>
    <row r="3707" spans="1:8" x14ac:dyDescent="0.35">
      <c r="A3707" s="21"/>
      <c r="B3707" t="s">
        <v>37</v>
      </c>
      <c r="C3707" t="s">
        <v>6</v>
      </c>
      <c r="D3707" t="s">
        <v>2923</v>
      </c>
      <c r="F3707" s="1">
        <v>45862</v>
      </c>
      <c r="G3707" t="str">
        <f>IF(Table3[[#This Row],[Top Parent Account]]="",Table3[[#This Row],[Account Legal Name]],Table3[[#This Row],[Top Parent Account]])</f>
        <v>Necontech de México</v>
      </c>
      <c r="H3707" s="1"/>
    </row>
    <row r="3708" spans="1:8" x14ac:dyDescent="0.35">
      <c r="A3708" s="21"/>
      <c r="B3708" t="s">
        <v>820</v>
      </c>
      <c r="C3708" t="s">
        <v>6</v>
      </c>
      <c r="D3708" t="s">
        <v>442</v>
      </c>
      <c r="F3708" s="1">
        <v>45862</v>
      </c>
      <c r="G3708" t="str">
        <f>IF(Table3[[#This Row],[Top Parent Account]]="",Table3[[#This Row],[Account Legal Name]],Table3[[#This Row],[Top Parent Account]])</f>
        <v>Grupo Radiodifusoras</v>
      </c>
      <c r="H3708" s="1"/>
    </row>
    <row r="3709" spans="1:8" x14ac:dyDescent="0.35">
      <c r="A3709" s="21"/>
      <c r="B3709" t="s">
        <v>739</v>
      </c>
      <c r="C3709" t="s">
        <v>6</v>
      </c>
      <c r="D3709" t="s">
        <v>1104</v>
      </c>
      <c r="E3709" t="s">
        <v>304</v>
      </c>
      <c r="F3709" s="1">
        <v>45862</v>
      </c>
      <c r="G3709" t="str">
        <f>IF(Table3[[#This Row],[Top Parent Account]]="",Table3[[#This Row],[Account Legal Name]],Table3[[#This Row],[Top Parent Account]])</f>
        <v>Robert Bosch Gmbh</v>
      </c>
      <c r="H3709" s="1"/>
    </row>
    <row r="3710" spans="1:8" x14ac:dyDescent="0.35">
      <c r="A3710" s="21"/>
      <c r="B3710" t="s">
        <v>39</v>
      </c>
      <c r="C3710" t="s">
        <v>2868</v>
      </c>
      <c r="D3710" t="s">
        <v>2537</v>
      </c>
      <c r="F3710" s="1">
        <v>45862</v>
      </c>
      <c r="G3710" t="str">
        <f>IF(Table3[[#This Row],[Top Parent Account]]="",Table3[[#This Row],[Account Legal Name]],Table3[[#This Row],[Top Parent Account]])</f>
        <v>Salsas Castillo</v>
      </c>
      <c r="H3710" s="1"/>
    </row>
    <row r="3711" spans="1:8" x14ac:dyDescent="0.35">
      <c r="A3711" s="21"/>
      <c r="B3711" t="s">
        <v>169</v>
      </c>
      <c r="C3711" t="s">
        <v>6</v>
      </c>
      <c r="D3711" t="s">
        <v>2869</v>
      </c>
      <c r="F3711" s="1">
        <v>45862</v>
      </c>
      <c r="G3711" t="str">
        <f>IF(Table3[[#This Row],[Top Parent Account]]="",Table3[[#This Row],[Account Legal Name]],Table3[[#This Row],[Top Parent Account]])</f>
        <v>Equipos Y Motores Europeos</v>
      </c>
      <c r="H3711" s="1"/>
    </row>
    <row r="3712" spans="1:8" x14ac:dyDescent="0.35">
      <c r="A3712" s="21"/>
      <c r="B3712" t="s">
        <v>38</v>
      </c>
      <c r="C3712" t="s">
        <v>6</v>
      </c>
      <c r="D3712" t="s">
        <v>471</v>
      </c>
      <c r="F3712" s="1">
        <v>45862</v>
      </c>
      <c r="G3712" t="str">
        <f>IF(Table3[[#This Row],[Top Parent Account]]="",Table3[[#This Row],[Account Legal Name]],Table3[[#This Row],[Top Parent Account]])</f>
        <v>Ciudad Maderas</v>
      </c>
      <c r="H3712" s="1"/>
    </row>
    <row r="3713" spans="1:8" x14ac:dyDescent="0.35">
      <c r="A3713" s="21"/>
      <c r="B3713" t="s">
        <v>8</v>
      </c>
      <c r="C3713" t="s">
        <v>22</v>
      </c>
      <c r="D3713" t="s">
        <v>2915</v>
      </c>
      <c r="F3713" s="1">
        <v>45862</v>
      </c>
      <c r="G3713" t="str">
        <f>IF(Table3[[#This Row],[Top Parent Account]]="",Table3[[#This Row],[Account Legal Name]],Table3[[#This Row],[Top Parent Account]])</f>
        <v>Caribe Maquinter</v>
      </c>
      <c r="H3713" s="1"/>
    </row>
    <row r="3714" spans="1:8" x14ac:dyDescent="0.35">
      <c r="A3714" s="21"/>
      <c r="B3714" t="s">
        <v>38</v>
      </c>
      <c r="C3714" t="s">
        <v>6</v>
      </c>
      <c r="D3714" t="s">
        <v>669</v>
      </c>
      <c r="F3714" s="1">
        <v>45862</v>
      </c>
      <c r="G3714" t="str">
        <f>IF(Table3[[#This Row],[Top Parent Account]]="",Table3[[#This Row],[Account Legal Name]],Table3[[#This Row],[Top Parent Account]])</f>
        <v>Lactomark</v>
      </c>
      <c r="H3714" s="1"/>
    </row>
    <row r="3715" spans="1:8" x14ac:dyDescent="0.35">
      <c r="A3715" s="21"/>
      <c r="B3715" t="s">
        <v>78</v>
      </c>
      <c r="C3715" t="s">
        <v>6</v>
      </c>
      <c r="D3715" t="s">
        <v>2870</v>
      </c>
      <c r="F3715" s="1">
        <v>45862</v>
      </c>
      <c r="G3715" t="str">
        <f>IF(Table3[[#This Row],[Top Parent Account]]="",Table3[[#This Row],[Account Legal Name]],Table3[[#This Row],[Top Parent Account]])</f>
        <v>Beyond Business</v>
      </c>
      <c r="H3715" s="1"/>
    </row>
    <row r="3716" spans="1:8" x14ac:dyDescent="0.35">
      <c r="A3716" s="21"/>
      <c r="B3716" t="s">
        <v>1006</v>
      </c>
      <c r="C3716" t="s">
        <v>6</v>
      </c>
      <c r="D3716" t="s">
        <v>1061</v>
      </c>
      <c r="F3716" s="1">
        <v>45862</v>
      </c>
      <c r="G3716" t="str">
        <f>IF(Table3[[#This Row],[Top Parent Account]]="",Table3[[#This Row],[Account Legal Name]],Table3[[#This Row],[Top Parent Account]])</f>
        <v>Lácteos Mojica</v>
      </c>
      <c r="H3716" s="1"/>
    </row>
    <row r="3717" spans="1:8" x14ac:dyDescent="0.35">
      <c r="A3717" s="21"/>
      <c r="B3717" t="s">
        <v>12</v>
      </c>
      <c r="C3717" t="s">
        <v>6</v>
      </c>
      <c r="D3717" t="s">
        <v>2871</v>
      </c>
      <c r="F3717" s="1">
        <v>45862</v>
      </c>
      <c r="G3717" t="str">
        <f>IF(Table3[[#This Row],[Top Parent Account]]="",Table3[[#This Row],[Account Legal Name]],Table3[[#This Row],[Top Parent Account]])</f>
        <v>GAS MAYASUR</v>
      </c>
      <c r="H3717" s="1"/>
    </row>
    <row r="3718" spans="1:8" x14ac:dyDescent="0.35">
      <c r="A3718" s="21"/>
      <c r="B3718" t="s">
        <v>14</v>
      </c>
      <c r="C3718" t="s">
        <v>6</v>
      </c>
      <c r="D3718" t="s">
        <v>1522</v>
      </c>
      <c r="F3718" s="1">
        <v>45862</v>
      </c>
      <c r="G3718" t="str">
        <f>IF(Table3[[#This Row],[Top Parent Account]]="",Table3[[#This Row],[Account Legal Name]],Table3[[#This Row],[Top Parent Account]])</f>
        <v>Plásticos Universales de los Altos</v>
      </c>
      <c r="H3718" s="1"/>
    </row>
    <row r="3719" spans="1:8" x14ac:dyDescent="0.35">
      <c r="A3719" s="21"/>
      <c r="B3719" t="s">
        <v>739</v>
      </c>
      <c r="C3719" t="s">
        <v>6</v>
      </c>
      <c r="D3719" t="s">
        <v>304</v>
      </c>
      <c r="F3719" s="1">
        <v>45862</v>
      </c>
      <c r="G3719" t="str">
        <f>IF(Table3[[#This Row],[Top Parent Account]]="",Table3[[#This Row],[Account Legal Name]],Table3[[#This Row],[Top Parent Account]])</f>
        <v>Robert Bosch Gmbh</v>
      </c>
      <c r="H3719" s="1"/>
    </row>
    <row r="3720" spans="1:8" x14ac:dyDescent="0.35">
      <c r="A3720" s="21"/>
      <c r="B3720" t="s">
        <v>739</v>
      </c>
      <c r="C3720" t="s">
        <v>6</v>
      </c>
      <c r="D3720" t="s">
        <v>1889</v>
      </c>
      <c r="F3720" s="1">
        <v>45862</v>
      </c>
      <c r="G3720" t="str">
        <f>IF(Table3[[#This Row],[Top Parent Account]]="",Table3[[#This Row],[Account Legal Name]],Table3[[#This Row],[Top Parent Account]])</f>
        <v>OPERADORA MARRIOTT</v>
      </c>
      <c r="H3720" s="1"/>
    </row>
    <row r="3721" spans="1:8" x14ac:dyDescent="0.35">
      <c r="A3721" s="21"/>
      <c r="B3721" t="s">
        <v>925</v>
      </c>
      <c r="C3721" t="s">
        <v>6</v>
      </c>
      <c r="D3721" t="s">
        <v>1869</v>
      </c>
      <c r="F3721" s="1">
        <v>45862</v>
      </c>
      <c r="G3721" t="str">
        <f>IF(Table3[[#This Row],[Top Parent Account]]="",Table3[[#This Row],[Account Legal Name]],Table3[[#This Row],[Top Parent Account]])</f>
        <v>ACEROS Y PRODUCTOS PERFICORTE</v>
      </c>
      <c r="H3721" s="1"/>
    </row>
    <row r="3722" spans="1:8" x14ac:dyDescent="0.35">
      <c r="A3722" s="21"/>
      <c r="B3722" t="s">
        <v>78</v>
      </c>
      <c r="C3722" t="s">
        <v>6</v>
      </c>
      <c r="D3722" t="s">
        <v>2873</v>
      </c>
      <c r="F3722" s="1">
        <v>45862</v>
      </c>
      <c r="G3722" t="str">
        <f>IF(Table3[[#This Row],[Top Parent Account]]="",Table3[[#This Row],[Account Legal Name]],Table3[[#This Row],[Top Parent Account]])</f>
        <v>INDUSTRIAL TAMTO DE PUEBLA</v>
      </c>
      <c r="H3722" s="1"/>
    </row>
    <row r="3723" spans="1:8" x14ac:dyDescent="0.35">
      <c r="A3723" s="21"/>
      <c r="B3723" t="s">
        <v>172</v>
      </c>
      <c r="C3723" t="s">
        <v>6</v>
      </c>
      <c r="D3723" t="s">
        <v>2934</v>
      </c>
      <c r="F3723" s="1">
        <v>45862</v>
      </c>
      <c r="G3723" t="str">
        <f>IF(Table3[[#This Row],[Top Parent Account]]="",Table3[[#This Row],[Account Legal Name]],Table3[[#This Row],[Top Parent Account]])</f>
        <v>Goss Global</v>
      </c>
      <c r="H3723" s="1"/>
    </row>
    <row r="3724" spans="1:8" x14ac:dyDescent="0.35">
      <c r="A3724" s="21"/>
      <c r="B3724" t="s">
        <v>932</v>
      </c>
      <c r="C3724" t="s">
        <v>2924</v>
      </c>
      <c r="D3724" t="s">
        <v>1488</v>
      </c>
      <c r="F3724" s="1">
        <v>45862</v>
      </c>
      <c r="G3724" t="str">
        <f>IF(Table3[[#This Row],[Top Parent Account]]="",Table3[[#This Row],[Account Legal Name]],Table3[[#This Row],[Top Parent Account]])</f>
        <v>Troquelados Modulares</v>
      </c>
      <c r="H3724" s="1"/>
    </row>
    <row r="3725" spans="1:8" x14ac:dyDescent="0.35">
      <c r="A3725" s="21"/>
      <c r="B3725" t="s">
        <v>14</v>
      </c>
      <c r="C3725" t="s">
        <v>6</v>
      </c>
      <c r="D3725" t="s">
        <v>357</v>
      </c>
      <c r="F3725" s="1">
        <v>45862</v>
      </c>
      <c r="G3725" t="str">
        <f>IF(Table3[[#This Row],[Top Parent Account]]="",Table3[[#This Row],[Account Legal Name]],Table3[[#This Row],[Top Parent Account]])</f>
        <v>Laboratorios Fem</v>
      </c>
      <c r="H3725" s="1"/>
    </row>
    <row r="3726" spans="1:8" x14ac:dyDescent="0.35">
      <c r="A3726" s="21"/>
      <c r="B3726" t="s">
        <v>70</v>
      </c>
      <c r="C3726" t="s">
        <v>6</v>
      </c>
      <c r="D3726" t="s">
        <v>2925</v>
      </c>
      <c r="F3726" s="1">
        <v>45862</v>
      </c>
      <c r="G3726" t="str">
        <f>IF(Table3[[#This Row],[Top Parent Account]]="",Table3[[#This Row],[Account Legal Name]],Table3[[#This Row],[Top Parent Account]])</f>
        <v>Radiología y Electrónica de México</v>
      </c>
      <c r="H3726" s="1"/>
    </row>
    <row r="3727" spans="1:8" x14ac:dyDescent="0.35">
      <c r="A3727" s="21"/>
      <c r="B3727" t="s">
        <v>739</v>
      </c>
      <c r="C3727" t="s">
        <v>6</v>
      </c>
      <c r="D3727" t="s">
        <v>1889</v>
      </c>
      <c r="F3727" s="1">
        <v>45862</v>
      </c>
      <c r="G3727" t="str">
        <f>IF(Table3[[#This Row],[Top Parent Account]]="",Table3[[#This Row],[Account Legal Name]],Table3[[#This Row],[Top Parent Account]])</f>
        <v>OPERADORA MARRIOTT</v>
      </c>
      <c r="H3727" s="1"/>
    </row>
    <row r="3728" spans="1:8" x14ac:dyDescent="0.35">
      <c r="A3728" s="21"/>
      <c r="B3728" t="s">
        <v>207</v>
      </c>
      <c r="C3728" t="s">
        <v>6</v>
      </c>
      <c r="D3728" t="s">
        <v>2875</v>
      </c>
      <c r="F3728" s="1">
        <v>45862</v>
      </c>
      <c r="G3728" t="str">
        <f>IF(Table3[[#This Row],[Top Parent Account]]="",Table3[[#This Row],[Account Legal Name]],Table3[[#This Row],[Top Parent Account]])</f>
        <v>Remem Floral</v>
      </c>
      <c r="H3728" s="1"/>
    </row>
    <row r="3729" spans="1:8" x14ac:dyDescent="0.35">
      <c r="A3729" s="21"/>
      <c r="B3729" t="s">
        <v>56</v>
      </c>
      <c r="C3729" t="s">
        <v>6</v>
      </c>
      <c r="D3729" t="s">
        <v>2874</v>
      </c>
      <c r="F3729" s="1">
        <v>45862</v>
      </c>
      <c r="G3729" t="str">
        <f>IF(Table3[[#This Row],[Top Parent Account]]="",Table3[[#This Row],[Account Legal Name]],Table3[[#This Row],[Top Parent Account]])</f>
        <v>Grupo Logístico Integral</v>
      </c>
      <c r="H3729" s="1"/>
    </row>
    <row r="3730" spans="1:8" x14ac:dyDescent="0.35">
      <c r="A3730" s="21"/>
      <c r="B3730" t="s">
        <v>2884</v>
      </c>
      <c r="C3730" t="s">
        <v>6</v>
      </c>
      <c r="D3730" t="s">
        <v>474</v>
      </c>
      <c r="F3730" s="1">
        <v>45862</v>
      </c>
      <c r="G3730" t="str">
        <f>IF(Table3[[#This Row],[Top Parent Account]]="",Table3[[#This Row],[Account Legal Name]],Table3[[#This Row],[Top Parent Account]])</f>
        <v>Alpla México</v>
      </c>
      <c r="H3730" s="1"/>
    </row>
    <row r="3731" spans="1:8" x14ac:dyDescent="0.35">
      <c r="A3731" s="21"/>
      <c r="B3731" t="s">
        <v>375</v>
      </c>
      <c r="C3731" t="s">
        <v>6</v>
      </c>
      <c r="D3731" t="s">
        <v>563</v>
      </c>
      <c r="F3731" s="1">
        <v>45862</v>
      </c>
      <c r="G3731" t="str">
        <f>IF(Table3[[#This Row],[Top Parent Account]]="",Table3[[#This Row],[Account Legal Name]],Table3[[#This Row],[Top Parent Account]])</f>
        <v>Integradora De Servicios De Transportación Xihutec</v>
      </c>
      <c r="H3731" s="1"/>
    </row>
    <row r="3732" spans="1:8" x14ac:dyDescent="0.35">
      <c r="A3732" s="21"/>
      <c r="B3732" t="s">
        <v>970</v>
      </c>
      <c r="C3732" t="s">
        <v>6</v>
      </c>
      <c r="D3732" t="s">
        <v>1634</v>
      </c>
      <c r="F3732" s="1">
        <v>45861</v>
      </c>
      <c r="G3732" t="str">
        <f>IF(Table3[[#This Row],[Top Parent Account]]="",Table3[[#This Row],[Account Legal Name]],Table3[[#This Row],[Top Parent Account]])</f>
        <v>Belleza y Vanidad</v>
      </c>
      <c r="H3732" s="1"/>
    </row>
    <row r="3733" spans="1:8" x14ac:dyDescent="0.35">
      <c r="A3733" s="21"/>
      <c r="B3733" t="s">
        <v>39</v>
      </c>
      <c r="C3733" t="s">
        <v>945</v>
      </c>
      <c r="D3733" t="s">
        <v>1181</v>
      </c>
      <c r="F3733" s="1">
        <v>45861</v>
      </c>
      <c r="G3733" t="str">
        <f>IF(Table3[[#This Row],[Top Parent Account]]="",Table3[[#This Row],[Account Legal Name]],Table3[[#This Row],[Top Parent Account]])</f>
        <v>PRAVINOR</v>
      </c>
      <c r="H3733" s="1"/>
    </row>
    <row r="3734" spans="1:8" x14ac:dyDescent="0.35">
      <c r="A3734" s="21"/>
      <c r="B3734" t="s">
        <v>27</v>
      </c>
      <c r="C3734" t="s">
        <v>6</v>
      </c>
      <c r="D3734" t="s">
        <v>1298</v>
      </c>
      <c r="F3734" s="1">
        <v>45861</v>
      </c>
      <c r="G3734" t="str">
        <f>IF(Table3[[#This Row],[Top Parent Account]]="",Table3[[#This Row],[Account Legal Name]],Table3[[#This Row],[Top Parent Account]])</f>
        <v>Obras y Terracerías González</v>
      </c>
      <c r="H3734" s="1"/>
    </row>
    <row r="3735" spans="1:8" x14ac:dyDescent="0.35">
      <c r="A3735" s="21"/>
      <c r="B3735" t="s">
        <v>84</v>
      </c>
      <c r="C3735" t="s">
        <v>243</v>
      </c>
      <c r="D3735" t="s">
        <v>2876</v>
      </c>
      <c r="F3735" s="1">
        <v>45861</v>
      </c>
      <c r="G3735" t="str">
        <f>IF(Table3[[#This Row],[Top Parent Account]]="",Table3[[#This Row],[Account Legal Name]],Table3[[#This Row],[Top Parent Account]])</f>
        <v>Metalco</v>
      </c>
      <c r="H3735" s="1"/>
    </row>
    <row r="3736" spans="1:8" x14ac:dyDescent="0.35">
      <c r="A3736" s="21"/>
      <c r="B3736" t="s">
        <v>29</v>
      </c>
      <c r="C3736" t="s">
        <v>6</v>
      </c>
      <c r="D3736" t="s">
        <v>706</v>
      </c>
      <c r="F3736" s="1">
        <v>45861</v>
      </c>
      <c r="G3736" t="str">
        <f>IF(Table3[[#This Row],[Top Parent Account]]="",Table3[[#This Row],[Account Legal Name]],Table3[[#This Row],[Top Parent Account]])</f>
        <v>Grupo Serrano</v>
      </c>
      <c r="H3736" s="1"/>
    </row>
    <row r="3737" spans="1:8" x14ac:dyDescent="0.35">
      <c r="A3737" s="21"/>
      <c r="B3737" t="s">
        <v>84</v>
      </c>
      <c r="C3737" t="s">
        <v>6</v>
      </c>
      <c r="D3737" t="s">
        <v>123</v>
      </c>
      <c r="F3737" s="1">
        <v>45861</v>
      </c>
      <c r="G3737" t="str">
        <f>IF(Table3[[#This Row],[Top Parent Account]]="",Table3[[#This Row],[Account Legal Name]],Table3[[#This Row],[Top Parent Account]])</f>
        <v>Leon Corteacero</v>
      </c>
      <c r="H3737" s="1"/>
    </row>
    <row r="3738" spans="1:8" x14ac:dyDescent="0.35">
      <c r="A3738" s="21"/>
      <c r="B3738" t="s">
        <v>88</v>
      </c>
      <c r="C3738" t="s">
        <v>6</v>
      </c>
      <c r="D3738" t="s">
        <v>2877</v>
      </c>
      <c r="F3738" s="1">
        <v>45861</v>
      </c>
      <c r="G3738" t="str">
        <f>IF(Table3[[#This Row],[Top Parent Account]]="",Table3[[#This Row],[Account Legal Name]],Table3[[#This Row],[Top Parent Account]])</f>
        <v>IQU TECHNOLOGIES</v>
      </c>
      <c r="H3738" s="1"/>
    </row>
    <row r="3739" spans="1:8" x14ac:dyDescent="0.35">
      <c r="A3739" s="21"/>
      <c r="B3739" t="s">
        <v>375</v>
      </c>
      <c r="C3739" t="s">
        <v>6</v>
      </c>
      <c r="D3739" t="s">
        <v>2878</v>
      </c>
      <c r="F3739" s="1">
        <v>45861</v>
      </c>
      <c r="G3739" t="str">
        <f>IF(Table3[[#This Row],[Top Parent Account]]="",Table3[[#This Row],[Account Legal Name]],Table3[[#This Row],[Top Parent Account]])</f>
        <v>Fletes Mex</v>
      </c>
      <c r="H3739" s="1"/>
    </row>
    <row r="3740" spans="1:8" x14ac:dyDescent="0.35">
      <c r="A3740" s="21"/>
      <c r="B3740" t="s">
        <v>51</v>
      </c>
      <c r="C3740" t="s">
        <v>6</v>
      </c>
      <c r="D3740" t="s">
        <v>2879</v>
      </c>
      <c r="F3740" s="1">
        <v>45861</v>
      </c>
      <c r="G3740" t="str">
        <f>IF(Table3[[#This Row],[Top Parent Account]]="",Table3[[#This Row],[Account Legal Name]],Table3[[#This Row],[Top Parent Account]])</f>
        <v>Arnor</v>
      </c>
      <c r="H3740" s="1"/>
    </row>
    <row r="3741" spans="1:8" x14ac:dyDescent="0.35">
      <c r="A3741" s="21"/>
      <c r="B3741" t="s">
        <v>39</v>
      </c>
      <c r="C3741" t="s">
        <v>945</v>
      </c>
      <c r="D3741" t="s">
        <v>4939</v>
      </c>
      <c r="F3741" s="1">
        <v>45861</v>
      </c>
      <c r="G3741" t="str">
        <f>IF(Table3[[#This Row],[Top Parent Account]]="",Table3[[#This Row],[Account Legal Name]],Table3[[#This Row],[Top Parent Account]])</f>
        <v>YOREME CORTES Y PROCESOS</v>
      </c>
      <c r="H3741" s="1"/>
    </row>
    <row r="3742" spans="1:8" x14ac:dyDescent="0.35">
      <c r="A3742" s="21"/>
      <c r="B3742" t="s">
        <v>116</v>
      </c>
      <c r="C3742" t="s">
        <v>6</v>
      </c>
      <c r="D3742" t="s">
        <v>2880</v>
      </c>
      <c r="F3742" s="1">
        <v>45861</v>
      </c>
      <c r="G3742" t="str">
        <f>IF(Table3[[#This Row],[Top Parent Account]]="",Table3[[#This Row],[Account Legal Name]],Table3[[#This Row],[Top Parent Account]])</f>
        <v>Barca de México</v>
      </c>
      <c r="H3742" s="1"/>
    </row>
    <row r="3743" spans="1:8" x14ac:dyDescent="0.35">
      <c r="A3743" s="21"/>
      <c r="B3743" t="s">
        <v>18</v>
      </c>
      <c r="C3743" t="s">
        <v>6</v>
      </c>
      <c r="D3743" t="s">
        <v>2881</v>
      </c>
      <c r="F3743" s="1">
        <v>45861</v>
      </c>
      <c r="G3743" t="str">
        <f>IF(Table3[[#This Row],[Top Parent Account]]="",Table3[[#This Row],[Account Legal Name]],Table3[[#This Row],[Top Parent Account]])</f>
        <v>Onilog</v>
      </c>
      <c r="H3743" s="1"/>
    </row>
    <row r="3744" spans="1:8" x14ac:dyDescent="0.35">
      <c r="A3744" s="21"/>
      <c r="B3744" t="s">
        <v>37</v>
      </c>
      <c r="C3744" t="s">
        <v>6</v>
      </c>
      <c r="D3744" t="s">
        <v>2926</v>
      </c>
      <c r="F3744" s="1">
        <v>45861</v>
      </c>
      <c r="G3744" t="str">
        <f>IF(Table3[[#This Row],[Top Parent Account]]="",Table3[[#This Row],[Account Legal Name]],Table3[[#This Row],[Top Parent Account]])</f>
        <v>Viaxes</v>
      </c>
      <c r="H3744" s="1"/>
    </row>
    <row r="3745" spans="1:8" x14ac:dyDescent="0.35">
      <c r="A3745" s="21"/>
      <c r="B3745" t="s">
        <v>169</v>
      </c>
      <c r="C3745" t="s">
        <v>6</v>
      </c>
      <c r="D3745" t="s">
        <v>2882</v>
      </c>
      <c r="F3745" s="1">
        <v>45861</v>
      </c>
      <c r="G3745" t="str">
        <f>IF(Table3[[#This Row],[Top Parent Account]]="",Table3[[#This Row],[Account Legal Name]],Table3[[#This Row],[Top Parent Account]])</f>
        <v>Actia de México</v>
      </c>
      <c r="H3745" s="1"/>
    </row>
    <row r="3746" spans="1:8" x14ac:dyDescent="0.35">
      <c r="A3746" s="21"/>
      <c r="B3746" t="s">
        <v>12</v>
      </c>
      <c r="C3746" t="s">
        <v>6</v>
      </c>
      <c r="D3746" t="s">
        <v>473</v>
      </c>
      <c r="F3746" s="1">
        <v>45861</v>
      </c>
      <c r="G3746" t="str">
        <f>IF(Table3[[#This Row],[Top Parent Account]]="",Table3[[#This Row],[Account Legal Name]],Table3[[#This Row],[Top Parent Account]])</f>
        <v>COMERCIALIZADORA HECAFI DEL SURESTE</v>
      </c>
      <c r="H3746" s="1"/>
    </row>
    <row r="3747" spans="1:8" x14ac:dyDescent="0.35">
      <c r="A3747" s="21"/>
      <c r="B3747" t="s">
        <v>2309</v>
      </c>
      <c r="C3747" t="s">
        <v>6</v>
      </c>
      <c r="D3747" t="s">
        <v>2883</v>
      </c>
      <c r="F3747" s="1">
        <v>45861</v>
      </c>
      <c r="G3747" t="str">
        <f>IF(Table3[[#This Row],[Top Parent Account]]="",Table3[[#This Row],[Account Legal Name]],Table3[[#This Row],[Top Parent Account]])</f>
        <v>Petrom Logistics</v>
      </c>
      <c r="H3747" s="1"/>
    </row>
    <row r="3748" spans="1:8" x14ac:dyDescent="0.35">
      <c r="A3748" s="21"/>
      <c r="B3748" t="s">
        <v>116</v>
      </c>
      <c r="C3748" t="s">
        <v>6</v>
      </c>
      <c r="D3748" t="s">
        <v>2660</v>
      </c>
      <c r="F3748" s="1">
        <v>45861</v>
      </c>
      <c r="G3748" t="str">
        <f>IF(Table3[[#This Row],[Top Parent Account]]="",Table3[[#This Row],[Account Legal Name]],Table3[[#This Row],[Top Parent Account]])</f>
        <v>Thermotech</v>
      </c>
      <c r="H3748" s="1"/>
    </row>
    <row r="3749" spans="1:8" x14ac:dyDescent="0.35">
      <c r="A3749" s="21"/>
      <c r="B3749" t="s">
        <v>2693</v>
      </c>
      <c r="C3749" t="s">
        <v>6</v>
      </c>
      <c r="D3749" t="s">
        <v>371</v>
      </c>
      <c r="F3749" s="1">
        <v>45861</v>
      </c>
      <c r="G3749" t="str">
        <f>IF(Table3[[#This Row],[Top Parent Account]]="",Table3[[#This Row],[Account Legal Name]],Table3[[#This Row],[Top Parent Account]])</f>
        <v>Terminales Mexicanas De Carga y Almacenaje</v>
      </c>
      <c r="H3749" s="1"/>
    </row>
    <row r="3750" spans="1:8" x14ac:dyDescent="0.35">
      <c r="A3750" s="21"/>
      <c r="B3750" t="s">
        <v>2884</v>
      </c>
      <c r="C3750" t="s">
        <v>6</v>
      </c>
      <c r="D3750" t="s">
        <v>306</v>
      </c>
      <c r="F3750" s="1">
        <v>45861</v>
      </c>
      <c r="G3750" t="str">
        <f>IF(Table3[[#This Row],[Top Parent Account]]="",Table3[[#This Row],[Account Legal Name]],Table3[[#This Row],[Top Parent Account]])</f>
        <v>Cie</v>
      </c>
      <c r="H3750" s="1"/>
    </row>
    <row r="3751" spans="1:8" x14ac:dyDescent="0.35">
      <c r="A3751" s="21"/>
      <c r="B3751" t="s">
        <v>70</v>
      </c>
      <c r="C3751" t="s">
        <v>22</v>
      </c>
      <c r="D3751" t="s">
        <v>2885</v>
      </c>
      <c r="F3751" s="1">
        <v>45861</v>
      </c>
      <c r="G3751" t="str">
        <f>IF(Table3[[#This Row],[Top Parent Account]]="",Table3[[#This Row],[Account Legal Name]],Table3[[#This Row],[Top Parent Account]])</f>
        <v>Becton Dickinson de México</v>
      </c>
      <c r="H3751" s="1"/>
    </row>
    <row r="3752" spans="1:8" x14ac:dyDescent="0.35">
      <c r="A3752" s="21"/>
      <c r="B3752" t="s">
        <v>60</v>
      </c>
      <c r="C3752" t="s">
        <v>6</v>
      </c>
      <c r="D3752" t="s">
        <v>1968</v>
      </c>
      <c r="F3752" s="1">
        <v>45861</v>
      </c>
      <c r="G3752" t="str">
        <f>IF(Table3[[#This Row],[Top Parent Account]]="",Table3[[#This Row],[Account Legal Name]],Table3[[#This Row],[Top Parent Account]])</f>
        <v>Grupo Retenum</v>
      </c>
      <c r="H3752" s="1"/>
    </row>
    <row r="3753" spans="1:8" x14ac:dyDescent="0.35">
      <c r="A3753" s="21"/>
      <c r="B3753" t="s">
        <v>39</v>
      </c>
      <c r="C3753" t="s">
        <v>945</v>
      </c>
      <c r="D3753" t="s">
        <v>2887</v>
      </c>
      <c r="E3753" t="s">
        <v>372</v>
      </c>
      <c r="F3753" s="1">
        <v>45861</v>
      </c>
      <c r="G3753" t="str">
        <f>IF(Table3[[#This Row],[Top Parent Account]]="",Table3[[#This Row],[Account Legal Name]],Table3[[#This Row],[Top Parent Account]])</f>
        <v>Ojai</v>
      </c>
      <c r="H3753" s="1"/>
    </row>
    <row r="3754" spans="1:8" x14ac:dyDescent="0.35">
      <c r="A3754" s="21"/>
      <c r="B3754" t="s">
        <v>2693</v>
      </c>
      <c r="C3754" t="s">
        <v>6</v>
      </c>
      <c r="D3754" t="s">
        <v>2886</v>
      </c>
      <c r="F3754" s="1">
        <v>45861</v>
      </c>
      <c r="G3754" t="str">
        <f>IF(Table3[[#This Row],[Top Parent Account]]="",Table3[[#This Row],[Account Legal Name]],Table3[[#This Row],[Top Parent Account]])</f>
        <v>Infraestructura Hidráulica y Servicios</v>
      </c>
      <c r="H3754" s="1"/>
    </row>
    <row r="3755" spans="1:8" x14ac:dyDescent="0.35">
      <c r="A3755" s="21"/>
      <c r="B3755" t="s">
        <v>1511</v>
      </c>
      <c r="C3755" t="s">
        <v>6</v>
      </c>
      <c r="D3755" t="s">
        <v>2927</v>
      </c>
      <c r="F3755" s="1">
        <v>45861</v>
      </c>
      <c r="G3755" t="str">
        <f>IF(Table3[[#This Row],[Top Parent Account]]="",Table3[[#This Row],[Account Legal Name]],Table3[[#This Row],[Top Parent Account]])</f>
        <v>Trans Operativo Express</v>
      </c>
      <c r="H3755" s="1"/>
    </row>
    <row r="3756" spans="1:8" x14ac:dyDescent="0.35">
      <c r="A3756" s="21"/>
      <c r="B3756" t="s">
        <v>27</v>
      </c>
      <c r="C3756" t="s">
        <v>6</v>
      </c>
      <c r="D3756" t="s">
        <v>1293</v>
      </c>
      <c r="F3756" s="1">
        <v>45861</v>
      </c>
      <c r="G3756" t="str">
        <f>IF(Table3[[#This Row],[Top Parent Account]]="",Table3[[#This Row],[Account Legal Name]],Table3[[#This Row],[Top Parent Account]])</f>
        <v>Ecologia En Combustion</v>
      </c>
      <c r="H3756" s="1"/>
    </row>
    <row r="3757" spans="1:8" x14ac:dyDescent="0.35">
      <c r="A3757" s="21"/>
      <c r="B3757" t="s">
        <v>88</v>
      </c>
      <c r="C3757" t="s">
        <v>6</v>
      </c>
      <c r="D3757" t="s">
        <v>2890</v>
      </c>
      <c r="F3757" s="1">
        <v>45861</v>
      </c>
      <c r="G3757" t="str">
        <f>IF(Table3[[#This Row],[Top Parent Account]]="",Table3[[#This Row],[Account Legal Name]],Table3[[#This Row],[Top Parent Account]])</f>
        <v>MIGUEL ANGEL MARTINEZ MORALES</v>
      </c>
      <c r="H3757" s="1"/>
    </row>
    <row r="3758" spans="1:8" x14ac:dyDescent="0.35">
      <c r="A3758" s="21"/>
      <c r="B3758" t="s">
        <v>23</v>
      </c>
      <c r="C3758" t="s">
        <v>6</v>
      </c>
      <c r="D3758" t="s">
        <v>2891</v>
      </c>
      <c r="F3758" s="1">
        <v>45861</v>
      </c>
      <c r="G3758" t="str">
        <f>IF(Table3[[#This Row],[Top Parent Account]]="",Table3[[#This Row],[Account Legal Name]],Table3[[#This Row],[Top Parent Account]])</f>
        <v>Solin Pacakaging &amp; Logistic</v>
      </c>
      <c r="H3758" s="1"/>
    </row>
    <row r="3759" spans="1:8" x14ac:dyDescent="0.35">
      <c r="A3759" s="21"/>
      <c r="B3759" t="s">
        <v>116</v>
      </c>
      <c r="C3759" t="s">
        <v>6</v>
      </c>
      <c r="D3759" t="s">
        <v>2888</v>
      </c>
      <c r="F3759" s="1">
        <v>45861</v>
      </c>
      <c r="G3759" t="str">
        <f>IF(Table3[[#This Row],[Top Parent Account]]="",Table3[[#This Row],[Account Legal Name]],Table3[[#This Row],[Top Parent Account]])</f>
        <v>Plasticos Helios</v>
      </c>
      <c r="H3759" s="1"/>
    </row>
    <row r="3760" spans="1:8" x14ac:dyDescent="0.35">
      <c r="A3760" s="21"/>
      <c r="B3760" t="s">
        <v>78</v>
      </c>
      <c r="C3760" t="s">
        <v>6</v>
      </c>
      <c r="D3760" t="s">
        <v>2889</v>
      </c>
      <c r="F3760" s="1">
        <v>45861</v>
      </c>
      <c r="G3760" t="str">
        <f>IF(Table3[[#This Row],[Top Parent Account]]="",Table3[[#This Row],[Account Legal Name]],Table3[[#This Row],[Top Parent Account]])</f>
        <v>GRUPO GONORMA DE MEXICO</v>
      </c>
      <c r="H3760" s="1"/>
    </row>
    <row r="3761" spans="1:8" x14ac:dyDescent="0.35">
      <c r="A3761" s="21"/>
      <c r="B3761" t="s">
        <v>88</v>
      </c>
      <c r="C3761" t="s">
        <v>6</v>
      </c>
      <c r="D3761" t="s">
        <v>2892</v>
      </c>
      <c r="F3761" s="1">
        <v>45861</v>
      </c>
      <c r="G3761" t="str">
        <f>IF(Table3[[#This Row],[Top Parent Account]]="",Table3[[#This Row],[Account Legal Name]],Table3[[#This Row],[Top Parent Account]])</f>
        <v>Keymex Energy</v>
      </c>
      <c r="H3761" s="1"/>
    </row>
    <row r="3762" spans="1:8" x14ac:dyDescent="0.35">
      <c r="A3762" s="21"/>
      <c r="B3762" t="s">
        <v>25</v>
      </c>
      <c r="C3762" t="s">
        <v>6</v>
      </c>
      <c r="D3762" t="s">
        <v>2928</v>
      </c>
      <c r="F3762" s="1">
        <v>45861</v>
      </c>
      <c r="G3762" t="str">
        <f>IF(Table3[[#This Row],[Top Parent Account]]="",Table3[[#This Row],[Account Legal Name]],Table3[[#This Row],[Top Parent Account]])</f>
        <v>Ecoplating</v>
      </c>
      <c r="H3762" s="1"/>
    </row>
    <row r="3763" spans="1:8" x14ac:dyDescent="0.35">
      <c r="A3763" s="21"/>
      <c r="B3763" t="s">
        <v>970</v>
      </c>
      <c r="C3763" t="s">
        <v>6</v>
      </c>
      <c r="D3763" t="s">
        <v>1634</v>
      </c>
      <c r="F3763" s="1">
        <v>45860</v>
      </c>
      <c r="G3763" t="str">
        <f>IF(Table3[[#This Row],[Top Parent Account]]="",Table3[[#This Row],[Account Legal Name]],Table3[[#This Row],[Top Parent Account]])</f>
        <v>Belleza y Vanidad</v>
      </c>
      <c r="H3763" s="1"/>
    </row>
    <row r="3764" spans="1:8" x14ac:dyDescent="0.35">
      <c r="A3764" s="21"/>
      <c r="B3764" t="s">
        <v>970</v>
      </c>
      <c r="C3764" t="s">
        <v>6</v>
      </c>
      <c r="D3764" t="s">
        <v>2833</v>
      </c>
      <c r="F3764" s="1">
        <v>45860</v>
      </c>
      <c r="G3764" t="str">
        <f>IF(Table3[[#This Row],[Top Parent Account]]="",Table3[[#This Row],[Account Legal Name]],Table3[[#This Row],[Top Parent Account]])</f>
        <v>Fandeli</v>
      </c>
      <c r="H3764" s="1"/>
    </row>
    <row r="3765" spans="1:8" x14ac:dyDescent="0.35">
      <c r="A3765" s="21"/>
      <c r="B3765" t="s">
        <v>84</v>
      </c>
      <c r="C3765" t="s">
        <v>55</v>
      </c>
      <c r="D3765" t="s">
        <v>763</v>
      </c>
      <c r="F3765" s="1">
        <v>45860</v>
      </c>
      <c r="G3765" t="str">
        <f>IF(Table3[[#This Row],[Top Parent Account]]="",Table3[[#This Row],[Account Legal Name]],Table3[[#This Row],[Top Parent Account]])</f>
        <v>PROCESADORA UOVO</v>
      </c>
      <c r="H3765" s="1"/>
    </row>
    <row r="3766" spans="1:8" x14ac:dyDescent="0.35">
      <c r="A3766" s="21"/>
      <c r="B3766" t="s">
        <v>84</v>
      </c>
      <c r="C3766" t="s">
        <v>844</v>
      </c>
      <c r="D3766" t="s">
        <v>382</v>
      </c>
      <c r="F3766" s="1">
        <v>45860</v>
      </c>
      <c r="G3766" t="str">
        <f>IF(Table3[[#This Row],[Top Parent Account]]="",Table3[[#This Row],[Account Legal Name]],Table3[[#This Row],[Top Parent Account]])</f>
        <v>Fruvemex Mexicali</v>
      </c>
      <c r="H3766" s="1"/>
    </row>
    <row r="3767" spans="1:8" x14ac:dyDescent="0.35">
      <c r="A3767" s="21"/>
      <c r="B3767" t="s">
        <v>84</v>
      </c>
      <c r="C3767" t="s">
        <v>55</v>
      </c>
      <c r="D3767" t="s">
        <v>2893</v>
      </c>
      <c r="F3767" s="1">
        <v>45860</v>
      </c>
      <c r="G3767" t="str">
        <f>IF(Table3[[#This Row],[Top Parent Account]]="",Table3[[#This Row],[Account Legal Name]],Table3[[#This Row],[Top Parent Account]])</f>
        <v>TRANSPORTE DE PERSONAL ESPECIALIZADO</v>
      </c>
      <c r="H3767" s="1"/>
    </row>
    <row r="3768" spans="1:8" x14ac:dyDescent="0.35">
      <c r="A3768" s="21"/>
      <c r="B3768" t="s">
        <v>207</v>
      </c>
      <c r="C3768" t="s">
        <v>6</v>
      </c>
      <c r="D3768" t="s">
        <v>1554</v>
      </c>
      <c r="F3768" s="1">
        <v>45860</v>
      </c>
      <c r="G3768" t="str">
        <f>IF(Table3[[#This Row],[Top Parent Account]]="",Table3[[#This Row],[Account Legal Name]],Table3[[#This Row],[Top Parent Account]])</f>
        <v>Alimentos De Alta Calidad El Pedregal</v>
      </c>
      <c r="H3768" s="1"/>
    </row>
    <row r="3769" spans="1:8" x14ac:dyDescent="0.35">
      <c r="A3769" s="21"/>
      <c r="B3769" t="s">
        <v>1495</v>
      </c>
      <c r="C3769" t="s">
        <v>2935</v>
      </c>
      <c r="D3769" t="s">
        <v>2936</v>
      </c>
      <c r="F3769" s="1">
        <v>45860</v>
      </c>
      <c r="G3769" t="str">
        <f>IF(Table3[[#This Row],[Top Parent Account]]="",Table3[[#This Row],[Account Legal Name]],Table3[[#This Row],[Top Parent Account]])</f>
        <v>Nacional Monte De Piedad</v>
      </c>
      <c r="H3769" s="1"/>
    </row>
    <row r="3770" spans="1:8" x14ac:dyDescent="0.35">
      <c r="A3770" s="21"/>
      <c r="B3770" t="s">
        <v>39</v>
      </c>
      <c r="C3770" t="s">
        <v>945</v>
      </c>
      <c r="D3770" t="s">
        <v>1051</v>
      </c>
      <c r="F3770" s="1">
        <v>45860</v>
      </c>
      <c r="G3770" t="str">
        <f>IF(Table3[[#This Row],[Top Parent Account]]="",Table3[[#This Row],[Account Legal Name]],Table3[[#This Row],[Top Parent Account]])</f>
        <v>Alimentos Marinos y Agropecuarios</v>
      </c>
      <c r="H3770" s="1"/>
    </row>
    <row r="3771" spans="1:8" x14ac:dyDescent="0.35">
      <c r="A3771" s="21"/>
      <c r="B3771" t="s">
        <v>989</v>
      </c>
      <c r="C3771" t="s">
        <v>6</v>
      </c>
      <c r="D3771" t="s">
        <v>2894</v>
      </c>
      <c r="F3771" s="1">
        <v>45860</v>
      </c>
      <c r="G3771" t="str">
        <f>IF(Table3[[#This Row],[Top Parent Account]]="",Table3[[#This Row],[Account Legal Name]],Table3[[#This Row],[Top Parent Account]])</f>
        <v>ACMI Beverage</v>
      </c>
      <c r="H3771" s="1"/>
    </row>
    <row r="3772" spans="1:8" x14ac:dyDescent="0.35">
      <c r="A3772" s="21"/>
      <c r="B3772" t="s">
        <v>169</v>
      </c>
      <c r="C3772" t="s">
        <v>1679</v>
      </c>
      <c r="D3772" t="s">
        <v>616</v>
      </c>
      <c r="F3772" s="1">
        <v>45860</v>
      </c>
      <c r="G3772" t="str">
        <f>IF(Table3[[#This Row],[Top Parent Account]]="",Table3[[#This Row],[Account Legal Name]],Table3[[#This Row],[Top Parent Account]])</f>
        <v>Absara Cosmetics</v>
      </c>
      <c r="H3772" s="1"/>
    </row>
    <row r="3773" spans="1:8" x14ac:dyDescent="0.35">
      <c r="A3773" s="21"/>
      <c r="B3773" t="s">
        <v>26</v>
      </c>
      <c r="C3773" t="s">
        <v>6</v>
      </c>
      <c r="D3773" t="s">
        <v>2895</v>
      </c>
      <c r="F3773" s="1">
        <v>45860</v>
      </c>
      <c r="G3773" t="str">
        <f>IF(Table3[[#This Row],[Top Parent Account]]="",Table3[[#This Row],[Account Legal Name]],Table3[[#This Row],[Top Parent Account]])</f>
        <v>Quirmex</v>
      </c>
      <c r="H3773" s="1"/>
    </row>
    <row r="3774" spans="1:8" x14ac:dyDescent="0.35">
      <c r="A3774" s="21"/>
      <c r="B3774" t="s">
        <v>2658</v>
      </c>
      <c r="C3774" t="s">
        <v>6</v>
      </c>
      <c r="D3774" t="s">
        <v>2896</v>
      </c>
      <c r="F3774" s="1">
        <v>45860</v>
      </c>
      <c r="G3774" t="str">
        <f>IF(Table3[[#This Row],[Top Parent Account]]="",Table3[[#This Row],[Account Legal Name]],Table3[[#This Row],[Top Parent Account]])</f>
        <v>Montacargas Galeria</v>
      </c>
      <c r="H3774" s="1"/>
    </row>
    <row r="3775" spans="1:8" x14ac:dyDescent="0.35">
      <c r="A3775" s="21"/>
      <c r="B3775" t="s">
        <v>26</v>
      </c>
      <c r="C3775" t="s">
        <v>6</v>
      </c>
      <c r="D3775" t="s">
        <v>485</v>
      </c>
      <c r="F3775" s="1">
        <v>45860</v>
      </c>
      <c r="G3775" t="str">
        <f>IF(Table3[[#This Row],[Top Parent Account]]="",Table3[[#This Row],[Account Legal Name]],Table3[[#This Row],[Top Parent Account]])</f>
        <v>Mc Plasticos de México</v>
      </c>
      <c r="H3775" s="1"/>
    </row>
    <row r="3776" spans="1:8" x14ac:dyDescent="0.35">
      <c r="A3776" s="21"/>
      <c r="B3776" t="s">
        <v>2912</v>
      </c>
      <c r="C3776" t="s">
        <v>6</v>
      </c>
      <c r="D3776" t="s">
        <v>2929</v>
      </c>
      <c r="F3776" s="1">
        <v>45860</v>
      </c>
      <c r="G3776" t="str">
        <f>IF(Table3[[#This Row],[Top Parent Account]]="",Table3[[#This Row],[Account Legal Name]],Table3[[#This Row],[Top Parent Account]])</f>
        <v>Valia Energía</v>
      </c>
      <c r="H3776" s="1"/>
    </row>
    <row r="3777" spans="1:8" x14ac:dyDescent="0.35">
      <c r="A3777" s="21"/>
      <c r="B3777" t="s">
        <v>23</v>
      </c>
      <c r="C3777" t="s">
        <v>6</v>
      </c>
      <c r="D3777" t="s">
        <v>2897</v>
      </c>
      <c r="F3777" s="1">
        <v>45860</v>
      </c>
      <c r="G3777" t="str">
        <f>IF(Table3[[#This Row],[Top Parent Account]]="",Table3[[#This Row],[Account Legal Name]],Table3[[#This Row],[Top Parent Account]])</f>
        <v>Suministros Especializados en Manejo de Carga</v>
      </c>
      <c r="H3777" s="1"/>
    </row>
    <row r="3778" spans="1:8" x14ac:dyDescent="0.35">
      <c r="A3778" s="21"/>
      <c r="B3778" t="s">
        <v>820</v>
      </c>
      <c r="C3778" t="s">
        <v>6</v>
      </c>
      <c r="D3778" t="s">
        <v>319</v>
      </c>
      <c r="F3778" s="1">
        <v>45860</v>
      </c>
      <c r="G3778" t="str">
        <f>IF(Table3[[#This Row],[Top Parent Account]]="",Table3[[#This Row],[Account Legal Name]],Table3[[#This Row],[Top Parent Account]])</f>
        <v>Aspid</v>
      </c>
      <c r="H3778" s="1"/>
    </row>
    <row r="3779" spans="1:8" x14ac:dyDescent="0.35">
      <c r="A3779" s="21"/>
      <c r="B3779" t="s">
        <v>932</v>
      </c>
      <c r="C3779" t="s">
        <v>1156</v>
      </c>
      <c r="D3779" t="s">
        <v>2898</v>
      </c>
      <c r="F3779" s="1">
        <v>45860</v>
      </c>
      <c r="G3779" t="str">
        <f>IF(Table3[[#This Row],[Top Parent Account]]="",Table3[[#This Row],[Account Legal Name]],Table3[[#This Row],[Top Parent Account]])</f>
        <v>Hospital Churubusco</v>
      </c>
      <c r="H3779" s="1"/>
    </row>
    <row r="3780" spans="1:8" x14ac:dyDescent="0.35">
      <c r="A3780" s="21"/>
      <c r="B3780" t="s">
        <v>2884</v>
      </c>
      <c r="C3780" t="s">
        <v>6</v>
      </c>
      <c r="D3780" t="s">
        <v>2899</v>
      </c>
      <c r="F3780" s="1">
        <v>45860</v>
      </c>
      <c r="G3780" t="str">
        <f>IF(Table3[[#This Row],[Top Parent Account]]="",Table3[[#This Row],[Account Legal Name]],Table3[[#This Row],[Top Parent Account]])</f>
        <v>BAÑOS Y AZULEJOS AYUNTAMIENTO</v>
      </c>
      <c r="H3780" s="1"/>
    </row>
    <row r="3781" spans="1:8" x14ac:dyDescent="0.35">
      <c r="A3781" s="21"/>
      <c r="B3781" t="s">
        <v>121</v>
      </c>
      <c r="C3781" t="s">
        <v>6</v>
      </c>
      <c r="D3781" t="s">
        <v>2937</v>
      </c>
      <c r="F3781" s="1">
        <v>45860</v>
      </c>
      <c r="G3781" t="str">
        <f>IF(Table3[[#This Row],[Top Parent Account]]="",Table3[[#This Row],[Account Legal Name]],Table3[[#This Row],[Top Parent Account]])</f>
        <v>TERRAFLUX</v>
      </c>
      <c r="H3781" s="1"/>
    </row>
    <row r="3782" spans="1:8" x14ac:dyDescent="0.35">
      <c r="A3782" s="21"/>
      <c r="B3782" t="s">
        <v>169</v>
      </c>
      <c r="C3782" t="s">
        <v>6</v>
      </c>
      <c r="D3782" t="s">
        <v>2310</v>
      </c>
      <c r="F3782" s="1">
        <v>45860</v>
      </c>
      <c r="G3782" t="str">
        <f>IF(Table3[[#This Row],[Top Parent Account]]="",Table3[[#This Row],[Account Legal Name]],Table3[[#This Row],[Top Parent Account]])</f>
        <v>Texturizados y Tejidos Windsor</v>
      </c>
      <c r="H3782" s="1"/>
    </row>
    <row r="3783" spans="1:8" x14ac:dyDescent="0.35">
      <c r="A3783" s="21"/>
      <c r="B3783" t="s">
        <v>70</v>
      </c>
      <c r="C3783" t="s">
        <v>6</v>
      </c>
      <c r="D3783" t="s">
        <v>448</v>
      </c>
      <c r="F3783" s="1">
        <v>45860</v>
      </c>
      <c r="G3783" t="str">
        <f>IF(Table3[[#This Row],[Top Parent Account]]="",Table3[[#This Row],[Account Legal Name]],Table3[[#This Row],[Top Parent Account]])</f>
        <v>Osteomedica</v>
      </c>
      <c r="H3783" s="1"/>
    </row>
    <row r="3784" spans="1:8" x14ac:dyDescent="0.35">
      <c r="A3784" s="21"/>
      <c r="B3784" t="s">
        <v>39</v>
      </c>
      <c r="C3784" t="s">
        <v>2900</v>
      </c>
      <c r="D3784" t="s">
        <v>794</v>
      </c>
      <c r="F3784" s="1">
        <v>45860</v>
      </c>
      <c r="G3784" t="str">
        <f>IF(Table3[[#This Row],[Top Parent Account]]="",Table3[[#This Row],[Account Legal Name]],Table3[[#This Row],[Top Parent Account]])</f>
        <v>Granjas Avicolas Rancho Grande</v>
      </c>
      <c r="H3784" s="1"/>
    </row>
    <row r="3785" spans="1:8" x14ac:dyDescent="0.35">
      <c r="A3785" s="21"/>
      <c r="B3785" t="s">
        <v>1899</v>
      </c>
      <c r="C3785" t="s">
        <v>6</v>
      </c>
      <c r="D3785" t="s">
        <v>2930</v>
      </c>
      <c r="F3785" s="1">
        <v>45860</v>
      </c>
      <c r="G3785" t="str">
        <f>IF(Table3[[#This Row],[Top Parent Account]]="",Table3[[#This Row],[Account Legal Name]],Table3[[#This Row],[Top Parent Account]])</f>
        <v>Materiales Asesoría y Servicios Para La Construcción</v>
      </c>
      <c r="H3785" s="1"/>
    </row>
    <row r="3786" spans="1:8" x14ac:dyDescent="0.35">
      <c r="A3786" s="21"/>
      <c r="B3786" t="s">
        <v>121</v>
      </c>
      <c r="C3786" t="s">
        <v>6</v>
      </c>
      <c r="D3786" t="s">
        <v>574</v>
      </c>
      <c r="F3786" s="1">
        <v>45859</v>
      </c>
      <c r="G3786" t="str">
        <f>IF(Table3[[#This Row],[Top Parent Account]]="",Table3[[#This Row],[Account Legal Name]],Table3[[#This Row],[Top Parent Account]])</f>
        <v>PROMAQUILA DE COCULA</v>
      </c>
      <c r="H3786" s="1"/>
    </row>
    <row r="3787" spans="1:8" x14ac:dyDescent="0.35">
      <c r="A3787" s="21"/>
      <c r="B3787" t="s">
        <v>207</v>
      </c>
      <c r="C3787" t="s">
        <v>6</v>
      </c>
      <c r="D3787" t="s">
        <v>1554</v>
      </c>
      <c r="F3787" s="1">
        <v>45859</v>
      </c>
      <c r="G3787" t="str">
        <f>IF(Table3[[#This Row],[Top Parent Account]]="",Table3[[#This Row],[Account Legal Name]],Table3[[#This Row],[Top Parent Account]])</f>
        <v>Alimentos De Alta Calidad El Pedregal</v>
      </c>
      <c r="H3787" s="1"/>
    </row>
    <row r="3788" spans="1:8" x14ac:dyDescent="0.35">
      <c r="A3788" s="21"/>
      <c r="B3788" t="s">
        <v>169</v>
      </c>
      <c r="C3788" t="s">
        <v>6</v>
      </c>
      <c r="D3788" t="s">
        <v>2270</v>
      </c>
      <c r="F3788" s="1">
        <v>45859</v>
      </c>
      <c r="G3788" t="str">
        <f>IF(Table3[[#This Row],[Top Parent Account]]="",Table3[[#This Row],[Account Legal Name]],Table3[[#This Row],[Top Parent Account]])</f>
        <v>Manzanilla La Pastora</v>
      </c>
      <c r="H3788" s="1"/>
    </row>
    <row r="3789" spans="1:8" x14ac:dyDescent="0.35">
      <c r="A3789" s="21"/>
      <c r="B3789" t="s">
        <v>969</v>
      </c>
      <c r="C3789" t="s">
        <v>6</v>
      </c>
      <c r="D3789" t="s">
        <v>769</v>
      </c>
      <c r="F3789" s="1">
        <v>45859</v>
      </c>
      <c r="G3789" t="str">
        <f>IF(Table3[[#This Row],[Top Parent Account]]="",Table3[[#This Row],[Account Legal Name]],Table3[[#This Row],[Top Parent Account]])</f>
        <v>Logística y Mantenimiento Zigma</v>
      </c>
      <c r="H3789" s="1"/>
    </row>
    <row r="3790" spans="1:8" x14ac:dyDescent="0.35">
      <c r="A3790" s="21"/>
      <c r="B3790" t="s">
        <v>26</v>
      </c>
      <c r="C3790" t="s">
        <v>6</v>
      </c>
      <c r="D3790" t="s">
        <v>398</v>
      </c>
      <c r="F3790" s="1">
        <v>45859</v>
      </c>
      <c r="G3790" t="str">
        <f>IF(Table3[[#This Row],[Top Parent Account]]="",Table3[[#This Row],[Account Legal Name]],Table3[[#This Row],[Top Parent Account]])</f>
        <v>Almacenes Refrigerados Consolidados</v>
      </c>
      <c r="H3790" s="1"/>
    </row>
    <row r="3791" spans="1:8" x14ac:dyDescent="0.35">
      <c r="A3791" s="21"/>
      <c r="B3791" t="s">
        <v>590</v>
      </c>
      <c r="C3791" t="s">
        <v>6</v>
      </c>
      <c r="D3791" t="s">
        <v>2931</v>
      </c>
      <c r="F3791" s="1">
        <v>45859</v>
      </c>
      <c r="G3791" t="str">
        <f>IF(Table3[[#This Row],[Top Parent Account]]="",Table3[[#This Row],[Account Legal Name]],Table3[[#This Row],[Top Parent Account]])</f>
        <v>Blue Box</v>
      </c>
      <c r="H3791" s="1"/>
    </row>
    <row r="3792" spans="1:8" x14ac:dyDescent="0.35">
      <c r="A3792" s="21"/>
      <c r="B3792" t="s">
        <v>2658</v>
      </c>
      <c r="C3792" t="s">
        <v>6</v>
      </c>
      <c r="D3792" t="s">
        <v>2673</v>
      </c>
      <c r="F3792" s="1">
        <v>45859</v>
      </c>
      <c r="G3792" t="str">
        <f>IF(Table3[[#This Row],[Top Parent Account]]="",Table3[[#This Row],[Account Legal Name]],Table3[[#This Row],[Top Parent Account]])</f>
        <v>Probemedic Distribuciones</v>
      </c>
      <c r="H3792" s="1"/>
    </row>
    <row r="3793" spans="1:8" x14ac:dyDescent="0.35">
      <c r="A3793" s="21"/>
      <c r="B3793" t="s">
        <v>38</v>
      </c>
      <c r="C3793" t="s">
        <v>6</v>
      </c>
      <c r="D3793" t="s">
        <v>2901</v>
      </c>
      <c r="F3793" s="1">
        <v>45859</v>
      </c>
      <c r="G3793" t="str">
        <f>IF(Table3[[#This Row],[Top Parent Account]]="",Table3[[#This Row],[Account Legal Name]],Table3[[#This Row],[Top Parent Account]])</f>
        <v>Materias Primas La Concepcion</v>
      </c>
      <c r="H3793" s="1"/>
    </row>
    <row r="3794" spans="1:8" x14ac:dyDescent="0.35">
      <c r="A3794" s="21"/>
      <c r="B3794" t="s">
        <v>172</v>
      </c>
      <c r="C3794" t="s">
        <v>6</v>
      </c>
      <c r="D3794" t="s">
        <v>755</v>
      </c>
      <c r="F3794" s="1">
        <v>45859</v>
      </c>
      <c r="G3794" t="str">
        <f>IF(Table3[[#This Row],[Top Parent Account]]="",Table3[[#This Row],[Account Legal Name]],Table3[[#This Row],[Top Parent Account]])</f>
        <v>González Torres y Cía.</v>
      </c>
      <c r="H3794" s="1"/>
    </row>
    <row r="3795" spans="1:8" x14ac:dyDescent="0.35">
      <c r="A3795" s="21"/>
      <c r="B3795" t="s">
        <v>12</v>
      </c>
      <c r="C3795" t="s">
        <v>6</v>
      </c>
      <c r="D3795" t="s">
        <v>2759</v>
      </c>
      <c r="F3795" s="1">
        <v>45859</v>
      </c>
      <c r="G3795" t="str">
        <f>IF(Table3[[#This Row],[Top Parent Account]]="",Table3[[#This Row],[Account Legal Name]],Table3[[#This Row],[Top Parent Account]])</f>
        <v>Crystal Green de Mexico</v>
      </c>
      <c r="H3795" s="1"/>
    </row>
    <row r="3796" spans="1:8" x14ac:dyDescent="0.35">
      <c r="A3796" s="21"/>
      <c r="B3796" t="s">
        <v>39</v>
      </c>
      <c r="C3796" t="s">
        <v>57</v>
      </c>
      <c r="D3796" t="s">
        <v>2902</v>
      </c>
      <c r="F3796" s="1">
        <v>45859</v>
      </c>
      <c r="G3796" t="str">
        <f>IF(Table3[[#This Row],[Top Parent Account]]="",Table3[[#This Row],[Account Legal Name]],Table3[[#This Row],[Top Parent Account]])</f>
        <v>Minas de Oroco Resources</v>
      </c>
      <c r="H3796" s="1"/>
    </row>
    <row r="3797" spans="1:8" x14ac:dyDescent="0.35">
      <c r="A3797" s="21"/>
      <c r="B3797" t="s">
        <v>8</v>
      </c>
      <c r="C3797" t="s">
        <v>6</v>
      </c>
      <c r="D3797" t="s">
        <v>2759</v>
      </c>
      <c r="F3797" s="1">
        <v>45859</v>
      </c>
      <c r="G3797" t="str">
        <f>IF(Table3[[#This Row],[Top Parent Account]]="",Table3[[#This Row],[Account Legal Name]],Table3[[#This Row],[Top Parent Account]])</f>
        <v>Crystal Green de Mexico</v>
      </c>
      <c r="H3797" s="1"/>
    </row>
    <row r="3798" spans="1:8" x14ac:dyDescent="0.35">
      <c r="A3798" s="21"/>
      <c r="B3798" t="s">
        <v>925</v>
      </c>
      <c r="C3798" t="s">
        <v>6</v>
      </c>
      <c r="D3798" t="s">
        <v>2819</v>
      </c>
      <c r="F3798" s="1">
        <v>45859</v>
      </c>
      <c r="G3798" t="str">
        <f>IF(Table3[[#This Row],[Top Parent Account]]="",Table3[[#This Row],[Account Legal Name]],Table3[[#This Row],[Top Parent Account]])</f>
        <v>RIVERA GROUP</v>
      </c>
      <c r="H3798" s="1"/>
    </row>
    <row r="3799" spans="1:8" x14ac:dyDescent="0.35">
      <c r="A3799" s="21"/>
      <c r="B3799" t="s">
        <v>28</v>
      </c>
      <c r="C3799" t="s">
        <v>6</v>
      </c>
      <c r="D3799" t="s">
        <v>967</v>
      </c>
      <c r="F3799" s="1">
        <v>45859</v>
      </c>
      <c r="G3799" t="str">
        <f>IF(Table3[[#This Row],[Top Parent Account]]="",Table3[[#This Row],[Account Legal Name]],Table3[[#This Row],[Top Parent Account]])</f>
        <v>ARAUCO INDUSTRIA DE MÉXICO</v>
      </c>
      <c r="H3799" s="1"/>
    </row>
    <row r="3800" spans="1:8" x14ac:dyDescent="0.35">
      <c r="A3800" s="21"/>
      <c r="B3800" t="s">
        <v>70</v>
      </c>
      <c r="C3800" t="s">
        <v>6</v>
      </c>
      <c r="D3800" t="s">
        <v>356</v>
      </c>
      <c r="F3800" s="1">
        <v>45859</v>
      </c>
      <c r="G3800" t="str">
        <f>IF(Table3[[#This Row],[Top Parent Account]]="",Table3[[#This Row],[Account Legal Name]],Table3[[#This Row],[Top Parent Account]])</f>
        <v>Grupo Vitalmex</v>
      </c>
      <c r="H3800" s="1"/>
    </row>
    <row r="3801" spans="1:8" x14ac:dyDescent="0.35">
      <c r="A3801" s="21"/>
      <c r="B3801" t="s">
        <v>2658</v>
      </c>
      <c r="C3801" t="s">
        <v>6</v>
      </c>
      <c r="D3801" t="s">
        <v>2903</v>
      </c>
      <c r="F3801" s="1">
        <v>45859</v>
      </c>
      <c r="G3801" t="str">
        <f>IF(Table3[[#This Row],[Top Parent Account]]="",Table3[[#This Row],[Account Legal Name]],Table3[[#This Row],[Top Parent Account]])</f>
        <v>Cheong Woon México</v>
      </c>
      <c r="H3801" s="1"/>
    </row>
    <row r="3802" spans="1:8" x14ac:dyDescent="0.35">
      <c r="A3802" s="21"/>
      <c r="B3802" t="s">
        <v>820</v>
      </c>
      <c r="C3802" t="s">
        <v>6</v>
      </c>
      <c r="D3802" t="s">
        <v>1233</v>
      </c>
      <c r="E3802" t="s">
        <v>741</v>
      </c>
      <c r="F3802" s="1">
        <v>45859</v>
      </c>
      <c r="G3802" t="str">
        <f>IF(Table3[[#This Row],[Top Parent Account]]="",Table3[[#This Row],[Account Legal Name]],Table3[[#This Row],[Top Parent Account]])</f>
        <v>Reto Industrial</v>
      </c>
      <c r="H3802" s="1"/>
    </row>
    <row r="3803" spans="1:8" x14ac:dyDescent="0.35">
      <c r="A3803" s="21"/>
      <c r="B3803" t="s">
        <v>739</v>
      </c>
      <c r="C3803" t="s">
        <v>6</v>
      </c>
      <c r="D3803" t="s">
        <v>215</v>
      </c>
      <c r="F3803" s="1">
        <v>45857</v>
      </c>
      <c r="G3803" t="str">
        <f>IF(Table3[[#This Row],[Top Parent Account]]="",Table3[[#This Row],[Account Legal Name]],Table3[[#This Row],[Top Parent Account]])</f>
        <v>Promotora Caribeña</v>
      </c>
      <c r="H3803" s="1"/>
    </row>
    <row r="3804" spans="1:8" x14ac:dyDescent="0.35">
      <c r="A3804" s="21"/>
      <c r="B3804" t="s">
        <v>32</v>
      </c>
      <c r="C3804" t="s">
        <v>6</v>
      </c>
      <c r="D3804" t="s">
        <v>322</v>
      </c>
      <c r="F3804" s="1">
        <v>45856</v>
      </c>
      <c r="G3804" t="str">
        <f>IF(Table3[[#This Row],[Top Parent Account]]="",Table3[[#This Row],[Account Legal Name]],Table3[[#This Row],[Top Parent Account]])</f>
        <v>La Italiana</v>
      </c>
      <c r="H3804" s="1"/>
    </row>
    <row r="3805" spans="1:8" x14ac:dyDescent="0.35">
      <c r="A3805" s="21"/>
      <c r="B3805" t="s">
        <v>18</v>
      </c>
      <c r="C3805" t="s">
        <v>6</v>
      </c>
      <c r="D3805" t="s">
        <v>2856</v>
      </c>
      <c r="F3805" s="1">
        <v>45856</v>
      </c>
      <c r="G3805" t="str">
        <f>IF(Table3[[#This Row],[Top Parent Account]]="",Table3[[#This Row],[Account Legal Name]],Table3[[#This Row],[Top Parent Account]])</f>
        <v>PSM Acero</v>
      </c>
      <c r="H3805" s="1"/>
    </row>
    <row r="3806" spans="1:8" x14ac:dyDescent="0.35">
      <c r="A3806" s="21"/>
      <c r="B3806" t="s">
        <v>28</v>
      </c>
      <c r="C3806" t="s">
        <v>6</v>
      </c>
      <c r="D3806" t="s">
        <v>2857</v>
      </c>
      <c r="F3806" s="1">
        <v>45856</v>
      </c>
      <c r="G3806" t="str">
        <f>IF(Table3[[#This Row],[Top Parent Account]]="",Table3[[#This Row],[Account Legal Name]],Table3[[#This Row],[Top Parent Account]])</f>
        <v>Construcciones civiles y electromecánicas de la laguna</v>
      </c>
      <c r="H3806" s="1"/>
    </row>
    <row r="3807" spans="1:8" x14ac:dyDescent="0.35">
      <c r="A3807" s="21"/>
      <c r="B3807" t="s">
        <v>207</v>
      </c>
      <c r="C3807" t="s">
        <v>6</v>
      </c>
      <c r="D3807" t="s">
        <v>2858</v>
      </c>
      <c r="F3807" s="1">
        <v>45856</v>
      </c>
      <c r="G3807" t="str">
        <f>IF(Table3[[#This Row],[Top Parent Account]]="",Table3[[#This Row],[Account Legal Name]],Table3[[#This Row],[Top Parent Account]])</f>
        <v>Emprestur</v>
      </c>
      <c r="H3807" s="1"/>
    </row>
    <row r="3808" spans="1:8" x14ac:dyDescent="0.35">
      <c r="A3808" s="21"/>
      <c r="B3808" t="s">
        <v>932</v>
      </c>
      <c r="C3808" t="s">
        <v>2829</v>
      </c>
      <c r="D3808" t="s">
        <v>2574</v>
      </c>
      <c r="F3808" s="1">
        <v>45856</v>
      </c>
      <c r="G3808" t="str">
        <f>IF(Table3[[#This Row],[Top Parent Account]]="",Table3[[#This Row],[Account Legal Name]],Table3[[#This Row],[Top Parent Account]])</f>
        <v>INDUCON ENERGY LIMITED</v>
      </c>
      <c r="H3808" s="1"/>
    </row>
    <row r="3809" spans="1:8" x14ac:dyDescent="0.35">
      <c r="A3809" s="21"/>
      <c r="B3809" t="s">
        <v>932</v>
      </c>
      <c r="C3809" t="s">
        <v>2830</v>
      </c>
      <c r="D3809" t="s">
        <v>2373</v>
      </c>
      <c r="F3809" s="1">
        <v>45856</v>
      </c>
      <c r="G3809" t="str">
        <f>IF(Table3[[#This Row],[Top Parent Account]]="",Table3[[#This Row],[Account Legal Name]],Table3[[#This Row],[Top Parent Account]])</f>
        <v>Hospitales Familiares</v>
      </c>
      <c r="H3809" s="1"/>
    </row>
    <row r="3810" spans="1:8" x14ac:dyDescent="0.35">
      <c r="A3810" s="21"/>
      <c r="B3810" t="s">
        <v>1031</v>
      </c>
      <c r="C3810" t="s">
        <v>6</v>
      </c>
      <c r="D3810" t="s">
        <v>2859</v>
      </c>
      <c r="F3810" s="1">
        <v>45856</v>
      </c>
      <c r="G3810" t="str">
        <f>IF(Table3[[#This Row],[Top Parent Account]]="",Table3[[#This Row],[Account Legal Name]],Table3[[#This Row],[Top Parent Account]])</f>
        <v>InConcert</v>
      </c>
      <c r="H3810" s="1"/>
    </row>
    <row r="3811" spans="1:8" x14ac:dyDescent="0.35">
      <c r="A3811" s="21"/>
      <c r="B3811" t="s">
        <v>28</v>
      </c>
      <c r="C3811" t="s">
        <v>6</v>
      </c>
      <c r="D3811" t="s">
        <v>2831</v>
      </c>
      <c r="F3811" s="1">
        <v>45856</v>
      </c>
      <c r="G3811" t="str">
        <f>IF(Table3[[#This Row],[Top Parent Account]]="",Table3[[#This Row],[Account Legal Name]],Table3[[#This Row],[Top Parent Account]])</f>
        <v>Transportes Jalo</v>
      </c>
      <c r="H3811" s="1"/>
    </row>
    <row r="3812" spans="1:8" x14ac:dyDescent="0.35">
      <c r="A3812" s="21"/>
      <c r="B3812" t="s">
        <v>970</v>
      </c>
      <c r="C3812" t="s">
        <v>6</v>
      </c>
      <c r="D3812" t="s">
        <v>2833</v>
      </c>
      <c r="F3812" s="1">
        <v>45856</v>
      </c>
      <c r="G3812" t="str">
        <f>IF(Table3[[#This Row],[Top Parent Account]]="",Table3[[#This Row],[Account Legal Name]],Table3[[#This Row],[Top Parent Account]])</f>
        <v>Fandeli</v>
      </c>
      <c r="H3812" s="1"/>
    </row>
    <row r="3813" spans="1:8" x14ac:dyDescent="0.35">
      <c r="A3813" s="21"/>
      <c r="B3813" t="s">
        <v>116</v>
      </c>
      <c r="C3813" t="s">
        <v>6</v>
      </c>
      <c r="D3813" t="s">
        <v>2832</v>
      </c>
      <c r="F3813" s="1">
        <v>45856</v>
      </c>
      <c r="G3813" t="str">
        <f>IF(Table3[[#This Row],[Top Parent Account]]="",Table3[[#This Row],[Account Legal Name]],Table3[[#This Row],[Top Parent Account]])</f>
        <v>Top Label</v>
      </c>
      <c r="H3813" s="1"/>
    </row>
    <row r="3814" spans="1:8" x14ac:dyDescent="0.35">
      <c r="A3814" s="21"/>
      <c r="B3814" t="s">
        <v>820</v>
      </c>
      <c r="C3814" t="s">
        <v>6</v>
      </c>
      <c r="D3814" t="s">
        <v>442</v>
      </c>
      <c r="F3814" s="1">
        <v>45856</v>
      </c>
      <c r="G3814" t="str">
        <f>IF(Table3[[#This Row],[Top Parent Account]]="",Table3[[#This Row],[Account Legal Name]],Table3[[#This Row],[Top Parent Account]])</f>
        <v>Grupo Radiodifusoras</v>
      </c>
      <c r="H3814" s="1"/>
    </row>
    <row r="3815" spans="1:8" x14ac:dyDescent="0.35">
      <c r="A3815" s="21"/>
      <c r="B3815" t="s">
        <v>7</v>
      </c>
      <c r="C3815" t="s">
        <v>6</v>
      </c>
      <c r="D3815" t="s">
        <v>948</v>
      </c>
      <c r="E3815" t="s">
        <v>2825</v>
      </c>
      <c r="F3815" s="1">
        <v>45856</v>
      </c>
      <c r="G3815" t="str">
        <f>IF(Table3[[#This Row],[Top Parent Account]]="",Table3[[#This Row],[Account Legal Name]],Table3[[#This Row],[Top Parent Account]])</f>
        <v>Beyond pipe</v>
      </c>
      <c r="H3815" s="1"/>
    </row>
    <row r="3816" spans="1:8" x14ac:dyDescent="0.35">
      <c r="A3816" s="21"/>
      <c r="B3816" t="s">
        <v>7</v>
      </c>
      <c r="C3816" t="s">
        <v>6</v>
      </c>
      <c r="D3816" t="s">
        <v>2834</v>
      </c>
      <c r="F3816" s="1">
        <v>45856</v>
      </c>
      <c r="G3816" t="str">
        <f>IF(Table3[[#This Row],[Top Parent Account]]="",Table3[[#This Row],[Account Legal Name]],Table3[[#This Row],[Top Parent Account]])</f>
        <v>Autofletes Chihuahua</v>
      </c>
      <c r="H3816" s="1"/>
    </row>
    <row r="3817" spans="1:8" x14ac:dyDescent="0.35">
      <c r="A3817" s="21"/>
      <c r="B3817" t="s">
        <v>28</v>
      </c>
      <c r="C3817" t="s">
        <v>6</v>
      </c>
      <c r="D3817" t="s">
        <v>2835</v>
      </c>
      <c r="F3817" s="1">
        <v>45856</v>
      </c>
      <c r="G3817" t="str">
        <f>IF(Table3[[#This Row],[Top Parent Account]]="",Table3[[#This Row],[Account Legal Name]],Table3[[#This Row],[Top Parent Account]])</f>
        <v>501 rt</v>
      </c>
      <c r="H3817" s="1"/>
    </row>
    <row r="3818" spans="1:8" x14ac:dyDescent="0.35">
      <c r="A3818" s="21"/>
      <c r="B3818" t="s">
        <v>2309</v>
      </c>
      <c r="C3818" t="s">
        <v>6</v>
      </c>
      <c r="D3818" t="s">
        <v>2836</v>
      </c>
      <c r="F3818" s="1">
        <v>45856</v>
      </c>
      <c r="G3818" t="str">
        <f>IF(Table3[[#This Row],[Top Parent Account]]="",Table3[[#This Row],[Account Legal Name]],Table3[[#This Row],[Top Parent Account]])</f>
        <v>Alfredo Ismael Roman Masso</v>
      </c>
      <c r="H3818" s="1"/>
    </row>
    <row r="3819" spans="1:8" x14ac:dyDescent="0.35">
      <c r="A3819" s="21"/>
      <c r="B3819" t="s">
        <v>169</v>
      </c>
      <c r="C3819" t="s">
        <v>6</v>
      </c>
      <c r="D3819" t="s">
        <v>700</v>
      </c>
      <c r="F3819" s="1">
        <v>45856</v>
      </c>
      <c r="G3819" t="str">
        <f>IF(Table3[[#This Row],[Top Parent Account]]="",Table3[[#This Row],[Account Legal Name]],Table3[[#This Row],[Top Parent Account]])</f>
        <v>Doka México Expertos de Encofrados</v>
      </c>
      <c r="H3819" s="1"/>
    </row>
    <row r="3820" spans="1:8" x14ac:dyDescent="0.35">
      <c r="A3820" s="21"/>
      <c r="B3820" t="s">
        <v>88</v>
      </c>
      <c r="C3820" t="s">
        <v>6</v>
      </c>
      <c r="D3820" t="s">
        <v>2837</v>
      </c>
      <c r="F3820" s="1">
        <v>45856</v>
      </c>
      <c r="G3820" t="str">
        <f>IF(Table3[[#This Row],[Top Parent Account]]="",Table3[[#This Row],[Account Legal Name]],Table3[[#This Row],[Top Parent Account]])</f>
        <v>Orgachemics</v>
      </c>
      <c r="H3820" s="1"/>
    </row>
    <row r="3821" spans="1:8" x14ac:dyDescent="0.35">
      <c r="A3821" s="21"/>
      <c r="B3821" t="s">
        <v>78</v>
      </c>
      <c r="C3821" t="s">
        <v>6</v>
      </c>
      <c r="D3821" t="s">
        <v>2838</v>
      </c>
      <c r="F3821" s="1">
        <v>45856</v>
      </c>
      <c r="G3821" t="str">
        <f>IF(Table3[[#This Row],[Top Parent Account]]="",Table3[[#This Row],[Account Legal Name]],Table3[[#This Row],[Top Parent Account]])</f>
        <v>Grupo Zumi Kalan</v>
      </c>
      <c r="H3821" s="1"/>
    </row>
    <row r="3822" spans="1:8" x14ac:dyDescent="0.35">
      <c r="A3822" s="21"/>
      <c r="B3822" t="s">
        <v>70</v>
      </c>
      <c r="C3822" t="s">
        <v>6</v>
      </c>
      <c r="D3822" t="s">
        <v>2114</v>
      </c>
      <c r="F3822" s="1">
        <v>45856</v>
      </c>
      <c r="G3822" t="str">
        <f>IF(Table3[[#This Row],[Top Parent Account]]="",Table3[[#This Row],[Account Legal Name]],Table3[[#This Row],[Top Parent Account]])</f>
        <v>Investigación y Hematología</v>
      </c>
      <c r="H3822" s="1"/>
    </row>
    <row r="3823" spans="1:8" x14ac:dyDescent="0.35">
      <c r="A3823" s="21"/>
      <c r="B3823" t="s">
        <v>207</v>
      </c>
      <c r="C3823" t="s">
        <v>6</v>
      </c>
      <c r="D3823" t="s">
        <v>102</v>
      </c>
      <c r="F3823" s="1">
        <v>45855</v>
      </c>
      <c r="G3823" t="str">
        <f>IF(Table3[[#This Row],[Top Parent Account]]="",Table3[[#This Row],[Account Legal Name]],Table3[[#This Row],[Top Parent Account]])</f>
        <v>Novaplástica</v>
      </c>
      <c r="H3823" s="1"/>
    </row>
    <row r="3824" spans="1:8" x14ac:dyDescent="0.35">
      <c r="A3824" s="21"/>
      <c r="B3824" t="s">
        <v>32</v>
      </c>
      <c r="C3824" t="s">
        <v>6</v>
      </c>
      <c r="D3824" t="s">
        <v>90</v>
      </c>
      <c r="F3824" s="1">
        <v>45855</v>
      </c>
      <c r="G3824" t="str">
        <f>IF(Table3[[#This Row],[Top Parent Account]]="",Table3[[#This Row],[Account Legal Name]],Table3[[#This Row],[Top Parent Account]])</f>
        <v>Plesa Anahuac</v>
      </c>
      <c r="H3824" s="1"/>
    </row>
    <row r="3825" spans="1:8" x14ac:dyDescent="0.35">
      <c r="A3825" s="21"/>
      <c r="B3825" t="s">
        <v>32</v>
      </c>
      <c r="C3825" t="s">
        <v>6</v>
      </c>
      <c r="D3825" t="s">
        <v>2904</v>
      </c>
      <c r="F3825" s="1">
        <v>45855</v>
      </c>
      <c r="G3825" t="str">
        <f>IF(Table3[[#This Row],[Top Parent Account]]="",Table3[[#This Row],[Account Legal Name]],Table3[[#This Row],[Top Parent Account]])</f>
        <v>Plensa</v>
      </c>
      <c r="H3825" s="1"/>
    </row>
    <row r="3826" spans="1:8" x14ac:dyDescent="0.35">
      <c r="A3826" s="21"/>
      <c r="B3826" t="s">
        <v>925</v>
      </c>
      <c r="C3826" t="s">
        <v>6</v>
      </c>
      <c r="D3826" t="s">
        <v>2717</v>
      </c>
      <c r="F3826" s="1">
        <v>45855</v>
      </c>
      <c r="G3826" t="str">
        <f>IF(Table3[[#This Row],[Top Parent Account]]="",Table3[[#This Row],[Account Legal Name]],Table3[[#This Row],[Top Parent Account]])</f>
        <v>Alvaro Curiel Villarreal</v>
      </c>
      <c r="H3826" s="1"/>
    </row>
    <row r="3827" spans="1:8" x14ac:dyDescent="0.35">
      <c r="A3827" s="21"/>
      <c r="B3827" t="s">
        <v>26</v>
      </c>
      <c r="C3827" t="s">
        <v>6</v>
      </c>
      <c r="D3827" t="s">
        <v>497</v>
      </c>
      <c r="F3827" s="1">
        <v>45855</v>
      </c>
      <c r="G3827" t="str">
        <f>IF(Table3[[#This Row],[Top Parent Account]]="",Table3[[#This Row],[Account Legal Name]],Table3[[#This Row],[Top Parent Account]])</f>
        <v>Servicios Troncalizados</v>
      </c>
      <c r="H3827" s="1"/>
    </row>
    <row r="3828" spans="1:8" x14ac:dyDescent="0.35">
      <c r="A3828" s="21"/>
      <c r="B3828" t="s">
        <v>8</v>
      </c>
      <c r="C3828" t="s">
        <v>6</v>
      </c>
      <c r="D3828" t="s">
        <v>2826</v>
      </c>
      <c r="F3828" s="1">
        <v>45855</v>
      </c>
      <c r="G3828" t="str">
        <f>IF(Table3[[#This Row],[Top Parent Account]]="",Table3[[#This Row],[Account Legal Name]],Table3[[#This Row],[Top Parent Account]])</f>
        <v>MUTUALIDAD DE PORCICULTORES ASOCIADOS</v>
      </c>
      <c r="H3828" s="1"/>
    </row>
    <row r="3829" spans="1:8" x14ac:dyDescent="0.35">
      <c r="A3829" s="21"/>
      <c r="B3829" t="s">
        <v>925</v>
      </c>
      <c r="C3829" t="s">
        <v>6</v>
      </c>
      <c r="D3829" t="s">
        <v>1139</v>
      </c>
      <c r="F3829" s="1">
        <v>45855</v>
      </c>
      <c r="G3829" t="str">
        <f>IF(Table3[[#This Row],[Top Parent Account]]="",Table3[[#This Row],[Account Legal Name]],Table3[[#This Row],[Top Parent Account]])</f>
        <v>Doctoralia México</v>
      </c>
      <c r="H3829" s="1"/>
    </row>
    <row r="3830" spans="1:8" x14ac:dyDescent="0.35">
      <c r="A3830" s="21"/>
      <c r="B3830" t="s">
        <v>37</v>
      </c>
      <c r="C3830" t="s">
        <v>6</v>
      </c>
      <c r="D3830" t="s">
        <v>2779</v>
      </c>
      <c r="F3830" s="1">
        <v>45855</v>
      </c>
      <c r="G3830" t="str">
        <f>IF(Table3[[#This Row],[Top Parent Account]]="",Table3[[#This Row],[Account Legal Name]],Table3[[#This Row],[Top Parent Account]])</f>
        <v>Obras e Infraestructura del Noroeste</v>
      </c>
      <c r="H3830" s="1"/>
    </row>
    <row r="3831" spans="1:8" x14ac:dyDescent="0.35">
      <c r="A3831" s="21"/>
      <c r="B3831" t="s">
        <v>70</v>
      </c>
      <c r="C3831" t="s">
        <v>6</v>
      </c>
      <c r="D3831" t="s">
        <v>2839</v>
      </c>
      <c r="E3831" t="s">
        <v>2840</v>
      </c>
      <c r="F3831" s="1">
        <v>45855</v>
      </c>
      <c r="G3831" t="str">
        <f>IF(Table3[[#This Row],[Top Parent Account]]="",Table3[[#This Row],[Account Legal Name]],Table3[[#This Row],[Top Parent Account]])</f>
        <v>Hospital Sedna</v>
      </c>
      <c r="H3831" s="1"/>
    </row>
    <row r="3832" spans="1:8" x14ac:dyDescent="0.35">
      <c r="A3832" s="21"/>
      <c r="B3832" t="s">
        <v>589</v>
      </c>
      <c r="C3832" t="s">
        <v>6</v>
      </c>
      <c r="D3832" t="s">
        <v>2780</v>
      </c>
      <c r="F3832" s="1">
        <v>45855</v>
      </c>
      <c r="G3832" t="str">
        <f>IF(Table3[[#This Row],[Top Parent Account]]="",Table3[[#This Row],[Account Legal Name]],Table3[[#This Row],[Top Parent Account]])</f>
        <v>COMERCIAL FLORESCA</v>
      </c>
      <c r="H3832" s="1"/>
    </row>
    <row r="3833" spans="1:8" x14ac:dyDescent="0.35">
      <c r="A3833" s="21"/>
      <c r="B3833" t="s">
        <v>375</v>
      </c>
      <c r="C3833" t="s">
        <v>6</v>
      </c>
      <c r="D3833" t="s">
        <v>1016</v>
      </c>
      <c r="F3833" s="1">
        <v>45855</v>
      </c>
      <c r="G3833" t="str">
        <f>IF(Table3[[#This Row],[Top Parent Account]]="",Table3[[#This Row],[Account Legal Name]],Table3[[#This Row],[Top Parent Account]])</f>
        <v>Celupal Internacional</v>
      </c>
      <c r="H3833" s="1"/>
    </row>
    <row r="3834" spans="1:8" x14ac:dyDescent="0.35">
      <c r="A3834" s="21"/>
      <c r="B3834" t="s">
        <v>969</v>
      </c>
      <c r="C3834" t="s">
        <v>6</v>
      </c>
      <c r="D3834" t="s">
        <v>591</v>
      </c>
      <c r="F3834" s="1">
        <v>45855</v>
      </c>
      <c r="G3834" t="str">
        <f>IF(Table3[[#This Row],[Top Parent Account]]="",Table3[[#This Row],[Account Legal Name]],Table3[[#This Row],[Top Parent Account]])</f>
        <v>MEXIPC</v>
      </c>
      <c r="H3834" s="1"/>
    </row>
    <row r="3835" spans="1:8" x14ac:dyDescent="0.35">
      <c r="A3835" s="21"/>
      <c r="B3835" t="s">
        <v>2693</v>
      </c>
      <c r="C3835" t="s">
        <v>6</v>
      </c>
      <c r="D3835" t="s">
        <v>2905</v>
      </c>
      <c r="F3835" s="1">
        <v>45855</v>
      </c>
      <c r="G3835" t="str">
        <f>IF(Table3[[#This Row],[Top Parent Account]]="",Table3[[#This Row],[Account Legal Name]],Table3[[#This Row],[Top Parent Account]])</f>
        <v>EUROMAQUINAS HERRAMIENTAS</v>
      </c>
      <c r="H3835" s="1"/>
    </row>
    <row r="3836" spans="1:8" x14ac:dyDescent="0.35">
      <c r="A3836" s="21"/>
      <c r="B3836" t="s">
        <v>969</v>
      </c>
      <c r="C3836" t="s">
        <v>6</v>
      </c>
      <c r="D3836" t="s">
        <v>2841</v>
      </c>
      <c r="F3836" s="1">
        <v>45855</v>
      </c>
      <c r="G3836" t="str">
        <f>IF(Table3[[#This Row],[Top Parent Account]]="",Table3[[#This Row],[Account Legal Name]],Table3[[#This Row],[Top Parent Account]])</f>
        <v>DICLINSA</v>
      </c>
      <c r="H3836" s="1"/>
    </row>
    <row r="3837" spans="1:8" x14ac:dyDescent="0.35">
      <c r="A3837" s="21"/>
      <c r="B3837" t="s">
        <v>21</v>
      </c>
      <c r="C3837" t="s">
        <v>6</v>
      </c>
      <c r="D3837" t="s">
        <v>2781</v>
      </c>
      <c r="F3837" s="1">
        <v>45855</v>
      </c>
      <c r="G3837" t="str">
        <f>IF(Table3[[#This Row],[Top Parent Account]]="",Table3[[#This Row],[Account Legal Name]],Table3[[#This Row],[Top Parent Account]])</f>
        <v>LOGISTICA DE CARGA VAR</v>
      </c>
      <c r="H3837" s="1"/>
    </row>
    <row r="3838" spans="1:8" x14ac:dyDescent="0.35">
      <c r="A3838" s="21"/>
      <c r="B3838" t="s">
        <v>11</v>
      </c>
      <c r="C3838" t="s">
        <v>6</v>
      </c>
      <c r="D3838" t="s">
        <v>395</v>
      </c>
      <c r="F3838" s="1">
        <v>45855</v>
      </c>
      <c r="G3838" t="str">
        <f>IF(Table3[[#This Row],[Top Parent Account]]="",Table3[[#This Row],[Account Legal Name]],Table3[[#This Row],[Top Parent Account]])</f>
        <v>EXTRUSIONES NACIONALES VESTA</v>
      </c>
      <c r="H3838" s="1"/>
    </row>
    <row r="3839" spans="1:8" x14ac:dyDescent="0.35">
      <c r="A3839" s="21"/>
      <c r="B3839" t="s">
        <v>375</v>
      </c>
      <c r="C3839" t="s">
        <v>6</v>
      </c>
      <c r="D3839" t="s">
        <v>1231</v>
      </c>
      <c r="F3839" s="1">
        <v>45855</v>
      </c>
      <c r="G3839" t="str">
        <f>IF(Table3[[#This Row],[Top Parent Account]]="",Table3[[#This Row],[Account Legal Name]],Table3[[#This Row],[Top Parent Account]])</f>
        <v>Distribuidora Springhouse</v>
      </c>
      <c r="H3839" s="1"/>
    </row>
    <row r="3840" spans="1:8" x14ac:dyDescent="0.35">
      <c r="A3840" s="21"/>
      <c r="B3840" t="s">
        <v>14</v>
      </c>
      <c r="C3840" t="s">
        <v>6</v>
      </c>
      <c r="D3840" t="s">
        <v>2285</v>
      </c>
      <c r="F3840" s="1">
        <v>45855</v>
      </c>
      <c r="G3840" t="str">
        <f>IF(Table3[[#This Row],[Top Parent Account]]="",Table3[[#This Row],[Account Legal Name]],Table3[[#This Row],[Top Parent Account]])</f>
        <v>Maquiladora Gráfica Mexicana</v>
      </c>
      <c r="H3840" s="1"/>
    </row>
    <row r="3841" spans="1:8" x14ac:dyDescent="0.35">
      <c r="A3841" s="21"/>
      <c r="B3841" t="s">
        <v>70</v>
      </c>
      <c r="C3841" t="s">
        <v>6</v>
      </c>
      <c r="D3841" t="s">
        <v>1307</v>
      </c>
      <c r="F3841" s="1">
        <v>45855</v>
      </c>
      <c r="G3841" t="str">
        <f>IF(Table3[[#This Row],[Top Parent Account]]="",Table3[[#This Row],[Account Legal Name]],Table3[[#This Row],[Top Parent Account]])</f>
        <v>Centro Médico de Especialidades de Ciudad Juarez</v>
      </c>
      <c r="H3841" s="1"/>
    </row>
    <row r="3842" spans="1:8" x14ac:dyDescent="0.35">
      <c r="A3842" s="21"/>
      <c r="B3842" t="s">
        <v>32</v>
      </c>
      <c r="C3842" t="s">
        <v>6</v>
      </c>
      <c r="D3842" t="s">
        <v>953</v>
      </c>
      <c r="F3842" s="1">
        <v>45855</v>
      </c>
      <c r="G3842" t="str">
        <f>IF(Table3[[#This Row],[Top Parent Account]]="",Table3[[#This Row],[Account Legal Name]],Table3[[#This Row],[Top Parent Account]])</f>
        <v>Kensa Logistics México</v>
      </c>
      <c r="H3842" s="1"/>
    </row>
    <row r="3843" spans="1:8" x14ac:dyDescent="0.35">
      <c r="A3843" s="21"/>
      <c r="B3843" t="s">
        <v>38</v>
      </c>
      <c r="C3843" t="s">
        <v>6</v>
      </c>
      <c r="D3843" t="s">
        <v>354</v>
      </c>
      <c r="F3843" s="1">
        <v>45855</v>
      </c>
      <c r="G3843" t="str">
        <f>IF(Table3[[#This Row],[Top Parent Account]]="",Table3[[#This Row],[Account Legal Name]],Table3[[#This Row],[Top Parent Account]])</f>
        <v>Horticola Cimarron</v>
      </c>
      <c r="H3843" s="1"/>
    </row>
    <row r="3844" spans="1:8" x14ac:dyDescent="0.35">
      <c r="A3844" s="21"/>
      <c r="B3844" t="s">
        <v>1131</v>
      </c>
      <c r="C3844" t="s">
        <v>6</v>
      </c>
      <c r="D3844" t="s">
        <v>2782</v>
      </c>
      <c r="F3844" s="1">
        <v>45855</v>
      </c>
      <c r="G3844" t="str">
        <f>IF(Table3[[#This Row],[Top Parent Account]]="",Table3[[#This Row],[Account Legal Name]],Table3[[#This Row],[Top Parent Account]])</f>
        <v>Wingman</v>
      </c>
      <c r="H3844" s="1"/>
    </row>
    <row r="3845" spans="1:8" x14ac:dyDescent="0.35">
      <c r="A3845" s="21"/>
      <c r="B3845" t="s">
        <v>21</v>
      </c>
      <c r="C3845" t="s">
        <v>6</v>
      </c>
      <c r="D3845" t="s">
        <v>2842</v>
      </c>
      <c r="F3845" s="1">
        <v>45855</v>
      </c>
      <c r="G3845" t="str">
        <f>IF(Table3[[#This Row],[Top Parent Account]]="",Table3[[#This Row],[Account Legal Name]],Table3[[#This Row],[Top Parent Account]])</f>
        <v>Rubber Logistic</v>
      </c>
      <c r="H3845" s="1"/>
    </row>
    <row r="3846" spans="1:8" x14ac:dyDescent="0.35">
      <c r="A3846" s="21"/>
      <c r="B3846" t="s">
        <v>121</v>
      </c>
      <c r="C3846" t="s">
        <v>6</v>
      </c>
      <c r="D3846" t="s">
        <v>2843</v>
      </c>
      <c r="F3846" s="1">
        <v>45855</v>
      </c>
      <c r="G3846" t="str">
        <f>IF(Table3[[#This Row],[Top Parent Account]]="",Table3[[#This Row],[Account Legal Name]],Table3[[#This Row],[Top Parent Account]])</f>
        <v>PRODUCTOS LACTEOS Y SERVICIOS LOGISTICOS LUCA</v>
      </c>
      <c r="H3846" s="1"/>
    </row>
    <row r="3847" spans="1:8" x14ac:dyDescent="0.35">
      <c r="A3847" s="21"/>
      <c r="B3847" t="s">
        <v>10</v>
      </c>
      <c r="C3847" t="s">
        <v>6</v>
      </c>
      <c r="D3847" t="s">
        <v>3557</v>
      </c>
      <c r="F3847" s="1">
        <v>45855</v>
      </c>
      <c r="G3847" t="str">
        <f>IF(Table3[[#This Row],[Top Parent Account]]="",Table3[[#This Row],[Account Legal Name]],Table3[[#This Row],[Top Parent Account]])</f>
        <v>Corrugados Especializados Del Bajío</v>
      </c>
      <c r="H3847" s="1"/>
    </row>
    <row r="3848" spans="1:8" x14ac:dyDescent="0.35">
      <c r="A3848" s="21"/>
      <c r="B3848" t="s">
        <v>169</v>
      </c>
      <c r="C3848" t="s">
        <v>6</v>
      </c>
      <c r="D3848" t="s">
        <v>2785</v>
      </c>
      <c r="F3848" s="1">
        <v>45855</v>
      </c>
      <c r="G3848" t="str">
        <f>IF(Table3[[#This Row],[Top Parent Account]]="",Table3[[#This Row],[Account Legal Name]],Table3[[#This Row],[Top Parent Account]])</f>
        <v>SC SERVICIOS DE CIMENTACION PROFUNDA</v>
      </c>
      <c r="H3848" s="1"/>
    </row>
    <row r="3849" spans="1:8" x14ac:dyDescent="0.35">
      <c r="A3849" s="21"/>
      <c r="B3849" t="s">
        <v>172</v>
      </c>
      <c r="C3849" t="s">
        <v>6</v>
      </c>
      <c r="D3849" t="s">
        <v>660</v>
      </c>
      <c r="F3849" s="1">
        <v>45855</v>
      </c>
      <c r="G3849" t="str">
        <f>IF(Table3[[#This Row],[Top Parent Account]]="",Table3[[#This Row],[Account Legal Name]],Table3[[#This Row],[Top Parent Account]])</f>
        <v>Sociedad Ecologica Mexicana del Norte</v>
      </c>
      <c r="H3849" s="1"/>
    </row>
    <row r="3850" spans="1:8" x14ac:dyDescent="0.35">
      <c r="A3850" s="21"/>
      <c r="B3850" t="s">
        <v>970</v>
      </c>
      <c r="C3850" t="s">
        <v>6</v>
      </c>
      <c r="D3850" t="s">
        <v>1634</v>
      </c>
      <c r="F3850" s="1">
        <v>45855</v>
      </c>
      <c r="G3850" t="str">
        <f>IF(Table3[[#This Row],[Top Parent Account]]="",Table3[[#This Row],[Account Legal Name]],Table3[[#This Row],[Top Parent Account]])</f>
        <v>Belleza y Vanidad</v>
      </c>
      <c r="H3850" s="1"/>
    </row>
    <row r="3851" spans="1:8" x14ac:dyDescent="0.35">
      <c r="A3851" s="21"/>
      <c r="B3851" t="s">
        <v>208</v>
      </c>
      <c r="C3851" t="s">
        <v>6</v>
      </c>
      <c r="D3851" t="s">
        <v>2783</v>
      </c>
      <c r="F3851" s="1">
        <v>45855</v>
      </c>
      <c r="G3851" t="str">
        <f>IF(Table3[[#This Row],[Top Parent Account]]="",Table3[[#This Row],[Account Legal Name]],Table3[[#This Row],[Top Parent Account]])</f>
        <v>PLASTI ENVASES ECOLÓGICOS</v>
      </c>
      <c r="H3851" s="1"/>
    </row>
    <row r="3852" spans="1:8" x14ac:dyDescent="0.35">
      <c r="A3852" s="21"/>
      <c r="B3852" t="s">
        <v>820</v>
      </c>
      <c r="C3852" t="s">
        <v>6</v>
      </c>
      <c r="D3852" t="s">
        <v>2784</v>
      </c>
      <c r="F3852" s="1">
        <v>45855</v>
      </c>
      <c r="G3852" t="str">
        <f>IF(Table3[[#This Row],[Top Parent Account]]="",Table3[[#This Row],[Account Legal Name]],Table3[[#This Row],[Top Parent Account]])</f>
        <v>Grupo Mayamel</v>
      </c>
      <c r="H3852" s="1"/>
    </row>
    <row r="3853" spans="1:8" x14ac:dyDescent="0.35">
      <c r="A3853" s="21"/>
      <c r="B3853" t="s">
        <v>23</v>
      </c>
      <c r="C3853" t="s">
        <v>6</v>
      </c>
      <c r="D3853" t="s">
        <v>2786</v>
      </c>
      <c r="F3853" s="1">
        <v>45855</v>
      </c>
      <c r="G3853" t="str">
        <f>IF(Table3[[#This Row],[Top Parent Account]]="",Table3[[#This Row],[Account Legal Name]],Table3[[#This Row],[Top Parent Account]])</f>
        <v>INNOVA CONCRETO</v>
      </c>
      <c r="H3853" s="1"/>
    </row>
    <row r="3854" spans="1:8" x14ac:dyDescent="0.35">
      <c r="A3854" s="21"/>
      <c r="B3854" t="s">
        <v>70</v>
      </c>
      <c r="C3854" t="s">
        <v>6</v>
      </c>
      <c r="D3854" t="s">
        <v>222</v>
      </c>
      <c r="F3854" s="1">
        <v>45855</v>
      </c>
      <c r="G3854" t="str">
        <f>IF(Table3[[#This Row],[Top Parent Account]]="",Table3[[#This Row],[Account Legal Name]],Table3[[#This Row],[Top Parent Account]])</f>
        <v>Vensi Ventajas En Servicios Integrales</v>
      </c>
      <c r="H3854" s="1"/>
    </row>
    <row r="3855" spans="1:8" x14ac:dyDescent="0.35">
      <c r="A3855" s="21"/>
      <c r="B3855" t="s">
        <v>32</v>
      </c>
      <c r="C3855" t="s">
        <v>6</v>
      </c>
      <c r="D3855" t="s">
        <v>954</v>
      </c>
      <c r="F3855" s="1">
        <v>45855</v>
      </c>
      <c r="G3855" t="str">
        <f>IF(Table3[[#This Row],[Top Parent Account]]="",Table3[[#This Row],[Account Legal Name]],Table3[[#This Row],[Top Parent Account]])</f>
        <v>ACCIONA INFRAESTRUCTURAS MÉXICO</v>
      </c>
      <c r="H3855" s="1"/>
    </row>
    <row r="3856" spans="1:8" x14ac:dyDescent="0.35">
      <c r="A3856" s="21"/>
      <c r="B3856" t="s">
        <v>56</v>
      </c>
      <c r="C3856" t="s">
        <v>6</v>
      </c>
      <c r="D3856" t="s">
        <v>176</v>
      </c>
      <c r="F3856" s="1">
        <v>45855</v>
      </c>
      <c r="G3856" t="str">
        <f>IF(Table3[[#This Row],[Top Parent Account]]="",Table3[[#This Row],[Account Legal Name]],Table3[[#This Row],[Top Parent Account]])</f>
        <v>Plazteca</v>
      </c>
      <c r="H3856" s="1"/>
    </row>
    <row r="3857" spans="1:8" x14ac:dyDescent="0.35">
      <c r="A3857" s="21"/>
      <c r="B3857" t="s">
        <v>38</v>
      </c>
      <c r="C3857" t="s">
        <v>6</v>
      </c>
      <c r="D3857" t="s">
        <v>506</v>
      </c>
      <c r="F3857" s="1">
        <v>45855</v>
      </c>
      <c r="G3857" t="str">
        <f>IF(Table3[[#This Row],[Top Parent Account]]="",Table3[[#This Row],[Account Legal Name]],Table3[[#This Row],[Top Parent Account]])</f>
        <v>Grupo Acerero</v>
      </c>
      <c r="H3857" s="1"/>
    </row>
    <row r="3858" spans="1:8" x14ac:dyDescent="0.35">
      <c r="A3858" s="21"/>
      <c r="B3858" t="s">
        <v>590</v>
      </c>
      <c r="C3858" t="s">
        <v>6</v>
      </c>
      <c r="D3858" t="s">
        <v>2844</v>
      </c>
      <c r="E3858" t="s">
        <v>3438</v>
      </c>
      <c r="F3858" s="1">
        <v>45855</v>
      </c>
      <c r="G3858" t="str">
        <f>IF(Table3[[#This Row],[Top Parent Account]]="",Table3[[#This Row],[Account Legal Name]],Table3[[#This Row],[Top Parent Account]])</f>
        <v>Assa Abloy México</v>
      </c>
      <c r="H3858" s="1"/>
    </row>
    <row r="3859" spans="1:8" x14ac:dyDescent="0.35">
      <c r="A3859" s="21"/>
      <c r="B3859" t="s">
        <v>2345</v>
      </c>
      <c r="C3859" t="s">
        <v>6</v>
      </c>
      <c r="D3859" t="s">
        <v>2787</v>
      </c>
      <c r="E3859" t="s">
        <v>822</v>
      </c>
      <c r="F3859" s="1">
        <v>45855</v>
      </c>
      <c r="G3859" t="str">
        <f>IF(Table3[[#This Row],[Top Parent Account]]="",Table3[[#This Row],[Account Legal Name]],Table3[[#This Row],[Top Parent Account]])</f>
        <v>Basurama</v>
      </c>
      <c r="H3859" s="1"/>
    </row>
    <row r="3860" spans="1:8" x14ac:dyDescent="0.35">
      <c r="A3860" s="21"/>
      <c r="B3860" t="s">
        <v>11</v>
      </c>
      <c r="C3860" t="s">
        <v>6</v>
      </c>
      <c r="D3860" t="s">
        <v>2789</v>
      </c>
      <c r="F3860" s="1">
        <v>45855</v>
      </c>
      <c r="G3860" t="str">
        <f>IF(Table3[[#This Row],[Top Parent Account]]="",Table3[[#This Row],[Account Legal Name]],Table3[[#This Row],[Top Parent Account]])</f>
        <v>Moléculas Finas de México</v>
      </c>
      <c r="H3860" s="1"/>
    </row>
    <row r="3861" spans="1:8" x14ac:dyDescent="0.35">
      <c r="A3861" s="21"/>
      <c r="B3861" t="s">
        <v>2658</v>
      </c>
      <c r="C3861" t="s">
        <v>6</v>
      </c>
      <c r="D3861" t="s">
        <v>2827</v>
      </c>
      <c r="F3861" s="1">
        <v>45855</v>
      </c>
      <c r="G3861" t="str">
        <f>IF(Table3[[#This Row],[Top Parent Account]]="",Table3[[#This Row],[Account Legal Name]],Table3[[#This Row],[Top Parent Account]])</f>
        <v>Unitrans</v>
      </c>
      <c r="H3861" s="1"/>
    </row>
    <row r="3862" spans="1:8" x14ac:dyDescent="0.35">
      <c r="A3862" s="21"/>
      <c r="B3862" t="s">
        <v>925</v>
      </c>
      <c r="C3862" t="s">
        <v>6</v>
      </c>
      <c r="D3862" t="s">
        <v>2788</v>
      </c>
      <c r="F3862" s="1">
        <v>45855</v>
      </c>
      <c r="G3862" t="str">
        <f>IF(Table3[[#This Row],[Top Parent Account]]="",Table3[[#This Row],[Account Legal Name]],Table3[[#This Row],[Top Parent Account]])</f>
        <v>DSM RED DE ESTRATEGIAS Y SERVICIOS EMPRESARIALES</v>
      </c>
      <c r="H3862" s="1"/>
    </row>
    <row r="3863" spans="1:8" x14ac:dyDescent="0.35">
      <c r="A3863" s="21"/>
      <c r="B3863" t="s">
        <v>84</v>
      </c>
      <c r="C3863" t="s">
        <v>55</v>
      </c>
      <c r="D3863" t="s">
        <v>2791</v>
      </c>
      <c r="F3863" s="1">
        <v>45855</v>
      </c>
      <c r="G3863" t="str">
        <f>IF(Table3[[#This Row],[Top Parent Account]]="",Table3[[#This Row],[Account Legal Name]],Table3[[#This Row],[Top Parent Account]])</f>
        <v>CB METAL FAB</v>
      </c>
      <c r="H3863" s="1"/>
    </row>
    <row r="3864" spans="1:8" x14ac:dyDescent="0.35">
      <c r="A3864" s="21"/>
      <c r="B3864" t="s">
        <v>84</v>
      </c>
      <c r="C3864" t="s">
        <v>55</v>
      </c>
      <c r="D3864" t="s">
        <v>2792</v>
      </c>
      <c r="F3864" s="1">
        <v>45855</v>
      </c>
      <c r="G3864" t="str">
        <f>IF(Table3[[#This Row],[Top Parent Account]]="",Table3[[#This Row],[Account Legal Name]],Table3[[#This Row],[Top Parent Account]])</f>
        <v>grupo bill pack</v>
      </c>
      <c r="H3864" s="1"/>
    </row>
    <row r="3865" spans="1:8" x14ac:dyDescent="0.35">
      <c r="A3865" s="21"/>
      <c r="B3865" t="s">
        <v>84</v>
      </c>
      <c r="C3865" t="s">
        <v>41</v>
      </c>
      <c r="D3865" t="s">
        <v>2793</v>
      </c>
      <c r="F3865" s="1">
        <v>45855</v>
      </c>
      <c r="G3865" t="str">
        <f>IF(Table3[[#This Row],[Top Parent Account]]="",Table3[[#This Row],[Account Legal Name]],Table3[[#This Row],[Top Parent Account]])</f>
        <v>Productos Lirio</v>
      </c>
      <c r="H3865" s="1"/>
    </row>
    <row r="3866" spans="1:8" x14ac:dyDescent="0.35">
      <c r="A3866" s="21"/>
      <c r="B3866" t="s">
        <v>24</v>
      </c>
      <c r="C3866" t="s">
        <v>6</v>
      </c>
      <c r="D3866" t="s">
        <v>2845</v>
      </c>
      <c r="F3866" s="1">
        <v>45855</v>
      </c>
      <c r="G3866" t="str">
        <f>IF(Table3[[#This Row],[Top Parent Account]]="",Table3[[#This Row],[Account Legal Name]],Table3[[#This Row],[Top Parent Account]])</f>
        <v>Cartographic</v>
      </c>
      <c r="H3866" s="1"/>
    </row>
    <row r="3867" spans="1:8" x14ac:dyDescent="0.35">
      <c r="A3867" s="21"/>
      <c r="B3867" t="s">
        <v>739</v>
      </c>
      <c r="C3867" t="s">
        <v>6</v>
      </c>
      <c r="D3867" t="s">
        <v>1889</v>
      </c>
      <c r="F3867" s="1">
        <v>45855</v>
      </c>
      <c r="G3867" t="str">
        <f>IF(Table3[[#This Row],[Top Parent Account]]="",Table3[[#This Row],[Account Legal Name]],Table3[[#This Row],[Top Parent Account]])</f>
        <v>OPERADORA MARRIOTT</v>
      </c>
      <c r="H3867" s="1"/>
    </row>
    <row r="3868" spans="1:8" x14ac:dyDescent="0.35">
      <c r="A3868" s="21"/>
      <c r="B3868" t="s">
        <v>1899</v>
      </c>
      <c r="C3868" t="s">
        <v>6</v>
      </c>
      <c r="D3868" t="s">
        <v>2790</v>
      </c>
      <c r="F3868" s="1">
        <v>45855</v>
      </c>
      <c r="G3868" t="str">
        <f>IF(Table3[[#This Row],[Top Parent Account]]="",Table3[[#This Row],[Account Legal Name]],Table3[[#This Row],[Top Parent Account]])</f>
        <v>Agromod</v>
      </c>
      <c r="H3868" s="1"/>
    </row>
    <row r="3869" spans="1:8" x14ac:dyDescent="0.35">
      <c r="A3869" s="21"/>
      <c r="B3869" t="s">
        <v>1031</v>
      </c>
      <c r="C3869" t="s">
        <v>6</v>
      </c>
      <c r="D3869" t="s">
        <v>2846</v>
      </c>
      <c r="F3869" s="1">
        <v>45855</v>
      </c>
      <c r="G3869" t="str">
        <f>IF(Table3[[#This Row],[Top Parent Account]]="",Table3[[#This Row],[Account Legal Name]],Table3[[#This Row],[Top Parent Account]])</f>
        <v>Grupo Diagnostico Proa</v>
      </c>
      <c r="H3869" s="1"/>
    </row>
    <row r="3870" spans="1:8" x14ac:dyDescent="0.35">
      <c r="A3870" s="21"/>
      <c r="B3870" t="s">
        <v>32</v>
      </c>
      <c r="C3870" t="s">
        <v>6</v>
      </c>
      <c r="D3870" t="s">
        <v>812</v>
      </c>
      <c r="F3870" s="1">
        <v>45854</v>
      </c>
      <c r="G3870" t="str">
        <f>IF(Table3[[#This Row],[Top Parent Account]]="",Table3[[#This Row],[Account Legal Name]],Table3[[#This Row],[Top Parent Account]])</f>
        <v>Veolus Energia yGestion Tecnica</v>
      </c>
      <c r="H3870" s="1"/>
    </row>
    <row r="3871" spans="1:8" x14ac:dyDescent="0.35">
      <c r="A3871" s="21"/>
      <c r="B3871" t="s">
        <v>820</v>
      </c>
      <c r="C3871" t="s">
        <v>6</v>
      </c>
      <c r="D3871" t="s">
        <v>225</v>
      </c>
      <c r="E3871" t="s">
        <v>321</v>
      </c>
      <c r="F3871" s="1">
        <v>45854</v>
      </c>
      <c r="G3871" t="str">
        <f>IF(Table3[[#This Row],[Top Parent Account]]="",Table3[[#This Row],[Account Legal Name]],Table3[[#This Row],[Top Parent Account]])</f>
        <v>Conservas La Costena</v>
      </c>
      <c r="H3871" s="1"/>
    </row>
    <row r="3872" spans="1:8" x14ac:dyDescent="0.35">
      <c r="A3872" s="21"/>
      <c r="B3872" t="s">
        <v>2693</v>
      </c>
      <c r="C3872" t="s">
        <v>6</v>
      </c>
      <c r="D3872" t="s">
        <v>2794</v>
      </c>
      <c r="F3872" s="1">
        <v>45854</v>
      </c>
      <c r="G3872" t="str">
        <f>IF(Table3[[#This Row],[Top Parent Account]]="",Table3[[#This Row],[Account Legal Name]],Table3[[#This Row],[Top Parent Account]])</f>
        <v>Cirro Fulfillment México</v>
      </c>
      <c r="H3872" s="1"/>
    </row>
    <row r="3873" spans="1:8" x14ac:dyDescent="0.35">
      <c r="A3873" s="21"/>
      <c r="B3873" t="s">
        <v>70</v>
      </c>
      <c r="C3873" t="s">
        <v>6</v>
      </c>
      <c r="D3873" t="s">
        <v>1100</v>
      </c>
      <c r="E3873" t="s">
        <v>691</v>
      </c>
      <c r="F3873" s="1">
        <v>45854</v>
      </c>
      <c r="G3873" t="str">
        <f>IF(Table3[[#This Row],[Top Parent Account]]="",Table3[[#This Row],[Account Legal Name]],Table3[[#This Row],[Top Parent Account]])</f>
        <v>Medivida</v>
      </c>
      <c r="H3873" s="1"/>
    </row>
    <row r="3874" spans="1:8" x14ac:dyDescent="0.35">
      <c r="A3874" s="21"/>
      <c r="B3874" t="s">
        <v>12</v>
      </c>
      <c r="C3874" t="s">
        <v>6</v>
      </c>
      <c r="D3874" t="s">
        <v>2847</v>
      </c>
      <c r="F3874" s="1">
        <v>45854</v>
      </c>
      <c r="G3874" t="str">
        <f>IF(Table3[[#This Row],[Top Parent Account]]="",Table3[[#This Row],[Account Legal Name]],Table3[[#This Row],[Top Parent Account]])</f>
        <v>Logisitica coordinadora del golfo y el caribe</v>
      </c>
      <c r="H3874" s="1"/>
    </row>
    <row r="3875" spans="1:8" x14ac:dyDescent="0.35">
      <c r="A3875" s="21"/>
      <c r="B3875" t="s">
        <v>18</v>
      </c>
      <c r="C3875" t="s">
        <v>6</v>
      </c>
      <c r="D3875" t="s">
        <v>2795</v>
      </c>
      <c r="E3875" t="s">
        <v>1169</v>
      </c>
      <c r="F3875" s="1">
        <v>45854</v>
      </c>
      <c r="G3875" t="str">
        <f>IF(Table3[[#This Row],[Top Parent Account]]="",Table3[[#This Row],[Account Legal Name]],Table3[[#This Row],[Top Parent Account]])</f>
        <v>Servicios Especiales Martinez Chavarria García</v>
      </c>
      <c r="H3875" s="1"/>
    </row>
    <row r="3876" spans="1:8" x14ac:dyDescent="0.35">
      <c r="A3876" s="21"/>
      <c r="B3876" t="s">
        <v>932</v>
      </c>
      <c r="C3876" t="s">
        <v>1693</v>
      </c>
      <c r="D3876" t="s">
        <v>2848</v>
      </c>
      <c r="F3876" s="1">
        <v>45854</v>
      </c>
      <c r="G3876" t="str">
        <f>IF(Table3[[#This Row],[Top Parent Account]]="",Table3[[#This Row],[Account Legal Name]],Table3[[#This Row],[Top Parent Account]])</f>
        <v>Machines Warehouse</v>
      </c>
      <c r="H3876" s="1"/>
    </row>
    <row r="3877" spans="1:8" x14ac:dyDescent="0.35">
      <c r="A3877" s="21"/>
      <c r="B3877" t="s">
        <v>27</v>
      </c>
      <c r="C3877" t="s">
        <v>6</v>
      </c>
      <c r="D3877" t="s">
        <v>1292</v>
      </c>
      <c r="F3877" s="1">
        <v>45854</v>
      </c>
      <c r="G3877" t="str">
        <f>IF(Table3[[#This Row],[Top Parent Account]]="",Table3[[#This Row],[Account Legal Name]],Table3[[#This Row],[Top Parent Account]])</f>
        <v>Ng Extrusion</v>
      </c>
      <c r="H3877" s="1"/>
    </row>
    <row r="3878" spans="1:8" x14ac:dyDescent="0.35">
      <c r="A3878" s="21"/>
      <c r="B3878" t="s">
        <v>26</v>
      </c>
      <c r="C3878" t="s">
        <v>6</v>
      </c>
      <c r="D3878" t="s">
        <v>1019</v>
      </c>
      <c r="F3878" s="1">
        <v>45854</v>
      </c>
      <c r="G3878" t="str">
        <f>IF(Table3[[#This Row],[Top Parent Account]]="",Table3[[#This Row],[Account Legal Name]],Table3[[#This Row],[Top Parent Account]])</f>
        <v>Jocar Eléctrica Integral</v>
      </c>
      <c r="H3878" s="1"/>
    </row>
    <row r="3879" spans="1:8" x14ac:dyDescent="0.35">
      <c r="A3879" s="21"/>
      <c r="B3879" t="s">
        <v>1006</v>
      </c>
      <c r="C3879" t="s">
        <v>6</v>
      </c>
      <c r="D3879" t="s">
        <v>2080</v>
      </c>
      <c r="F3879" s="1">
        <v>45854</v>
      </c>
      <c r="G3879" t="str">
        <f>IF(Table3[[#This Row],[Top Parent Account]]="",Table3[[#This Row],[Account Legal Name]],Table3[[#This Row],[Top Parent Account]])</f>
        <v>Integradora de servicios UTCM</v>
      </c>
      <c r="H3879" s="1"/>
    </row>
    <row r="3880" spans="1:8" x14ac:dyDescent="0.35">
      <c r="A3880" s="21"/>
      <c r="B3880" t="s">
        <v>18</v>
      </c>
      <c r="C3880" t="s">
        <v>6</v>
      </c>
      <c r="D3880" t="s">
        <v>702</v>
      </c>
      <c r="F3880" s="1">
        <v>45854</v>
      </c>
      <c r="G3880" t="str">
        <f>IF(Table3[[#This Row],[Top Parent Account]]="",Table3[[#This Row],[Account Legal Name]],Table3[[#This Row],[Top Parent Account]])</f>
        <v>Lm Transportaciones</v>
      </c>
      <c r="H3880" s="1"/>
    </row>
    <row r="3881" spans="1:8" x14ac:dyDescent="0.35">
      <c r="A3881" s="21"/>
      <c r="B3881" t="s">
        <v>970</v>
      </c>
      <c r="C3881" t="s">
        <v>6</v>
      </c>
      <c r="D3881" t="s">
        <v>658</v>
      </c>
      <c r="F3881" s="1">
        <v>45854</v>
      </c>
      <c r="G3881" t="str">
        <f>IF(Table3[[#This Row],[Top Parent Account]]="",Table3[[#This Row],[Account Legal Name]],Table3[[#This Row],[Top Parent Account]])</f>
        <v>SUPER FLAMA</v>
      </c>
      <c r="H3881" s="1"/>
    </row>
    <row r="3882" spans="1:8" x14ac:dyDescent="0.35">
      <c r="A3882" s="21"/>
      <c r="B3882" t="s">
        <v>820</v>
      </c>
      <c r="C3882" t="s">
        <v>6</v>
      </c>
      <c r="D3882" t="s">
        <v>1233</v>
      </c>
      <c r="E3882" t="s">
        <v>741</v>
      </c>
      <c r="F3882" s="1">
        <v>45854</v>
      </c>
      <c r="G3882" t="str">
        <f>IF(Table3[[#This Row],[Top Parent Account]]="",Table3[[#This Row],[Account Legal Name]],Table3[[#This Row],[Top Parent Account]])</f>
        <v>Reto Industrial</v>
      </c>
      <c r="H3882" s="1"/>
    </row>
    <row r="3883" spans="1:8" x14ac:dyDescent="0.35">
      <c r="A3883" s="21"/>
      <c r="B3883" t="s">
        <v>925</v>
      </c>
      <c r="C3883" t="s">
        <v>6</v>
      </c>
      <c r="D3883" t="s">
        <v>2796</v>
      </c>
      <c r="F3883" s="1">
        <v>45854</v>
      </c>
      <c r="G3883" t="str">
        <f>IF(Table3[[#This Row],[Top Parent Account]]="",Table3[[#This Row],[Account Legal Name]],Table3[[#This Row],[Top Parent Account]])</f>
        <v>ESTEBAN MALDONADO</v>
      </c>
      <c r="H3883" s="1"/>
    </row>
    <row r="3884" spans="1:8" x14ac:dyDescent="0.35">
      <c r="A3884" s="21"/>
      <c r="B3884" t="s">
        <v>989</v>
      </c>
      <c r="C3884" t="s">
        <v>22</v>
      </c>
      <c r="D3884" t="s">
        <v>2797</v>
      </c>
      <c r="F3884" s="1">
        <v>45854</v>
      </c>
      <c r="G3884" t="str">
        <f>IF(Table3[[#This Row],[Top Parent Account]]="",Table3[[#This Row],[Account Legal Name]],Table3[[#This Row],[Top Parent Account]])</f>
        <v>servicios logisticos balderas cruz</v>
      </c>
      <c r="H3884" s="1"/>
    </row>
    <row r="3885" spans="1:8" x14ac:dyDescent="0.35">
      <c r="A3885" s="21"/>
      <c r="B3885" t="s">
        <v>589</v>
      </c>
      <c r="C3885" t="s">
        <v>6</v>
      </c>
      <c r="D3885" t="s">
        <v>2849</v>
      </c>
      <c r="F3885" s="1">
        <v>45854</v>
      </c>
      <c r="G3885" t="str">
        <f>IF(Table3[[#This Row],[Top Parent Account]]="",Table3[[#This Row],[Account Legal Name]],Table3[[#This Row],[Top Parent Account]])</f>
        <v>100 Silva</v>
      </c>
      <c r="H3885" s="1"/>
    </row>
    <row r="3886" spans="1:8" x14ac:dyDescent="0.35">
      <c r="A3886" s="21"/>
      <c r="B3886" t="s">
        <v>2658</v>
      </c>
      <c r="C3886" t="s">
        <v>6</v>
      </c>
      <c r="D3886" t="s">
        <v>2828</v>
      </c>
      <c r="F3886" s="1">
        <v>45854</v>
      </c>
      <c r="G3886" t="str">
        <f>IF(Table3[[#This Row],[Top Parent Account]]="",Table3[[#This Row],[Account Legal Name]],Table3[[#This Row],[Top Parent Account]])</f>
        <v>IACNA MEXICO</v>
      </c>
      <c r="H3886" s="1"/>
    </row>
    <row r="3887" spans="1:8" x14ac:dyDescent="0.35">
      <c r="A3887" s="21"/>
      <c r="B3887" t="s">
        <v>1031</v>
      </c>
      <c r="C3887" t="s">
        <v>6</v>
      </c>
      <c r="D3887" t="s">
        <v>1345</v>
      </c>
      <c r="F3887" s="1">
        <v>45854</v>
      </c>
      <c r="G3887" t="str">
        <f>IF(Table3[[#This Row],[Top Parent Account]]="",Table3[[#This Row],[Account Legal Name]],Table3[[#This Row],[Top Parent Account]])</f>
        <v>Productora y Comercializadora Internacional Mexicana</v>
      </c>
      <c r="H3887" s="1"/>
    </row>
    <row r="3888" spans="1:8" x14ac:dyDescent="0.35">
      <c r="A3888" s="21"/>
      <c r="B3888" t="s">
        <v>932</v>
      </c>
      <c r="C3888" t="s">
        <v>2384</v>
      </c>
      <c r="D3888" t="s">
        <v>1009</v>
      </c>
      <c r="F3888" s="1">
        <v>45854</v>
      </c>
      <c r="G3888" t="str">
        <f>IF(Table3[[#This Row],[Top Parent Account]]="",Table3[[#This Row],[Account Legal Name]],Table3[[#This Row],[Top Parent Account]])</f>
        <v>Sodequim</v>
      </c>
      <c r="H3888" s="1"/>
    </row>
    <row r="3889" spans="1:8" x14ac:dyDescent="0.35">
      <c r="A3889" s="21"/>
      <c r="B3889" t="s">
        <v>207</v>
      </c>
      <c r="C3889" t="s">
        <v>6</v>
      </c>
      <c r="D3889" t="s">
        <v>2799</v>
      </c>
      <c r="F3889" s="1">
        <v>45854</v>
      </c>
      <c r="G3889" t="str">
        <f>IF(Table3[[#This Row],[Top Parent Account]]="",Table3[[#This Row],[Account Legal Name]],Table3[[#This Row],[Top Parent Account]])</f>
        <v>Shape pack</v>
      </c>
      <c r="H3889" s="1"/>
    </row>
    <row r="3890" spans="1:8" x14ac:dyDescent="0.35">
      <c r="A3890" s="21"/>
      <c r="B3890" t="s">
        <v>37</v>
      </c>
      <c r="C3890" t="s">
        <v>6</v>
      </c>
      <c r="D3890" t="s">
        <v>2800</v>
      </c>
      <c r="F3890" s="1">
        <v>45854</v>
      </c>
      <c r="G3890" t="str">
        <f>IF(Table3[[#This Row],[Top Parent Account]]="",Table3[[#This Row],[Account Legal Name]],Table3[[#This Row],[Top Parent Account]])</f>
        <v>Clave manufacturing de California</v>
      </c>
      <c r="H3890" s="1"/>
    </row>
    <row r="3891" spans="1:8" x14ac:dyDescent="0.35">
      <c r="A3891" s="21"/>
      <c r="B3891" t="s">
        <v>280</v>
      </c>
      <c r="C3891" t="s">
        <v>6</v>
      </c>
      <c r="D3891" t="s">
        <v>2850</v>
      </c>
      <c r="F3891" s="1">
        <v>45854</v>
      </c>
      <c r="G3891" t="str">
        <f>IF(Table3[[#This Row],[Top Parent Account]]="",Table3[[#This Row],[Account Legal Name]],Table3[[#This Row],[Top Parent Account]])</f>
        <v>Fertilizantes Gómez</v>
      </c>
      <c r="H3891" s="1"/>
    </row>
    <row r="3892" spans="1:8" x14ac:dyDescent="0.35">
      <c r="A3892" s="21"/>
      <c r="B3892" t="s">
        <v>26</v>
      </c>
      <c r="C3892" t="s">
        <v>6</v>
      </c>
      <c r="D3892" t="s">
        <v>2798</v>
      </c>
      <c r="F3892" s="1">
        <v>45854</v>
      </c>
      <c r="G3892" t="str">
        <f>IF(Table3[[#This Row],[Top Parent Account]]="",Table3[[#This Row],[Account Legal Name]],Table3[[#This Row],[Top Parent Account]])</f>
        <v>ZURIAK TEX</v>
      </c>
      <c r="H3892" s="1"/>
    </row>
    <row r="3893" spans="1:8" x14ac:dyDescent="0.35">
      <c r="A3893" s="21"/>
      <c r="B3893" t="s">
        <v>820</v>
      </c>
      <c r="C3893" t="s">
        <v>6</v>
      </c>
      <c r="D3893" t="s">
        <v>554</v>
      </c>
      <c r="F3893" s="1">
        <v>45854</v>
      </c>
      <c r="G3893" t="str">
        <f>IF(Table3[[#This Row],[Top Parent Account]]="",Table3[[#This Row],[Account Legal Name]],Table3[[#This Row],[Top Parent Account]])</f>
        <v>Atco México</v>
      </c>
      <c r="H3893" s="1"/>
    </row>
    <row r="3894" spans="1:8" x14ac:dyDescent="0.35">
      <c r="A3894" s="21"/>
      <c r="B3894" t="s">
        <v>43</v>
      </c>
      <c r="C3894" t="s">
        <v>6</v>
      </c>
      <c r="D3894" t="s">
        <v>2801</v>
      </c>
      <c r="F3894" s="1">
        <v>45854</v>
      </c>
      <c r="G3894" t="str">
        <f>IF(Table3[[#This Row],[Top Parent Account]]="",Table3[[#This Row],[Account Legal Name]],Table3[[#This Row],[Top Parent Account]])</f>
        <v>Internacional Farmaceutica</v>
      </c>
      <c r="H3894" s="1"/>
    </row>
    <row r="3895" spans="1:8" x14ac:dyDescent="0.35">
      <c r="A3895" s="21"/>
      <c r="B3895" t="s">
        <v>1511</v>
      </c>
      <c r="C3895" t="s">
        <v>6</v>
      </c>
      <c r="D3895" t="s">
        <v>965</v>
      </c>
      <c r="F3895" s="1">
        <v>45854</v>
      </c>
      <c r="G3895" t="str">
        <f>IF(Table3[[#This Row],[Top Parent Account]]="",Table3[[#This Row],[Account Legal Name]],Table3[[#This Row],[Top Parent Account]])</f>
        <v>Tagar Maquinaria</v>
      </c>
      <c r="H3895" s="1"/>
    </row>
    <row r="3896" spans="1:8" x14ac:dyDescent="0.35">
      <c r="A3896" s="21"/>
      <c r="B3896" t="s">
        <v>32</v>
      </c>
      <c r="C3896" t="s">
        <v>6</v>
      </c>
      <c r="D3896" t="s">
        <v>2906</v>
      </c>
      <c r="F3896" s="1">
        <v>45854</v>
      </c>
      <c r="G3896" t="str">
        <f>IF(Table3[[#This Row],[Top Parent Account]]="",Table3[[#This Row],[Account Legal Name]],Table3[[#This Row],[Top Parent Account]])</f>
        <v>Industrial Fluid Power</v>
      </c>
      <c r="H3896" s="1"/>
    </row>
    <row r="3897" spans="1:8" x14ac:dyDescent="0.35">
      <c r="A3897" s="21"/>
      <c r="B3897" t="s">
        <v>26</v>
      </c>
      <c r="C3897" t="s">
        <v>6</v>
      </c>
      <c r="D3897" t="s">
        <v>2185</v>
      </c>
      <c r="E3897" t="s">
        <v>2186</v>
      </c>
      <c r="F3897" s="1">
        <v>45854</v>
      </c>
      <c r="G3897" t="str">
        <f>IF(Table3[[#This Row],[Top Parent Account]]="",Table3[[#This Row],[Account Legal Name]],Table3[[#This Row],[Top Parent Account]])</f>
        <v>Unicar Mexicana</v>
      </c>
      <c r="H3897" s="1"/>
    </row>
    <row r="3898" spans="1:8" x14ac:dyDescent="0.35">
      <c r="A3898" s="21"/>
      <c r="B3898" t="s">
        <v>208</v>
      </c>
      <c r="C3898" t="s">
        <v>6</v>
      </c>
      <c r="D3898" t="s">
        <v>683</v>
      </c>
      <c r="F3898" s="1">
        <v>45854</v>
      </c>
      <c r="G3898" t="str">
        <f>IF(Table3[[#This Row],[Top Parent Account]]="",Table3[[#This Row],[Account Legal Name]],Table3[[#This Row],[Top Parent Account]])</f>
        <v>Interbur</v>
      </c>
      <c r="H3898" s="1"/>
    </row>
    <row r="3899" spans="1:8" x14ac:dyDescent="0.35">
      <c r="A3899" s="21"/>
      <c r="B3899" t="s">
        <v>14</v>
      </c>
      <c r="C3899" t="s">
        <v>6</v>
      </c>
      <c r="D3899" t="s">
        <v>736</v>
      </c>
      <c r="E3899" t="s">
        <v>724</v>
      </c>
      <c r="F3899" s="1">
        <v>45853</v>
      </c>
      <c r="G3899" t="str">
        <f>IF(Table3[[#This Row],[Top Parent Account]]="",Table3[[#This Row],[Account Legal Name]],Table3[[#This Row],[Top Parent Account]])</f>
        <v>Berries Paradise</v>
      </c>
      <c r="H3899" s="1"/>
    </row>
    <row r="3900" spans="1:8" x14ac:dyDescent="0.35">
      <c r="A3900" s="21"/>
      <c r="B3900" t="s">
        <v>925</v>
      </c>
      <c r="C3900" t="s">
        <v>6</v>
      </c>
      <c r="D3900" t="s">
        <v>94</v>
      </c>
      <c r="F3900" s="1">
        <v>45853</v>
      </c>
      <c r="G3900" t="str">
        <f>IF(Table3[[#This Row],[Top Parent Account]]="",Table3[[#This Row],[Account Legal Name]],Table3[[#This Row],[Top Parent Account]])</f>
        <v>Grupo Atsa</v>
      </c>
      <c r="H3900" s="1"/>
    </row>
    <row r="3901" spans="1:8" x14ac:dyDescent="0.35">
      <c r="A3901" s="21"/>
      <c r="B3901" t="s">
        <v>88</v>
      </c>
      <c r="C3901" t="s">
        <v>6</v>
      </c>
      <c r="D3901" t="s">
        <v>1120</v>
      </c>
      <c r="F3901" s="1">
        <v>45853</v>
      </c>
      <c r="G3901" t="str">
        <f>IF(Table3[[#This Row],[Top Parent Account]]="",Table3[[#This Row],[Account Legal Name]],Table3[[#This Row],[Top Parent Account]])</f>
        <v>CLINICA IMATEK IMAGEN Y LABORATORIO</v>
      </c>
      <c r="H3901" s="1"/>
    </row>
    <row r="3902" spans="1:8" x14ac:dyDescent="0.35">
      <c r="A3902" s="21"/>
      <c r="B3902" t="s">
        <v>1006</v>
      </c>
      <c r="C3902" t="s">
        <v>6</v>
      </c>
      <c r="D3902" t="s">
        <v>2409</v>
      </c>
      <c r="E3902" t="s">
        <v>1007</v>
      </c>
      <c r="F3902" s="1">
        <v>45853</v>
      </c>
      <c r="G3902" t="str">
        <f>IF(Table3[[#This Row],[Top Parent Account]]="",Table3[[#This Row],[Account Legal Name]],Table3[[#This Row],[Top Parent Account]])</f>
        <v>INDAMEX Industrializadora de Alimentos Mexicanos</v>
      </c>
      <c r="H3902" s="1"/>
    </row>
    <row r="3903" spans="1:8" x14ac:dyDescent="0.35">
      <c r="A3903" s="21"/>
      <c r="B3903" t="s">
        <v>172</v>
      </c>
      <c r="C3903" t="s">
        <v>6</v>
      </c>
      <c r="D3903" t="s">
        <v>2851</v>
      </c>
      <c r="F3903" s="1">
        <v>45853</v>
      </c>
      <c r="G3903" t="str">
        <f>IF(Table3[[#This Row],[Top Parent Account]]="",Table3[[#This Row],[Account Legal Name]],Table3[[#This Row],[Top Parent Account]])</f>
        <v>Grupo Canfer</v>
      </c>
      <c r="H3903" s="1"/>
    </row>
    <row r="3904" spans="1:8" x14ac:dyDescent="0.35">
      <c r="A3904" s="21"/>
      <c r="B3904" t="s">
        <v>10</v>
      </c>
      <c r="C3904" t="s">
        <v>6</v>
      </c>
      <c r="D3904" t="s">
        <v>2802</v>
      </c>
      <c r="F3904" s="1">
        <v>45853</v>
      </c>
      <c r="G3904" t="str">
        <f>IF(Table3[[#This Row],[Top Parent Account]]="",Table3[[#This Row],[Account Legal Name]],Table3[[#This Row],[Top Parent Account]])</f>
        <v>Sanchez y Martin</v>
      </c>
      <c r="H3904" s="1"/>
    </row>
    <row r="3905" spans="1:8" x14ac:dyDescent="0.35">
      <c r="A3905" s="21"/>
      <c r="B3905" t="s">
        <v>14</v>
      </c>
      <c r="C3905" t="s">
        <v>6</v>
      </c>
      <c r="D3905" t="s">
        <v>728</v>
      </c>
      <c r="F3905" s="1">
        <v>45853</v>
      </c>
      <c r="G3905" t="str">
        <f>IF(Table3[[#This Row],[Top Parent Account]]="",Table3[[#This Row],[Account Legal Name]],Table3[[#This Row],[Top Parent Account]])</f>
        <v>Keymax Comercializadora</v>
      </c>
      <c r="H3905" s="1"/>
    </row>
    <row r="3906" spans="1:8" x14ac:dyDescent="0.35">
      <c r="A3906" s="21"/>
      <c r="B3906" t="s">
        <v>590</v>
      </c>
      <c r="C3906" t="s">
        <v>6</v>
      </c>
      <c r="D3906" t="s">
        <v>2852</v>
      </c>
      <c r="F3906" s="1">
        <v>45853</v>
      </c>
      <c r="G3906" t="str">
        <f>IF(Table3[[#This Row],[Top Parent Account]]="",Table3[[#This Row],[Account Legal Name]],Table3[[#This Row],[Top Parent Account]])</f>
        <v>Glass Fiber del Norte</v>
      </c>
      <c r="H3906" s="1"/>
    </row>
    <row r="3907" spans="1:8" x14ac:dyDescent="0.35">
      <c r="A3907" s="21"/>
      <c r="B3907" t="s">
        <v>38</v>
      </c>
      <c r="C3907" t="s">
        <v>6</v>
      </c>
      <c r="D3907" t="s">
        <v>2803</v>
      </c>
      <c r="E3907" t="s">
        <v>2804</v>
      </c>
      <c r="F3907" s="1">
        <v>45853</v>
      </c>
      <c r="G3907" t="str">
        <f>IF(Table3[[#This Row],[Top Parent Account]]="",Table3[[#This Row],[Account Legal Name]],Table3[[#This Row],[Top Parent Account]])</f>
        <v>Steeringmex</v>
      </c>
      <c r="H3907" s="1"/>
    </row>
    <row r="3908" spans="1:8" x14ac:dyDescent="0.35">
      <c r="A3908" s="21"/>
      <c r="B3908" t="s">
        <v>11</v>
      </c>
      <c r="C3908" t="s">
        <v>6</v>
      </c>
      <c r="D3908" t="s">
        <v>124</v>
      </c>
      <c r="F3908" s="1">
        <v>45853</v>
      </c>
      <c r="G3908" t="str">
        <f>IF(Table3[[#This Row],[Top Parent Account]]="",Table3[[#This Row],[Account Legal Name]],Table3[[#This Row],[Top Parent Account]])</f>
        <v>Envases Universales</v>
      </c>
      <c r="H3908" s="1"/>
    </row>
    <row r="3909" spans="1:8" x14ac:dyDescent="0.35">
      <c r="A3909" s="21"/>
      <c r="B3909" t="s">
        <v>1899</v>
      </c>
      <c r="C3909" t="s">
        <v>6</v>
      </c>
      <c r="D3909" t="s">
        <v>2805</v>
      </c>
      <c r="F3909" s="1">
        <v>45853</v>
      </c>
      <c r="G3909" t="str">
        <f>IF(Table3[[#This Row],[Top Parent Account]]="",Table3[[#This Row],[Account Legal Name]],Table3[[#This Row],[Top Parent Account]])</f>
        <v>Rentrip</v>
      </c>
      <c r="H3909" s="1"/>
    </row>
    <row r="3910" spans="1:8" x14ac:dyDescent="0.35">
      <c r="A3910" s="21"/>
      <c r="B3910" t="s">
        <v>820</v>
      </c>
      <c r="C3910" t="s">
        <v>22</v>
      </c>
      <c r="D3910" t="s">
        <v>2806</v>
      </c>
      <c r="F3910" s="1">
        <v>45853</v>
      </c>
      <c r="G3910" t="str">
        <f>IF(Table3[[#This Row],[Top Parent Account]]="",Table3[[#This Row],[Account Legal Name]],Table3[[#This Row],[Top Parent Account]])</f>
        <v>Consorcio Amesa</v>
      </c>
      <c r="H3910" s="1"/>
    </row>
    <row r="3911" spans="1:8" x14ac:dyDescent="0.35">
      <c r="A3911" s="21"/>
      <c r="B3911" t="s">
        <v>78</v>
      </c>
      <c r="C3911" t="s">
        <v>6</v>
      </c>
      <c r="D3911" t="s">
        <v>2775</v>
      </c>
      <c r="F3911" s="1">
        <v>45853</v>
      </c>
      <c r="G3911" t="str">
        <f>IF(Table3[[#This Row],[Top Parent Account]]="",Table3[[#This Row],[Account Legal Name]],Table3[[#This Row],[Top Parent Account]])</f>
        <v>Patricio Martinez Juarez</v>
      </c>
      <c r="H3911" s="1"/>
    </row>
    <row r="3912" spans="1:8" x14ac:dyDescent="0.35">
      <c r="A3912" s="21"/>
      <c r="B3912" t="s">
        <v>169</v>
      </c>
      <c r="C3912" t="s">
        <v>6</v>
      </c>
      <c r="D3912" t="s">
        <v>987</v>
      </c>
      <c r="F3912" s="1">
        <v>45853</v>
      </c>
      <c r="G3912" t="str">
        <f>IF(Table3[[#This Row],[Top Parent Account]]="",Table3[[#This Row],[Account Legal Name]],Table3[[#This Row],[Top Parent Account]])</f>
        <v>Elaboradora De Alimentos Pachuca</v>
      </c>
      <c r="H3912" s="1"/>
    </row>
    <row r="3913" spans="1:8" x14ac:dyDescent="0.35">
      <c r="A3913" s="21"/>
      <c r="B3913" t="s">
        <v>88</v>
      </c>
      <c r="C3913" t="s">
        <v>6</v>
      </c>
      <c r="D3913" t="s">
        <v>2807</v>
      </c>
      <c r="F3913" s="1">
        <v>45853</v>
      </c>
      <c r="G3913" t="str">
        <f>IF(Table3[[#This Row],[Top Parent Account]]="",Table3[[#This Row],[Account Legal Name]],Table3[[#This Row],[Top Parent Account]])</f>
        <v>Carlos Blanco</v>
      </c>
      <c r="H3913" s="1"/>
    </row>
    <row r="3914" spans="1:8" x14ac:dyDescent="0.35">
      <c r="A3914" s="21"/>
      <c r="B3914" t="s">
        <v>14</v>
      </c>
      <c r="C3914" t="s">
        <v>6</v>
      </c>
      <c r="D3914" t="s">
        <v>992</v>
      </c>
      <c r="F3914" s="1">
        <v>45853</v>
      </c>
      <c r="G3914" t="str">
        <f>IF(Table3[[#This Row],[Top Parent Account]]="",Table3[[#This Row],[Account Legal Name]],Table3[[#This Row],[Top Parent Account]])</f>
        <v>MAQUINASIA LATAM</v>
      </c>
      <c r="H3914" s="1"/>
    </row>
    <row r="3915" spans="1:8" x14ac:dyDescent="0.35">
      <c r="A3915" s="21"/>
      <c r="B3915" t="s">
        <v>1899</v>
      </c>
      <c r="C3915" t="s">
        <v>6</v>
      </c>
      <c r="D3915" t="s">
        <v>2907</v>
      </c>
      <c r="F3915" s="1">
        <v>45853</v>
      </c>
      <c r="G3915" t="str">
        <f>IF(Table3[[#This Row],[Top Parent Account]]="",Table3[[#This Row],[Account Legal Name]],Table3[[#This Row],[Top Parent Account]])</f>
        <v>MN BUSINESS SOLUTIONS</v>
      </c>
      <c r="H3915" s="1"/>
    </row>
    <row r="3916" spans="1:8" x14ac:dyDescent="0.35">
      <c r="A3916" s="21"/>
      <c r="B3916" t="s">
        <v>10</v>
      </c>
      <c r="C3916" t="s">
        <v>6</v>
      </c>
      <c r="D3916" t="s">
        <v>453</v>
      </c>
      <c r="F3916" s="1">
        <v>45853</v>
      </c>
      <c r="G3916" t="str">
        <f>IF(Table3[[#This Row],[Top Parent Account]]="",Table3[[#This Row],[Account Legal Name]],Table3[[#This Row],[Top Parent Account]])</f>
        <v>Anteus Constructora</v>
      </c>
      <c r="H3916" s="1"/>
    </row>
    <row r="3917" spans="1:8" x14ac:dyDescent="0.35">
      <c r="A3917" s="21"/>
      <c r="B3917" t="s">
        <v>169</v>
      </c>
      <c r="C3917" t="s">
        <v>6</v>
      </c>
      <c r="D3917" t="s">
        <v>2808</v>
      </c>
      <c r="F3917" s="1">
        <v>45853</v>
      </c>
      <c r="G3917" t="str">
        <f>IF(Table3[[#This Row],[Top Parent Account]]="",Table3[[#This Row],[Account Legal Name]],Table3[[#This Row],[Top Parent Account]])</f>
        <v>Empaque y Diseño</v>
      </c>
      <c r="H3917" s="1"/>
    </row>
    <row r="3918" spans="1:8" x14ac:dyDescent="0.35">
      <c r="A3918" s="21"/>
      <c r="B3918" t="s">
        <v>10</v>
      </c>
      <c r="C3918" t="s">
        <v>6</v>
      </c>
      <c r="D3918" t="s">
        <v>593</v>
      </c>
      <c r="F3918" s="1">
        <v>45853</v>
      </c>
      <c r="G3918" t="str">
        <f>IF(Table3[[#This Row],[Top Parent Account]]="",Table3[[#This Row],[Account Legal Name]],Table3[[#This Row],[Top Parent Account]])</f>
        <v>Armasel</v>
      </c>
      <c r="H3918" s="1"/>
    </row>
    <row r="3919" spans="1:8" x14ac:dyDescent="0.35">
      <c r="A3919" s="21"/>
      <c r="B3919" t="s">
        <v>925</v>
      </c>
      <c r="C3919" t="s">
        <v>6</v>
      </c>
      <c r="D3919" t="s">
        <v>826</v>
      </c>
      <c r="F3919" s="1">
        <v>45853</v>
      </c>
      <c r="G3919" t="str">
        <f>IF(Table3[[#This Row],[Top Parent Account]]="",Table3[[#This Row],[Account Legal Name]],Table3[[#This Row],[Top Parent Account]])</f>
        <v>ELASTOMEROS TAZA</v>
      </c>
      <c r="H3919" s="1"/>
    </row>
    <row r="3920" spans="1:8" x14ac:dyDescent="0.35">
      <c r="A3920" s="21"/>
      <c r="B3920" t="s">
        <v>589</v>
      </c>
      <c r="C3920" t="s">
        <v>6</v>
      </c>
      <c r="D3920" t="s">
        <v>2809</v>
      </c>
      <c r="E3920" t="s">
        <v>2810</v>
      </c>
      <c r="F3920" s="1">
        <v>45852</v>
      </c>
      <c r="G3920" t="str">
        <f>IF(Table3[[#This Row],[Top Parent Account]]="",Table3[[#This Row],[Account Legal Name]],Table3[[#This Row],[Top Parent Account]])</f>
        <v>AUTOTRANSPORTES MTL</v>
      </c>
      <c r="H3920" s="1"/>
    </row>
    <row r="3921" spans="1:8" x14ac:dyDescent="0.35">
      <c r="A3921" s="21"/>
      <c r="B3921" t="s">
        <v>78</v>
      </c>
      <c r="C3921" t="s">
        <v>6</v>
      </c>
      <c r="D3921" t="s">
        <v>2811</v>
      </c>
      <c r="F3921" s="1">
        <v>45852</v>
      </c>
      <c r="G3921" t="str">
        <f>IF(Table3[[#This Row],[Top Parent Account]]="",Table3[[#This Row],[Account Legal Name]],Table3[[#This Row],[Top Parent Account]])</f>
        <v>BENJAMIN LUNA PEREZ</v>
      </c>
      <c r="H3921" s="1"/>
    </row>
    <row r="3922" spans="1:8" x14ac:dyDescent="0.35">
      <c r="A3922" s="21"/>
      <c r="B3922" t="s">
        <v>84</v>
      </c>
      <c r="C3922" t="s">
        <v>2812</v>
      </c>
      <c r="D3922" t="s">
        <v>2813</v>
      </c>
      <c r="F3922" s="1">
        <v>45852</v>
      </c>
      <c r="G3922" t="str">
        <f>IF(Table3[[#This Row],[Top Parent Account]]="",Table3[[#This Row],[Account Legal Name]],Table3[[#This Row],[Top Parent Account]])</f>
        <v>Transportadora Integral De Carga</v>
      </c>
      <c r="H3922" s="1"/>
    </row>
    <row r="3923" spans="1:8" x14ac:dyDescent="0.35">
      <c r="A3923" s="21"/>
      <c r="B3923" t="s">
        <v>14</v>
      </c>
      <c r="C3923" t="s">
        <v>6</v>
      </c>
      <c r="D3923" t="s">
        <v>2814</v>
      </c>
      <c r="F3923" s="1">
        <v>45852</v>
      </c>
      <c r="G3923" t="str">
        <f>IF(Table3[[#This Row],[Top Parent Account]]="",Table3[[#This Row],[Account Legal Name]],Table3[[#This Row],[Top Parent Account]])</f>
        <v>Lactica Creativa</v>
      </c>
      <c r="H3923" s="1"/>
    </row>
    <row r="3924" spans="1:8" x14ac:dyDescent="0.35">
      <c r="A3924" s="21"/>
      <c r="B3924" t="s">
        <v>7</v>
      </c>
      <c r="C3924" t="s">
        <v>6</v>
      </c>
      <c r="D3924" t="s">
        <v>2853</v>
      </c>
      <c r="F3924" s="1">
        <v>45852</v>
      </c>
      <c r="G3924" t="str">
        <f>IF(Table3[[#This Row],[Top Parent Account]]="",Table3[[#This Row],[Account Legal Name]],Table3[[#This Row],[Top Parent Account]])</f>
        <v>Alta Tecnologia En Cnc</v>
      </c>
      <c r="H3924" s="1"/>
    </row>
    <row r="3925" spans="1:8" x14ac:dyDescent="0.35">
      <c r="A3925" s="21"/>
      <c r="B3925" t="s">
        <v>169</v>
      </c>
      <c r="C3925" t="s">
        <v>6</v>
      </c>
      <c r="D3925" t="s">
        <v>2815</v>
      </c>
      <c r="F3925" s="1">
        <v>45852</v>
      </c>
      <c r="G3925" t="str">
        <f>IF(Table3[[#This Row],[Top Parent Account]]="",Table3[[#This Row],[Account Legal Name]],Table3[[#This Row],[Top Parent Account]])</f>
        <v>Box Supplier de Mexico</v>
      </c>
      <c r="H3925" s="1"/>
    </row>
    <row r="3926" spans="1:8" x14ac:dyDescent="0.35">
      <c r="A3926" s="21"/>
      <c r="B3926" t="s">
        <v>375</v>
      </c>
      <c r="C3926" t="s">
        <v>6</v>
      </c>
      <c r="D3926" t="s">
        <v>582</v>
      </c>
      <c r="E3926" t="s">
        <v>3439</v>
      </c>
      <c r="F3926" s="1">
        <v>45852</v>
      </c>
      <c r="G3926" t="str">
        <f>IF(Table3[[#This Row],[Top Parent Account]]="",Table3[[#This Row],[Account Legal Name]],Table3[[#This Row],[Top Parent Account]])</f>
        <v>Grupo Mezgo</v>
      </c>
      <c r="H3926" s="1"/>
    </row>
    <row r="3927" spans="1:8" x14ac:dyDescent="0.35">
      <c r="A3927" s="21"/>
      <c r="B3927" t="s">
        <v>169</v>
      </c>
      <c r="C3927" t="s">
        <v>6</v>
      </c>
      <c r="D3927" t="s">
        <v>2310</v>
      </c>
      <c r="F3927" s="1">
        <v>45852</v>
      </c>
      <c r="G3927" t="str">
        <f>IF(Table3[[#This Row],[Top Parent Account]]="",Table3[[#This Row],[Account Legal Name]],Table3[[#This Row],[Top Parent Account]])</f>
        <v>Texturizados y Tejidos Windsor</v>
      </c>
      <c r="H3927" s="1"/>
    </row>
    <row r="3928" spans="1:8" x14ac:dyDescent="0.35">
      <c r="A3928" s="21"/>
      <c r="B3928" t="s">
        <v>375</v>
      </c>
      <c r="C3928" t="s">
        <v>6</v>
      </c>
      <c r="D3928" t="s">
        <v>603</v>
      </c>
      <c r="F3928" s="1">
        <v>45852</v>
      </c>
      <c r="G3928" t="str">
        <f>IF(Table3[[#This Row],[Top Parent Account]]="",Table3[[#This Row],[Account Legal Name]],Table3[[#This Row],[Top Parent Account]])</f>
        <v>NORDEX ENERGY MEXICO</v>
      </c>
      <c r="H3928" s="1"/>
    </row>
    <row r="3929" spans="1:8" x14ac:dyDescent="0.35">
      <c r="A3929" s="21"/>
      <c r="B3929" t="s">
        <v>77</v>
      </c>
      <c r="C3929" t="s">
        <v>6</v>
      </c>
      <c r="D3929" t="s">
        <v>2854</v>
      </c>
      <c r="F3929" s="1">
        <v>45852</v>
      </c>
      <c r="G3929" t="str">
        <f>IF(Table3[[#This Row],[Top Parent Account]]="",Table3[[#This Row],[Account Legal Name]],Table3[[#This Row],[Top Parent Account]])</f>
        <v>El pikacho</v>
      </c>
      <c r="H3929" s="1"/>
    </row>
    <row r="3930" spans="1:8" x14ac:dyDescent="0.35">
      <c r="A3930" s="21"/>
      <c r="B3930" t="s">
        <v>26</v>
      </c>
      <c r="C3930" t="s">
        <v>6</v>
      </c>
      <c r="D3930" t="s">
        <v>2908</v>
      </c>
      <c r="F3930" s="1">
        <v>45852</v>
      </c>
      <c r="G3930" t="str">
        <f>IF(Table3[[#This Row],[Top Parent Account]]="",Table3[[#This Row],[Account Legal Name]],Table3[[#This Row],[Top Parent Account]])</f>
        <v>Roomie It Services</v>
      </c>
      <c r="H3930" s="1"/>
    </row>
    <row r="3931" spans="1:8" x14ac:dyDescent="0.35">
      <c r="A3931" s="21"/>
      <c r="B3931" t="s">
        <v>969</v>
      </c>
      <c r="C3931" t="s">
        <v>6</v>
      </c>
      <c r="D3931" t="s">
        <v>2816</v>
      </c>
      <c r="F3931" s="1">
        <v>45852</v>
      </c>
      <c r="G3931" t="str">
        <f>IF(Table3[[#This Row],[Top Parent Account]]="",Table3[[#This Row],[Account Legal Name]],Table3[[#This Row],[Top Parent Account]])</f>
        <v>COMERCIALIZADORA CENTURY RECYCLING</v>
      </c>
      <c r="H3931" s="1"/>
    </row>
    <row r="3932" spans="1:8" x14ac:dyDescent="0.35">
      <c r="A3932" s="21"/>
      <c r="B3932" t="s">
        <v>14</v>
      </c>
      <c r="C3932" t="s">
        <v>6</v>
      </c>
      <c r="D3932" t="s">
        <v>1011</v>
      </c>
      <c r="F3932" s="1">
        <v>45852</v>
      </c>
      <c r="G3932" t="str">
        <f>IF(Table3[[#This Row],[Top Parent Account]]="",Table3[[#This Row],[Account Legal Name]],Table3[[#This Row],[Top Parent Account]])</f>
        <v>Tramusa Carrier de Mexico</v>
      </c>
      <c r="H3932" s="1"/>
    </row>
    <row r="3933" spans="1:8" x14ac:dyDescent="0.35">
      <c r="A3933" s="21"/>
      <c r="B3933" t="s">
        <v>207</v>
      </c>
      <c r="C3933" t="s">
        <v>6</v>
      </c>
      <c r="D3933" t="s">
        <v>909</v>
      </c>
      <c r="F3933" s="1">
        <v>45852</v>
      </c>
      <c r="G3933" t="str">
        <f>IF(Table3[[#This Row],[Top Parent Account]]="",Table3[[#This Row],[Account Legal Name]],Table3[[#This Row],[Top Parent Account]])</f>
        <v>ESCAPARATES Y DISPLAYS DE MÉXICO S.A. DE C.V.</v>
      </c>
      <c r="H3933" s="1"/>
    </row>
    <row r="3934" spans="1:8" x14ac:dyDescent="0.35">
      <c r="A3934" s="21"/>
      <c r="B3934" t="s">
        <v>77</v>
      </c>
      <c r="C3934" t="s">
        <v>6</v>
      </c>
      <c r="D3934" t="s">
        <v>2855</v>
      </c>
      <c r="F3934" s="1">
        <v>45852</v>
      </c>
      <c r="G3934" t="str">
        <f>IF(Table3[[#This Row],[Top Parent Account]]="",Table3[[#This Row],[Account Legal Name]],Table3[[#This Row],[Top Parent Account]])</f>
        <v>A3 wiring solutions</v>
      </c>
      <c r="H3934" s="1"/>
    </row>
    <row r="3935" spans="1:8" x14ac:dyDescent="0.35">
      <c r="A3935" s="21"/>
      <c r="B3935" t="s">
        <v>932</v>
      </c>
      <c r="C3935" t="s">
        <v>2126</v>
      </c>
      <c r="D3935" t="s">
        <v>2817</v>
      </c>
      <c r="F3935" s="1">
        <v>45849</v>
      </c>
      <c r="G3935" t="str">
        <f>IF(Table3[[#This Row],[Top Parent Account]]="",Table3[[#This Row],[Account Legal Name]],Table3[[#This Row],[Top Parent Account]])</f>
        <v>Lavisa</v>
      </c>
      <c r="H3935" s="1"/>
    </row>
    <row r="3936" spans="1:8" x14ac:dyDescent="0.35">
      <c r="A3936" s="21"/>
      <c r="B3936" t="s">
        <v>14</v>
      </c>
      <c r="C3936" t="s">
        <v>6</v>
      </c>
      <c r="D3936" t="s">
        <v>2746</v>
      </c>
      <c r="F3936" s="1">
        <v>45849</v>
      </c>
      <c r="G3936" t="str">
        <f>IF(Table3[[#This Row],[Top Parent Account]]="",Table3[[#This Row],[Account Legal Name]],Table3[[#This Row],[Top Parent Account]])</f>
        <v>Destiladora De Los Altos</v>
      </c>
      <c r="H3936" s="1"/>
    </row>
    <row r="3937" spans="1:8" x14ac:dyDescent="0.35">
      <c r="A3937" s="21"/>
      <c r="B3937" t="s">
        <v>989</v>
      </c>
      <c r="C3937" t="s">
        <v>6</v>
      </c>
      <c r="D3937" t="s">
        <v>2747</v>
      </c>
      <c r="F3937" s="1">
        <v>45849</v>
      </c>
      <c r="G3937" t="str">
        <f>IF(Table3[[#This Row],[Top Parent Account]]="",Table3[[#This Row],[Account Legal Name]],Table3[[#This Row],[Top Parent Account]])</f>
        <v>LexFin</v>
      </c>
      <c r="H3937" s="1"/>
    </row>
    <row r="3938" spans="1:8" x14ac:dyDescent="0.35">
      <c r="A3938" s="21"/>
      <c r="B3938" t="s">
        <v>375</v>
      </c>
      <c r="C3938" t="s">
        <v>6</v>
      </c>
      <c r="D3938" t="s">
        <v>2655</v>
      </c>
      <c r="F3938" s="1">
        <v>45849</v>
      </c>
      <c r="G3938" t="str">
        <f>IF(Table3[[#This Row],[Top Parent Account]]="",Table3[[#This Row],[Account Legal Name]],Table3[[#This Row],[Top Parent Account]])</f>
        <v>The Anglo Mexican Foundation</v>
      </c>
      <c r="H3938" s="1"/>
    </row>
    <row r="3939" spans="1:8" x14ac:dyDescent="0.35">
      <c r="A3939" s="21"/>
      <c r="B3939" t="s">
        <v>21</v>
      </c>
      <c r="C3939" t="s">
        <v>6</v>
      </c>
      <c r="D3939" t="s">
        <v>2748</v>
      </c>
      <c r="F3939" s="1">
        <v>45849</v>
      </c>
      <c r="G3939" t="str">
        <f>IF(Table3[[#This Row],[Top Parent Account]]="",Table3[[#This Row],[Account Legal Name]],Table3[[#This Row],[Top Parent Account]])</f>
        <v>Aceros Planos y Estructurales</v>
      </c>
      <c r="H3939" s="1"/>
    </row>
    <row r="3940" spans="1:8" x14ac:dyDescent="0.35">
      <c r="A3940" s="21"/>
      <c r="B3940" t="s">
        <v>32</v>
      </c>
      <c r="C3940" t="s">
        <v>2749</v>
      </c>
      <c r="D3940" t="s">
        <v>293</v>
      </c>
      <c r="F3940" s="1">
        <v>45849</v>
      </c>
      <c r="G3940" t="str">
        <f>IF(Table3[[#This Row],[Top Parent Account]]="",Table3[[#This Row],[Account Legal Name]],Table3[[#This Row],[Top Parent Account]])</f>
        <v>Engen Capital</v>
      </c>
      <c r="H3940" s="1"/>
    </row>
    <row r="3941" spans="1:8" x14ac:dyDescent="0.35">
      <c r="A3941" s="21"/>
      <c r="B3941" t="s">
        <v>590</v>
      </c>
      <c r="C3941" t="s">
        <v>6</v>
      </c>
      <c r="D3941" t="s">
        <v>2750</v>
      </c>
      <c r="F3941" s="1">
        <v>45849</v>
      </c>
      <c r="G3941" t="str">
        <f>IF(Table3[[#This Row],[Top Parent Account]]="",Table3[[#This Row],[Account Legal Name]],Table3[[#This Row],[Top Parent Account]])</f>
        <v>Productos Quimicos Monterrey</v>
      </c>
      <c r="H3941" s="1"/>
    </row>
    <row r="3942" spans="1:8" x14ac:dyDescent="0.35">
      <c r="A3942" s="21"/>
      <c r="B3942" t="s">
        <v>32</v>
      </c>
      <c r="C3942" t="s">
        <v>2777</v>
      </c>
      <c r="D3942" t="s">
        <v>492</v>
      </c>
      <c r="F3942" s="1">
        <v>45849</v>
      </c>
      <c r="G3942" t="str">
        <f>IF(Table3[[#This Row],[Top Parent Account]]="",Table3[[#This Row],[Account Legal Name]],Table3[[#This Row],[Top Parent Account]])</f>
        <v>Rancho Santa Rita</v>
      </c>
      <c r="H3942" s="1"/>
    </row>
    <row r="3943" spans="1:8" x14ac:dyDescent="0.35">
      <c r="A3943" s="21"/>
      <c r="B3943" t="s">
        <v>121</v>
      </c>
      <c r="C3943" t="s">
        <v>6</v>
      </c>
      <c r="D3943" t="s">
        <v>1865</v>
      </c>
      <c r="F3943" s="1">
        <v>45849</v>
      </c>
      <c r="G3943" t="str">
        <f>IF(Table3[[#This Row],[Top Parent Account]]="",Table3[[#This Row],[Account Legal Name]],Table3[[#This Row],[Top Parent Account]])</f>
        <v>Ingenieros y Equipos Mecanicos</v>
      </c>
      <c r="H3943" s="1"/>
    </row>
    <row r="3944" spans="1:8" x14ac:dyDescent="0.35">
      <c r="A3944" s="21"/>
      <c r="B3944" t="s">
        <v>23</v>
      </c>
      <c r="C3944" t="s">
        <v>6</v>
      </c>
      <c r="D3944" t="s">
        <v>2751</v>
      </c>
      <c r="F3944" s="1">
        <v>45849</v>
      </c>
      <c r="G3944" t="str">
        <f>IF(Table3[[#This Row],[Top Parent Account]]="",Table3[[#This Row],[Account Legal Name]],Table3[[#This Row],[Top Parent Account]])</f>
        <v>Link Conexion Aerea</v>
      </c>
      <c r="H3944" s="1"/>
    </row>
    <row r="3945" spans="1:8" x14ac:dyDescent="0.35">
      <c r="A3945" s="21"/>
      <c r="B3945" t="s">
        <v>28</v>
      </c>
      <c r="C3945" t="s">
        <v>6</v>
      </c>
      <c r="D3945" t="s">
        <v>2778</v>
      </c>
      <c r="F3945" s="1">
        <v>45849</v>
      </c>
      <c r="G3945" t="str">
        <f>IF(Table3[[#This Row],[Top Parent Account]]="",Table3[[#This Row],[Account Legal Name]],Table3[[#This Row],[Top Parent Account]])</f>
        <v>ENEREY LATINOAMERICA</v>
      </c>
      <c r="H3945" s="1"/>
    </row>
    <row r="3946" spans="1:8" x14ac:dyDescent="0.35">
      <c r="A3946" s="21"/>
      <c r="B3946" t="s">
        <v>1031</v>
      </c>
      <c r="C3946" t="s">
        <v>6</v>
      </c>
      <c r="D3946" t="s">
        <v>2752</v>
      </c>
      <c r="F3946" s="1">
        <v>45849</v>
      </c>
      <c r="G3946" t="str">
        <f>IF(Table3[[#This Row],[Top Parent Account]]="",Table3[[#This Row],[Account Legal Name]],Table3[[#This Row],[Top Parent Account]])</f>
        <v>Botanas Metropoli</v>
      </c>
      <c r="H3946" s="1"/>
    </row>
    <row r="3947" spans="1:8" x14ac:dyDescent="0.35">
      <c r="A3947" s="21"/>
      <c r="B3947" t="s">
        <v>10</v>
      </c>
      <c r="C3947" t="s">
        <v>6</v>
      </c>
      <c r="D3947" t="s">
        <v>410</v>
      </c>
      <c r="F3947" s="1">
        <v>45848</v>
      </c>
      <c r="G3947" t="str">
        <f>IF(Table3[[#This Row],[Top Parent Account]]="",Table3[[#This Row],[Account Legal Name]],Table3[[#This Row],[Top Parent Account]])</f>
        <v>CORPORATIVO SERYSI</v>
      </c>
      <c r="H3947" s="1"/>
    </row>
    <row r="3948" spans="1:8" x14ac:dyDescent="0.35">
      <c r="A3948" s="21"/>
      <c r="B3948" t="s">
        <v>23</v>
      </c>
      <c r="C3948" t="s">
        <v>6</v>
      </c>
      <c r="D3948" t="s">
        <v>742</v>
      </c>
      <c r="F3948" s="1">
        <v>45848</v>
      </c>
      <c r="G3948" t="str">
        <f>IF(Table3[[#This Row],[Top Parent Account]]="",Table3[[#This Row],[Account Legal Name]],Table3[[#This Row],[Top Parent Account]])</f>
        <v>SUFERRE DEL BAJIO</v>
      </c>
      <c r="H3948" s="1"/>
    </row>
    <row r="3949" spans="1:8" x14ac:dyDescent="0.35">
      <c r="A3949" s="21"/>
      <c r="B3949" t="s">
        <v>18</v>
      </c>
      <c r="C3949" t="s">
        <v>6</v>
      </c>
      <c r="D3949" t="s">
        <v>2700</v>
      </c>
      <c r="F3949" s="1">
        <v>45848</v>
      </c>
      <c r="G3949" t="str">
        <f>IF(Table3[[#This Row],[Top Parent Account]]="",Table3[[#This Row],[Account Legal Name]],Table3[[#This Row],[Top Parent Account]])</f>
        <v>Langston Companies de México</v>
      </c>
      <c r="H3949" s="1"/>
    </row>
    <row r="3950" spans="1:8" x14ac:dyDescent="0.35">
      <c r="A3950" s="21"/>
      <c r="B3950" t="s">
        <v>375</v>
      </c>
      <c r="C3950" t="s">
        <v>6</v>
      </c>
      <c r="D3950" t="s">
        <v>221</v>
      </c>
      <c r="F3950" s="1">
        <v>45848</v>
      </c>
      <c r="G3950" t="str">
        <f>IF(Table3[[#This Row],[Top Parent Account]]="",Table3[[#This Row],[Account Legal Name]],Table3[[#This Row],[Top Parent Account]])</f>
        <v>Internacional Quimica De Cobre</v>
      </c>
      <c r="H3950" s="1"/>
    </row>
    <row r="3951" spans="1:8" x14ac:dyDescent="0.35">
      <c r="A3951" s="21"/>
      <c r="B3951" t="s">
        <v>32</v>
      </c>
      <c r="C3951" t="s">
        <v>6</v>
      </c>
      <c r="D3951" t="s">
        <v>289</v>
      </c>
      <c r="F3951" s="1">
        <v>45848</v>
      </c>
      <c r="G3951" t="str">
        <f>IF(Table3[[#This Row],[Top Parent Account]]="",Table3[[#This Row],[Account Legal Name]],Table3[[#This Row],[Top Parent Account]])</f>
        <v>Transmodal</v>
      </c>
      <c r="H3951" s="1"/>
    </row>
    <row r="3952" spans="1:8" x14ac:dyDescent="0.35">
      <c r="A3952" s="21"/>
      <c r="B3952" t="s">
        <v>590</v>
      </c>
      <c r="C3952" t="s">
        <v>6</v>
      </c>
      <c r="D3952" t="s">
        <v>2753</v>
      </c>
      <c r="F3952" s="1">
        <v>45848</v>
      </c>
      <c r="G3952" t="str">
        <f>IF(Table3[[#This Row],[Top Parent Account]]="",Table3[[#This Row],[Account Legal Name]],Table3[[#This Row],[Top Parent Account]])</f>
        <v>Empacadora de Carnes del Poniente</v>
      </c>
      <c r="H3952" s="1"/>
    </row>
    <row r="3953" spans="1:8" x14ac:dyDescent="0.35">
      <c r="A3953" s="21"/>
      <c r="B3953" t="s">
        <v>739</v>
      </c>
      <c r="C3953" t="s">
        <v>6</v>
      </c>
      <c r="D3953" t="s">
        <v>2982</v>
      </c>
      <c r="F3953" s="1">
        <v>45848</v>
      </c>
      <c r="G3953" t="str">
        <f>IF(Table3[[#This Row],[Top Parent Account]]="",Table3[[#This Row],[Account Legal Name]],Table3[[#This Row],[Top Parent Account]])</f>
        <v>Mexichem</v>
      </c>
      <c r="H3953" s="1"/>
    </row>
    <row r="3954" spans="1:8" x14ac:dyDescent="0.35">
      <c r="A3954" s="21"/>
      <c r="B3954" t="s">
        <v>32</v>
      </c>
      <c r="C3954" t="s">
        <v>2754</v>
      </c>
      <c r="D3954" t="s">
        <v>230</v>
      </c>
      <c r="F3954" s="1">
        <v>45848</v>
      </c>
      <c r="G3954" t="str">
        <f>IF(Table3[[#This Row],[Top Parent Account]]="",Table3[[#This Row],[Account Legal Name]],Table3[[#This Row],[Top Parent Account]])</f>
        <v>Dimasur</v>
      </c>
      <c r="H3954" s="1"/>
    </row>
    <row r="3955" spans="1:8" x14ac:dyDescent="0.35">
      <c r="A3955" s="21"/>
      <c r="B3955" t="s">
        <v>589</v>
      </c>
      <c r="C3955" t="s">
        <v>6</v>
      </c>
      <c r="D3955" t="s">
        <v>2701</v>
      </c>
      <c r="F3955" s="1">
        <v>45848</v>
      </c>
      <c r="G3955" t="str">
        <f>IF(Table3[[#This Row],[Top Parent Account]]="",Table3[[#This Row],[Account Legal Name]],Table3[[#This Row],[Top Parent Account]])</f>
        <v>Agro pedregal</v>
      </c>
      <c r="H3955" s="1"/>
    </row>
    <row r="3956" spans="1:8" x14ac:dyDescent="0.35">
      <c r="A3956" s="21"/>
      <c r="B3956" t="s">
        <v>23</v>
      </c>
      <c r="C3956" t="s">
        <v>6</v>
      </c>
      <c r="D3956" t="s">
        <v>860</v>
      </c>
      <c r="F3956" s="1">
        <v>45848</v>
      </c>
      <c r="G3956" t="str">
        <f>IF(Table3[[#This Row],[Top Parent Account]]="",Table3[[#This Row],[Account Legal Name]],Table3[[#This Row],[Top Parent Account]])</f>
        <v>BRASIMEX MADERAS Y EMBALAJES</v>
      </c>
      <c r="H3956" s="1"/>
    </row>
    <row r="3957" spans="1:8" x14ac:dyDescent="0.35">
      <c r="A3957" s="21"/>
      <c r="B3957" t="s">
        <v>932</v>
      </c>
      <c r="C3957" t="s">
        <v>2702</v>
      </c>
      <c r="D3957" t="s">
        <v>1157</v>
      </c>
      <c r="F3957" s="1">
        <v>45848</v>
      </c>
      <c r="G3957" t="str">
        <f>IF(Table3[[#This Row],[Top Parent Account]]="",Table3[[#This Row],[Account Legal Name]],Table3[[#This Row],[Top Parent Account]])</f>
        <v>Karivandy</v>
      </c>
      <c r="H3957" s="1"/>
    </row>
    <row r="3958" spans="1:8" x14ac:dyDescent="0.35">
      <c r="A3958" s="21"/>
      <c r="B3958" t="s">
        <v>28</v>
      </c>
      <c r="C3958" t="s">
        <v>6</v>
      </c>
      <c r="D3958" t="s">
        <v>785</v>
      </c>
      <c r="F3958" s="1">
        <v>45848</v>
      </c>
      <c r="G3958" t="str">
        <f>IF(Table3[[#This Row],[Top Parent Account]]="",Table3[[#This Row],[Account Legal Name]],Table3[[#This Row],[Top Parent Account]])</f>
        <v>Hector Gracia Adame</v>
      </c>
      <c r="H3958" s="1"/>
    </row>
    <row r="3959" spans="1:8" x14ac:dyDescent="0.35">
      <c r="A3959" s="21"/>
      <c r="B3959" t="s">
        <v>78</v>
      </c>
      <c r="C3959" t="s">
        <v>6</v>
      </c>
      <c r="D3959" t="s">
        <v>1190</v>
      </c>
      <c r="F3959" s="1">
        <v>45848</v>
      </c>
      <c r="G3959" t="str">
        <f>IF(Table3[[#This Row],[Top Parent Account]]="",Table3[[#This Row],[Account Legal Name]],Table3[[#This Row],[Top Parent Account]])</f>
        <v>Rittal</v>
      </c>
      <c r="H3959" s="1"/>
    </row>
    <row r="3960" spans="1:8" x14ac:dyDescent="0.35">
      <c r="A3960" s="21"/>
      <c r="B3960" t="s">
        <v>70</v>
      </c>
      <c r="C3960" t="s">
        <v>6</v>
      </c>
      <c r="D3960" t="s">
        <v>2755</v>
      </c>
      <c r="F3960" s="1">
        <v>45848</v>
      </c>
      <c r="G3960" t="str">
        <f>IF(Table3[[#This Row],[Top Parent Account]]="",Table3[[#This Row],[Account Legal Name]],Table3[[#This Row],[Top Parent Account]])</f>
        <v>Soluciones Integrales Oftalmológicas Triana</v>
      </c>
      <c r="H3960" s="1"/>
    </row>
    <row r="3961" spans="1:8" x14ac:dyDescent="0.35">
      <c r="A3961" s="21"/>
      <c r="B3961" t="s">
        <v>21</v>
      </c>
      <c r="C3961" t="s">
        <v>6</v>
      </c>
      <c r="D3961" t="s">
        <v>2756</v>
      </c>
      <c r="F3961" s="1">
        <v>45848</v>
      </c>
      <c r="G3961" t="str">
        <f>IF(Table3[[#This Row],[Top Parent Account]]="",Table3[[#This Row],[Account Legal Name]],Table3[[#This Row],[Top Parent Account]])</f>
        <v>Greenmx Produce</v>
      </c>
      <c r="H3961" s="1"/>
    </row>
    <row r="3962" spans="1:8" x14ac:dyDescent="0.35">
      <c r="A3962" s="21"/>
      <c r="B3962" t="s">
        <v>21</v>
      </c>
      <c r="C3962" t="s">
        <v>6</v>
      </c>
      <c r="D3962" t="s">
        <v>2703</v>
      </c>
      <c r="F3962" s="1">
        <v>45848</v>
      </c>
      <c r="G3962" t="str">
        <f>IF(Table3[[#This Row],[Top Parent Account]]="",Table3[[#This Row],[Account Legal Name]],Table3[[#This Row],[Top Parent Account]])</f>
        <v>Limones Monica</v>
      </c>
      <c r="H3962" s="1"/>
    </row>
    <row r="3963" spans="1:8" x14ac:dyDescent="0.35">
      <c r="A3963" s="21"/>
      <c r="B3963" t="s">
        <v>208</v>
      </c>
      <c r="C3963" t="s">
        <v>6</v>
      </c>
      <c r="D3963" t="s">
        <v>186</v>
      </c>
      <c r="F3963" s="1">
        <v>45848</v>
      </c>
      <c r="G3963" t="str">
        <f>IF(Table3[[#This Row],[Top Parent Account]]="",Table3[[#This Row],[Account Legal Name]],Table3[[#This Row],[Top Parent Account]])</f>
        <v>Area Creativa y Publicidad Impresa</v>
      </c>
      <c r="H3963" s="1"/>
    </row>
    <row r="3964" spans="1:8" x14ac:dyDescent="0.35">
      <c r="A3964" s="21"/>
      <c r="B3964" t="s">
        <v>169</v>
      </c>
      <c r="C3964" t="s">
        <v>6</v>
      </c>
      <c r="D3964" t="s">
        <v>516</v>
      </c>
      <c r="F3964" s="1">
        <v>45848</v>
      </c>
      <c r="G3964" t="str">
        <f>IF(Table3[[#This Row],[Top Parent Account]]="",Table3[[#This Row],[Account Legal Name]],Table3[[#This Row],[Top Parent Account]])</f>
        <v>COMBUSTIBLES BENTAN</v>
      </c>
      <c r="H3964" s="1"/>
    </row>
    <row r="3965" spans="1:8" x14ac:dyDescent="0.35">
      <c r="A3965" s="21"/>
      <c r="B3965" t="s">
        <v>24</v>
      </c>
      <c r="C3965" t="s">
        <v>6</v>
      </c>
      <c r="D3965" t="s">
        <v>2704</v>
      </c>
      <c r="E3965" t="s">
        <v>1482</v>
      </c>
      <c r="F3965" s="1">
        <v>45848</v>
      </c>
      <c r="G3965" t="str">
        <f>IF(Table3[[#This Row],[Top Parent Account]]="",Table3[[#This Row],[Account Legal Name]],Table3[[#This Row],[Top Parent Account]])</f>
        <v>Naturesweet Invernaderos</v>
      </c>
      <c r="H3965" s="1"/>
    </row>
    <row r="3966" spans="1:8" x14ac:dyDescent="0.35">
      <c r="A3966" s="21"/>
      <c r="B3966" t="s">
        <v>172</v>
      </c>
      <c r="C3966" t="s">
        <v>6</v>
      </c>
      <c r="D3966" t="s">
        <v>1209</v>
      </c>
      <c r="F3966" s="1">
        <v>45848</v>
      </c>
      <c r="G3966" t="str">
        <f>IF(Table3[[#This Row],[Top Parent Account]]="",Table3[[#This Row],[Account Legal Name]],Table3[[#This Row],[Top Parent Account]])</f>
        <v>Grupo Garza Ponce</v>
      </c>
      <c r="H3966" s="1"/>
    </row>
    <row r="3967" spans="1:8" x14ac:dyDescent="0.35">
      <c r="A3967" s="21"/>
      <c r="B3967" t="s">
        <v>37</v>
      </c>
      <c r="C3967" t="s">
        <v>6</v>
      </c>
      <c r="D3967" t="s">
        <v>2757</v>
      </c>
      <c r="F3967" s="1">
        <v>45848</v>
      </c>
      <c r="G3967" t="str">
        <f>IF(Table3[[#This Row],[Top Parent Account]]="",Table3[[#This Row],[Account Legal Name]],Table3[[#This Row],[Top Parent Account]])</f>
        <v>Agrícola SonorG</v>
      </c>
      <c r="H3967" s="1"/>
    </row>
    <row r="3968" spans="1:8" x14ac:dyDescent="0.35">
      <c r="A3968" s="21"/>
      <c r="B3968" t="s">
        <v>32</v>
      </c>
      <c r="C3968" t="s">
        <v>2758</v>
      </c>
      <c r="D3968" t="s">
        <v>76</v>
      </c>
      <c r="F3968" s="1">
        <v>45848</v>
      </c>
      <c r="G3968" t="str">
        <f>IF(Table3[[#This Row],[Top Parent Account]]="",Table3[[#This Row],[Account Legal Name]],Table3[[#This Row],[Top Parent Account]])</f>
        <v>Transportes Maeda</v>
      </c>
      <c r="H3968" s="1"/>
    </row>
    <row r="3969" spans="1:8" x14ac:dyDescent="0.35">
      <c r="A3969" s="21"/>
      <c r="B3969" t="s">
        <v>8</v>
      </c>
      <c r="C3969" t="s">
        <v>6</v>
      </c>
      <c r="D3969" t="s">
        <v>2759</v>
      </c>
      <c r="F3969" s="1">
        <v>45848</v>
      </c>
      <c r="G3969" t="str">
        <f>IF(Table3[[#This Row],[Top Parent Account]]="",Table3[[#This Row],[Account Legal Name]],Table3[[#This Row],[Top Parent Account]])</f>
        <v>Crystal Green de Mexico</v>
      </c>
      <c r="H3969" s="1"/>
    </row>
    <row r="3970" spans="1:8" x14ac:dyDescent="0.35">
      <c r="A3970" s="21"/>
      <c r="B3970" t="s">
        <v>932</v>
      </c>
      <c r="C3970" t="s">
        <v>2705</v>
      </c>
      <c r="D3970" t="s">
        <v>1650</v>
      </c>
      <c r="F3970" s="1">
        <v>45848</v>
      </c>
      <c r="G3970" t="str">
        <f>IF(Table3[[#This Row],[Top Parent Account]]="",Table3[[#This Row],[Account Legal Name]],Table3[[#This Row],[Top Parent Account]])</f>
        <v>Hjb Química Internacional</v>
      </c>
      <c r="H3970" s="1"/>
    </row>
    <row r="3971" spans="1:8" x14ac:dyDescent="0.35">
      <c r="A3971" s="21"/>
      <c r="B3971" t="s">
        <v>1006</v>
      </c>
      <c r="C3971" t="s">
        <v>2706</v>
      </c>
      <c r="D3971" t="s">
        <v>2707</v>
      </c>
      <c r="F3971" s="1">
        <v>45848</v>
      </c>
      <c r="G3971" t="str">
        <f>IF(Table3[[#This Row],[Top Parent Account]]="",Table3[[#This Row],[Account Legal Name]],Table3[[#This Row],[Top Parent Account]])</f>
        <v>SOLGIC SOLUCIONES EN LOGISTICA</v>
      </c>
      <c r="H3971" s="1"/>
    </row>
    <row r="3972" spans="1:8" x14ac:dyDescent="0.35">
      <c r="A3972" s="21"/>
      <c r="B3972" t="s">
        <v>121</v>
      </c>
      <c r="C3972" t="s">
        <v>6</v>
      </c>
      <c r="D3972" t="s">
        <v>2760</v>
      </c>
      <c r="F3972" s="1">
        <v>45848</v>
      </c>
      <c r="G3972" t="str">
        <f>IF(Table3[[#This Row],[Top Parent Account]]="",Table3[[#This Row],[Account Legal Name]],Table3[[#This Row],[Top Parent Account]])</f>
        <v>Kilker</v>
      </c>
      <c r="H3972" s="1"/>
    </row>
    <row r="3973" spans="1:8" x14ac:dyDescent="0.35">
      <c r="A3973" s="21"/>
      <c r="B3973" t="s">
        <v>280</v>
      </c>
      <c r="C3973" t="s">
        <v>6</v>
      </c>
      <c r="D3973" t="s">
        <v>2761</v>
      </c>
      <c r="F3973" s="1">
        <v>45848</v>
      </c>
      <c r="G3973" t="str">
        <f>IF(Table3[[#This Row],[Top Parent Account]]="",Table3[[#This Row],[Account Legal Name]],Table3[[#This Row],[Top Parent Account]])</f>
        <v>Grupo Agrostar</v>
      </c>
      <c r="H3973" s="1"/>
    </row>
    <row r="3974" spans="1:8" x14ac:dyDescent="0.35">
      <c r="A3974" s="21"/>
      <c r="B3974" t="s">
        <v>925</v>
      </c>
      <c r="C3974" t="s">
        <v>6</v>
      </c>
      <c r="D3974" t="s">
        <v>2818</v>
      </c>
      <c r="F3974" s="1">
        <v>45848</v>
      </c>
      <c r="G3974" t="str">
        <f>IF(Table3[[#This Row],[Top Parent Account]]="",Table3[[#This Row],[Account Legal Name]],Table3[[#This Row],[Top Parent Account]])</f>
        <v>ADMINISTRACIONES CYBER POWER GLOBAL</v>
      </c>
      <c r="H3974" s="1"/>
    </row>
    <row r="3975" spans="1:8" x14ac:dyDescent="0.35">
      <c r="A3975" s="21"/>
      <c r="B3975" t="s">
        <v>21</v>
      </c>
      <c r="C3975" t="s">
        <v>6</v>
      </c>
      <c r="D3975" t="s">
        <v>2762</v>
      </c>
      <c r="F3975" s="1">
        <v>45848</v>
      </c>
      <c r="G3975" t="str">
        <f>IF(Table3[[#This Row],[Top Parent Account]]="",Table3[[#This Row],[Account Legal Name]],Table3[[#This Row],[Top Parent Account]])</f>
        <v>Grupo Saao</v>
      </c>
      <c r="H3975" s="1"/>
    </row>
    <row r="3976" spans="1:8" x14ac:dyDescent="0.35">
      <c r="A3976" s="21"/>
      <c r="B3976" t="s">
        <v>989</v>
      </c>
      <c r="C3976" t="s">
        <v>6</v>
      </c>
      <c r="D3976" t="s">
        <v>2708</v>
      </c>
      <c r="F3976" s="1">
        <v>45848</v>
      </c>
      <c r="G3976" t="str">
        <f>IF(Table3[[#This Row],[Top Parent Account]]="",Table3[[#This Row],[Account Legal Name]],Table3[[#This Row],[Top Parent Account]])</f>
        <v>FIANZAS DORAMA</v>
      </c>
      <c r="H3976" s="1"/>
    </row>
    <row r="3977" spans="1:8" x14ac:dyDescent="0.35">
      <c r="A3977" s="21"/>
      <c r="B3977" t="s">
        <v>32</v>
      </c>
      <c r="C3977" t="s">
        <v>6</v>
      </c>
      <c r="D3977" t="s">
        <v>492</v>
      </c>
      <c r="F3977" s="1">
        <v>45848</v>
      </c>
      <c r="G3977" t="str">
        <f>IF(Table3[[#This Row],[Top Parent Account]]="",Table3[[#This Row],[Account Legal Name]],Table3[[#This Row],[Top Parent Account]])</f>
        <v>Rancho Santa Rita</v>
      </c>
      <c r="H3977" s="1"/>
    </row>
    <row r="3978" spans="1:8" x14ac:dyDescent="0.35">
      <c r="A3978" s="21"/>
      <c r="B3978" t="s">
        <v>2345</v>
      </c>
      <c r="C3978" t="s">
        <v>6</v>
      </c>
      <c r="D3978" t="s">
        <v>2709</v>
      </c>
      <c r="F3978" s="1">
        <v>45848</v>
      </c>
      <c r="G3978" t="str">
        <f>IF(Table3[[#This Row],[Top Parent Account]]="",Table3[[#This Row],[Account Legal Name]],Table3[[#This Row],[Top Parent Account]])</f>
        <v>Sandvik Mining And Construction de México</v>
      </c>
      <c r="H3978" s="1"/>
    </row>
    <row r="3979" spans="1:8" x14ac:dyDescent="0.35">
      <c r="A3979" s="21"/>
      <c r="B3979" t="s">
        <v>8</v>
      </c>
      <c r="C3979" t="s">
        <v>6</v>
      </c>
      <c r="D3979" t="s">
        <v>349</v>
      </c>
      <c r="F3979" s="1">
        <v>45848</v>
      </c>
      <c r="G3979" t="str">
        <f>IF(Table3[[#This Row],[Top Parent Account]]="",Table3[[#This Row],[Account Legal Name]],Table3[[#This Row],[Top Parent Account]])</f>
        <v>Distribuidora Alimenticia Maravatio</v>
      </c>
      <c r="H3979" s="1"/>
    </row>
    <row r="3980" spans="1:8" x14ac:dyDescent="0.35">
      <c r="A3980" s="21"/>
      <c r="B3980" t="s">
        <v>1006</v>
      </c>
      <c r="C3980" t="s">
        <v>6</v>
      </c>
      <c r="D3980" t="s">
        <v>349</v>
      </c>
      <c r="F3980" s="1">
        <v>45848</v>
      </c>
      <c r="G3980" t="str">
        <f>IF(Table3[[#This Row],[Top Parent Account]]="",Table3[[#This Row],[Account Legal Name]],Table3[[#This Row],[Top Parent Account]])</f>
        <v>Distribuidora Alimenticia Maravatio</v>
      </c>
      <c r="H3980" s="1"/>
    </row>
    <row r="3981" spans="1:8" x14ac:dyDescent="0.35">
      <c r="A3981" s="21"/>
      <c r="B3981" t="s">
        <v>88</v>
      </c>
      <c r="C3981" t="s">
        <v>6</v>
      </c>
      <c r="D3981" t="s">
        <v>2710</v>
      </c>
      <c r="F3981" s="1">
        <v>45847</v>
      </c>
      <c r="G3981" t="str">
        <f>IF(Table3[[#This Row],[Top Parent Account]]="",Table3[[#This Row],[Account Legal Name]],Table3[[#This Row],[Top Parent Account]])</f>
        <v>Recolectora y Servicios Ambientales San Isidro</v>
      </c>
      <c r="H3981" s="1"/>
    </row>
    <row r="3982" spans="1:8" x14ac:dyDescent="0.35">
      <c r="A3982" s="21"/>
      <c r="B3982" t="s">
        <v>1643</v>
      </c>
      <c r="C3982" t="s">
        <v>6</v>
      </c>
      <c r="D3982" t="s">
        <v>2698</v>
      </c>
      <c r="E3982" t="s">
        <v>2699</v>
      </c>
      <c r="F3982" s="1">
        <v>45847</v>
      </c>
      <c r="G3982" t="str">
        <f>IF(Table3[[#This Row],[Top Parent Account]]="",Table3[[#This Row],[Account Legal Name]],Table3[[#This Row],[Top Parent Account]])</f>
        <v>Grupo Chapa</v>
      </c>
      <c r="H3982" s="1"/>
    </row>
    <row r="3983" spans="1:8" x14ac:dyDescent="0.35">
      <c r="A3983" s="21"/>
      <c r="B3983" t="s">
        <v>39</v>
      </c>
      <c r="C3983" t="s">
        <v>2712</v>
      </c>
      <c r="D3983" t="s">
        <v>1981</v>
      </c>
      <c r="F3983" s="1">
        <v>45847</v>
      </c>
      <c r="G3983" t="str">
        <f>IF(Table3[[#This Row],[Top Parent Account]]="",Table3[[#This Row],[Account Legal Name]],Table3[[#This Row],[Top Parent Account]])</f>
        <v>Consultoría y Asesoría De Redes</v>
      </c>
      <c r="H3983" s="1"/>
    </row>
    <row r="3984" spans="1:8" x14ac:dyDescent="0.35">
      <c r="A3984" s="21"/>
      <c r="B3984" t="s">
        <v>21</v>
      </c>
      <c r="C3984" t="s">
        <v>6</v>
      </c>
      <c r="D3984" t="s">
        <v>2572</v>
      </c>
      <c r="F3984" s="1">
        <v>45847</v>
      </c>
      <c r="G3984" t="str">
        <f>IF(Table3[[#This Row],[Top Parent Account]]="",Table3[[#This Row],[Account Legal Name]],Table3[[#This Row],[Top Parent Account]])</f>
        <v>Sistemas Contino</v>
      </c>
      <c r="H3984" s="1"/>
    </row>
    <row r="3985" spans="1:8" x14ac:dyDescent="0.35">
      <c r="A3985" s="21"/>
      <c r="B3985" t="s">
        <v>14</v>
      </c>
      <c r="C3985" t="s">
        <v>6</v>
      </c>
      <c r="D3985" t="s">
        <v>2713</v>
      </c>
      <c r="E3985" t="s">
        <v>2714</v>
      </c>
      <c r="F3985" s="1">
        <v>45847</v>
      </c>
      <c r="G3985" t="str">
        <f>IF(Table3[[#This Row],[Top Parent Account]]="",Table3[[#This Row],[Account Legal Name]],Table3[[#This Row],[Top Parent Account]])</f>
        <v>Concretos 3000</v>
      </c>
      <c r="H3985" s="1"/>
    </row>
    <row r="3986" spans="1:8" x14ac:dyDescent="0.35">
      <c r="A3986" s="21"/>
      <c r="B3986" t="s">
        <v>70</v>
      </c>
      <c r="C3986" t="s">
        <v>6</v>
      </c>
      <c r="D3986" t="s">
        <v>1100</v>
      </c>
      <c r="E3986" t="s">
        <v>691</v>
      </c>
      <c r="F3986" s="1">
        <v>45847</v>
      </c>
      <c r="G3986" t="str">
        <f>IF(Table3[[#This Row],[Top Parent Account]]="",Table3[[#This Row],[Account Legal Name]],Table3[[#This Row],[Top Parent Account]])</f>
        <v>Medivida</v>
      </c>
      <c r="H3986" s="1"/>
    </row>
    <row r="3987" spans="1:8" x14ac:dyDescent="0.35">
      <c r="A3987" s="21"/>
      <c r="B3987" t="s">
        <v>925</v>
      </c>
      <c r="C3987" t="s">
        <v>6</v>
      </c>
      <c r="D3987" t="s">
        <v>2498</v>
      </c>
      <c r="F3987" s="1">
        <v>45847</v>
      </c>
      <c r="G3987" t="str">
        <f>IF(Table3[[#This Row],[Top Parent Account]]="",Table3[[#This Row],[Account Legal Name]],Table3[[#This Row],[Top Parent Account]])</f>
        <v>GUSTAVO CAMPOS ZAMORA</v>
      </c>
      <c r="H3987" s="1"/>
    </row>
    <row r="3988" spans="1:8" x14ac:dyDescent="0.35">
      <c r="A3988" s="21"/>
      <c r="B3988" t="s">
        <v>56</v>
      </c>
      <c r="C3988" t="s">
        <v>6</v>
      </c>
      <c r="D3988" t="s">
        <v>452</v>
      </c>
      <c r="F3988" s="1">
        <v>45847</v>
      </c>
      <c r="G3988" t="str">
        <f>IF(Table3[[#This Row],[Top Parent Account]]="",Table3[[#This Row],[Account Legal Name]],Table3[[#This Row],[Top Parent Account]])</f>
        <v>Tiendas Tres B</v>
      </c>
      <c r="H3988" s="1"/>
    </row>
    <row r="3989" spans="1:8" x14ac:dyDescent="0.35">
      <c r="A3989" s="21"/>
      <c r="B3989" t="s">
        <v>1511</v>
      </c>
      <c r="C3989" t="s">
        <v>6</v>
      </c>
      <c r="D3989" t="s">
        <v>2715</v>
      </c>
      <c r="F3989" s="1">
        <v>45847</v>
      </c>
      <c r="G3989" t="str">
        <f>IF(Table3[[#This Row],[Top Parent Account]]="",Table3[[#This Row],[Account Legal Name]],Table3[[#This Row],[Top Parent Account]])</f>
        <v>Salve Administracion</v>
      </c>
      <c r="H3989" s="1"/>
    </row>
    <row r="3990" spans="1:8" x14ac:dyDescent="0.35">
      <c r="A3990" s="21"/>
      <c r="B3990" t="s">
        <v>28</v>
      </c>
      <c r="C3990" t="s">
        <v>6</v>
      </c>
      <c r="D3990" t="s">
        <v>2776</v>
      </c>
      <c r="F3990" s="1">
        <v>45847</v>
      </c>
      <c r="G3990" t="str">
        <f>IF(Table3[[#This Row],[Top Parent Account]]="",Table3[[#This Row],[Account Legal Name]],Table3[[#This Row],[Top Parent Account]])</f>
        <v>GRUPO LOS FER 5</v>
      </c>
      <c r="H3990" s="1"/>
    </row>
    <row r="3991" spans="1:8" x14ac:dyDescent="0.35">
      <c r="A3991" s="21"/>
      <c r="B3991" t="s">
        <v>12</v>
      </c>
      <c r="C3991" t="s">
        <v>6</v>
      </c>
      <c r="D3991" t="s">
        <v>2763</v>
      </c>
      <c r="F3991" s="1">
        <v>45847</v>
      </c>
      <c r="G3991" t="str">
        <f>IF(Table3[[#This Row],[Top Parent Account]]="",Table3[[#This Row],[Account Legal Name]],Table3[[#This Row],[Top Parent Account]])</f>
        <v>Fletera Itzae</v>
      </c>
      <c r="H3991" s="1"/>
    </row>
    <row r="3992" spans="1:8" x14ac:dyDescent="0.35">
      <c r="A3992" s="21"/>
      <c r="B3992" t="s">
        <v>1643</v>
      </c>
      <c r="C3992" t="s">
        <v>6</v>
      </c>
      <c r="D3992" t="s">
        <v>2698</v>
      </c>
      <c r="E3992" t="s">
        <v>2699</v>
      </c>
      <c r="F3992" s="1">
        <v>45847</v>
      </c>
      <c r="G3992" t="str">
        <f>IF(Table3[[#This Row],[Top Parent Account]]="",Table3[[#This Row],[Account Legal Name]],Table3[[#This Row],[Top Parent Account]])</f>
        <v>Grupo Chapa</v>
      </c>
      <c r="H3992" s="1"/>
    </row>
    <row r="3993" spans="1:8" x14ac:dyDescent="0.35">
      <c r="A3993" s="21"/>
      <c r="B3993" t="s">
        <v>1643</v>
      </c>
      <c r="C3993" t="s">
        <v>6</v>
      </c>
      <c r="D3993" t="s">
        <v>2711</v>
      </c>
      <c r="F3993" s="1">
        <v>45847</v>
      </c>
      <c r="G3993" t="str">
        <f>IF(Table3[[#This Row],[Top Parent Account]]="",Table3[[#This Row],[Account Legal Name]],Table3[[#This Row],[Top Parent Account]])</f>
        <v>Dyasa</v>
      </c>
      <c r="H3993" s="1"/>
    </row>
    <row r="3994" spans="1:8" x14ac:dyDescent="0.35">
      <c r="A3994" s="21"/>
      <c r="B3994" t="s">
        <v>14</v>
      </c>
      <c r="C3994" t="s">
        <v>6</v>
      </c>
      <c r="D3994" t="s">
        <v>2716</v>
      </c>
      <c r="E3994" t="s">
        <v>1492</v>
      </c>
      <c r="F3994" s="1">
        <v>45847</v>
      </c>
      <c r="G3994" t="str">
        <f>IF(Table3[[#This Row],[Top Parent Account]]="",Table3[[#This Row],[Account Legal Name]],Table3[[#This Row],[Top Parent Account]])</f>
        <v>Omega Aleaciones</v>
      </c>
      <c r="H3994" s="1"/>
    </row>
    <row r="3995" spans="1:8" x14ac:dyDescent="0.35">
      <c r="A3995" s="21"/>
      <c r="B3995" t="s">
        <v>23</v>
      </c>
      <c r="C3995" t="s">
        <v>6</v>
      </c>
      <c r="D3995" t="s">
        <v>1574</v>
      </c>
      <c r="F3995" s="1">
        <v>45847</v>
      </c>
      <c r="G3995" t="str">
        <f>IF(Table3[[#This Row],[Top Parent Account]]="",Table3[[#This Row],[Account Legal Name]],Table3[[#This Row],[Top Parent Account]])</f>
        <v>COMERCIALIZADORA METALICA DEL CENTRO</v>
      </c>
      <c r="H3995" s="1"/>
    </row>
    <row r="3996" spans="1:8" x14ac:dyDescent="0.35">
      <c r="A3996" s="21"/>
      <c r="B3996" t="s">
        <v>38</v>
      </c>
      <c r="C3996" t="s">
        <v>6</v>
      </c>
      <c r="D3996" t="s">
        <v>669</v>
      </c>
      <c r="F3996" s="1">
        <v>45847</v>
      </c>
      <c r="G3996" t="str">
        <f>IF(Table3[[#This Row],[Top Parent Account]]="",Table3[[#This Row],[Account Legal Name]],Table3[[#This Row],[Top Parent Account]])</f>
        <v>Lactomark</v>
      </c>
      <c r="H3996" s="1"/>
    </row>
    <row r="3997" spans="1:8" x14ac:dyDescent="0.35">
      <c r="A3997" s="21"/>
      <c r="B3997" t="s">
        <v>21</v>
      </c>
      <c r="C3997" t="s">
        <v>6</v>
      </c>
      <c r="D3997" t="s">
        <v>1202</v>
      </c>
      <c r="F3997" s="1">
        <v>45847</v>
      </c>
      <c r="G3997" t="str">
        <f>IF(Table3[[#This Row],[Top Parent Account]]="",Table3[[#This Row],[Account Legal Name]],Table3[[#This Row],[Top Parent Account]])</f>
        <v>Grupo las Américas</v>
      </c>
      <c r="H3997" s="1"/>
    </row>
    <row r="3998" spans="1:8" x14ac:dyDescent="0.35">
      <c r="A3998" s="21"/>
      <c r="B3998" t="s">
        <v>23</v>
      </c>
      <c r="C3998" t="s">
        <v>6</v>
      </c>
      <c r="D3998" t="s">
        <v>871</v>
      </c>
      <c r="F3998" s="1">
        <v>45847</v>
      </c>
      <c r="G3998" t="str">
        <f>IF(Table3[[#This Row],[Top Parent Account]]="",Table3[[#This Row],[Account Legal Name]],Table3[[#This Row],[Top Parent Account]])</f>
        <v>EQUIPAMIENTO VEHICULAR MEXICO</v>
      </c>
      <c r="H3998" s="1"/>
    </row>
    <row r="3999" spans="1:8" x14ac:dyDescent="0.35">
      <c r="A3999" s="21"/>
      <c r="B3999" t="s">
        <v>88</v>
      </c>
      <c r="C3999" t="s">
        <v>6</v>
      </c>
      <c r="D3999" t="s">
        <v>2717</v>
      </c>
      <c r="F3999" s="1">
        <v>45847</v>
      </c>
      <c r="G3999" t="str">
        <f>IF(Table3[[#This Row],[Top Parent Account]]="",Table3[[#This Row],[Account Legal Name]],Table3[[#This Row],[Top Parent Account]])</f>
        <v>Alvaro Curiel Villarreal</v>
      </c>
      <c r="H3999" s="1"/>
    </row>
    <row r="4000" spans="1:8" x14ac:dyDescent="0.35">
      <c r="A4000" s="21"/>
      <c r="B4000" t="s">
        <v>32</v>
      </c>
      <c r="C4000" t="s">
        <v>6</v>
      </c>
      <c r="D4000" t="s">
        <v>2764</v>
      </c>
      <c r="F4000" s="1">
        <v>45847</v>
      </c>
      <c r="G4000" t="str">
        <f>IF(Table3[[#This Row],[Top Parent Account]]="",Table3[[#This Row],[Account Legal Name]],Table3[[#This Row],[Top Parent Account]])</f>
        <v>INDUSTRIAS CHAHIN DE ORIZABA</v>
      </c>
      <c r="H4000" s="1"/>
    </row>
    <row r="4001" spans="1:8" x14ac:dyDescent="0.35">
      <c r="A4001" s="21"/>
      <c r="B4001" t="s">
        <v>820</v>
      </c>
      <c r="C4001" t="s">
        <v>6</v>
      </c>
      <c r="D4001" t="s">
        <v>2718</v>
      </c>
      <c r="F4001" s="1">
        <v>45847</v>
      </c>
      <c r="G4001" t="str">
        <f>IF(Table3[[#This Row],[Top Parent Account]]="",Table3[[#This Row],[Account Legal Name]],Table3[[#This Row],[Top Parent Account]])</f>
        <v>Grupo Azor México</v>
      </c>
      <c r="H4001" s="1"/>
    </row>
    <row r="4002" spans="1:8" x14ac:dyDescent="0.35">
      <c r="A4002" s="21"/>
      <c r="B4002" t="s">
        <v>32</v>
      </c>
      <c r="C4002" t="s">
        <v>6</v>
      </c>
      <c r="D4002" t="s">
        <v>2719</v>
      </c>
      <c r="F4002" s="1">
        <v>45847</v>
      </c>
      <c r="G4002" t="str">
        <f>IF(Table3[[#This Row],[Top Parent Account]]="",Table3[[#This Row],[Account Legal Name]],Table3[[#This Row],[Top Parent Account]])</f>
        <v>Transportes Bueno</v>
      </c>
      <c r="H4002" s="1"/>
    </row>
    <row r="4003" spans="1:8" x14ac:dyDescent="0.35">
      <c r="A4003" s="21"/>
      <c r="B4003" t="s">
        <v>32</v>
      </c>
      <c r="C4003" t="s">
        <v>2765</v>
      </c>
      <c r="D4003" t="s">
        <v>535</v>
      </c>
      <c r="F4003" s="1">
        <v>45847</v>
      </c>
      <c r="G4003" t="str">
        <f>IF(Table3[[#This Row],[Top Parent Account]]="",Table3[[#This Row],[Account Legal Name]],Table3[[#This Row],[Top Parent Account]])</f>
        <v>Embotelladora El Jarocho</v>
      </c>
      <c r="H4003" s="1"/>
    </row>
    <row r="4004" spans="1:8" x14ac:dyDescent="0.35">
      <c r="A4004" s="21"/>
      <c r="B4004" t="s">
        <v>280</v>
      </c>
      <c r="C4004" t="s">
        <v>6</v>
      </c>
      <c r="D4004" t="s">
        <v>883</v>
      </c>
      <c r="F4004" s="1">
        <v>45847</v>
      </c>
      <c r="G4004" t="str">
        <f>IF(Table3[[#This Row],[Top Parent Account]]="",Table3[[#This Row],[Account Legal Name]],Table3[[#This Row],[Top Parent Account]])</f>
        <v>Chg hospitales</v>
      </c>
      <c r="H4004" s="1"/>
    </row>
    <row r="4005" spans="1:8" x14ac:dyDescent="0.35">
      <c r="A4005" s="21"/>
      <c r="B4005" t="s">
        <v>14</v>
      </c>
      <c r="C4005" t="s">
        <v>6</v>
      </c>
      <c r="D4005" t="s">
        <v>2746</v>
      </c>
      <c r="F4005" s="1">
        <v>45847</v>
      </c>
      <c r="G4005" t="str">
        <f>IF(Table3[[#This Row],[Top Parent Account]]="",Table3[[#This Row],[Account Legal Name]],Table3[[#This Row],[Top Parent Account]])</f>
        <v>Destiladora De Los Altos</v>
      </c>
      <c r="H4005" s="1"/>
    </row>
    <row r="4006" spans="1:8" x14ac:dyDescent="0.35">
      <c r="A4006" s="21"/>
      <c r="B4006" t="s">
        <v>27</v>
      </c>
      <c r="C4006" t="s">
        <v>22</v>
      </c>
      <c r="D4006" t="s">
        <v>2449</v>
      </c>
      <c r="F4006" s="1">
        <v>45847</v>
      </c>
      <c r="G4006" t="str">
        <f>IF(Table3[[#This Row],[Top Parent Account]]="",Table3[[#This Row],[Account Legal Name]],Table3[[#This Row],[Top Parent Account]])</f>
        <v>Almacén y Cruce de Occidente</v>
      </c>
      <c r="H4006" s="1"/>
    </row>
    <row r="4007" spans="1:8" x14ac:dyDescent="0.35">
      <c r="A4007" s="21"/>
      <c r="B4007" t="s">
        <v>21</v>
      </c>
      <c r="C4007" t="s">
        <v>6</v>
      </c>
      <c r="D4007" t="s">
        <v>2766</v>
      </c>
      <c r="F4007" s="1">
        <v>45847</v>
      </c>
      <c r="G4007" t="str">
        <f>IF(Table3[[#This Row],[Top Parent Account]]="",Table3[[#This Row],[Account Legal Name]],Table3[[#This Row],[Top Parent Account]])</f>
        <v>Aguas de Israel</v>
      </c>
      <c r="H4007" s="1"/>
    </row>
    <row r="4008" spans="1:8" x14ac:dyDescent="0.35">
      <c r="A4008" s="21"/>
      <c r="B4008" t="s">
        <v>21</v>
      </c>
      <c r="C4008" t="s">
        <v>6</v>
      </c>
      <c r="D4008" t="s">
        <v>2767</v>
      </c>
      <c r="F4008" s="1">
        <v>45847</v>
      </c>
      <c r="G4008" t="str">
        <f>IF(Table3[[#This Row],[Top Parent Account]]="",Table3[[#This Row],[Account Legal Name]],Table3[[#This Row],[Top Parent Account]])</f>
        <v>Fricongelados Citlaltepetl</v>
      </c>
      <c r="H4008" s="1"/>
    </row>
    <row r="4009" spans="1:8" x14ac:dyDescent="0.35">
      <c r="A4009" s="21"/>
      <c r="B4009" t="s">
        <v>121</v>
      </c>
      <c r="C4009" t="s">
        <v>6</v>
      </c>
      <c r="D4009" t="s">
        <v>746</v>
      </c>
      <c r="F4009" s="1">
        <v>45847</v>
      </c>
      <c r="G4009" t="str">
        <f>IF(Table3[[#This Row],[Top Parent Account]]="",Table3[[#This Row],[Account Legal Name]],Table3[[#This Row],[Top Parent Account]])</f>
        <v>Ambienta Tus Momentos</v>
      </c>
      <c r="H4009" s="1"/>
    </row>
    <row r="4010" spans="1:8" x14ac:dyDescent="0.35">
      <c r="A4010" s="21"/>
      <c r="B4010" t="s">
        <v>969</v>
      </c>
      <c r="C4010" t="s">
        <v>6</v>
      </c>
      <c r="D4010" t="s">
        <v>2720</v>
      </c>
      <c r="F4010" s="1">
        <v>45847</v>
      </c>
      <c r="G4010" t="str">
        <f>IF(Table3[[#This Row],[Top Parent Account]]="",Table3[[#This Row],[Account Legal Name]],Table3[[#This Row],[Top Parent Account]])</f>
        <v>AGENCIA SINERGIS</v>
      </c>
      <c r="H4010" s="1"/>
    </row>
    <row r="4011" spans="1:8" x14ac:dyDescent="0.35">
      <c r="A4011" s="21"/>
      <c r="B4011" t="s">
        <v>1511</v>
      </c>
      <c r="C4011" t="s">
        <v>6</v>
      </c>
      <c r="D4011" t="s">
        <v>1775</v>
      </c>
      <c r="F4011" s="1">
        <v>45847</v>
      </c>
      <c r="G4011" t="str">
        <f>IF(Table3[[#This Row],[Top Parent Account]]="",Table3[[#This Row],[Account Legal Name]],Table3[[#This Row],[Top Parent Account]])</f>
        <v>Transportes De Los Santos</v>
      </c>
      <c r="H4011" s="1"/>
    </row>
    <row r="4012" spans="1:8" x14ac:dyDescent="0.35">
      <c r="A4012" s="21"/>
      <c r="B4012" t="s">
        <v>24</v>
      </c>
      <c r="C4012" t="s">
        <v>6</v>
      </c>
      <c r="D4012" t="s">
        <v>2820</v>
      </c>
      <c r="F4012" s="1">
        <v>45847</v>
      </c>
      <c r="G4012" t="str">
        <f>IF(Table3[[#This Row],[Top Parent Account]]="",Table3[[#This Row],[Account Legal Name]],Table3[[#This Row],[Top Parent Account]])</f>
        <v>Conservas Del Norte</v>
      </c>
      <c r="H4012" s="1"/>
    </row>
    <row r="4013" spans="1:8" x14ac:dyDescent="0.35">
      <c r="A4013" s="21"/>
      <c r="B4013" t="s">
        <v>932</v>
      </c>
      <c r="C4013" t="s">
        <v>2821</v>
      </c>
      <c r="D4013" t="s">
        <v>2064</v>
      </c>
      <c r="F4013" s="1">
        <v>45847</v>
      </c>
      <c r="G4013" t="str">
        <f>IF(Table3[[#This Row],[Top Parent Account]]="",Table3[[#This Row],[Account Legal Name]],Table3[[#This Row],[Top Parent Account]])</f>
        <v>Védat de Mexico</v>
      </c>
      <c r="H4013" s="1"/>
    </row>
    <row r="4014" spans="1:8" x14ac:dyDescent="0.35">
      <c r="A4014" s="21"/>
      <c r="B4014" t="s">
        <v>925</v>
      </c>
      <c r="C4014" t="s">
        <v>6</v>
      </c>
      <c r="D4014" t="s">
        <v>2819</v>
      </c>
      <c r="F4014" s="1">
        <v>45847</v>
      </c>
      <c r="G4014" t="str">
        <f>IF(Table3[[#This Row],[Top Parent Account]]="",Table3[[#This Row],[Account Legal Name]],Table3[[#This Row],[Top Parent Account]])</f>
        <v>RIVERA GROUP</v>
      </c>
      <c r="H4014" s="1"/>
    </row>
    <row r="4015" spans="1:8" x14ac:dyDescent="0.35">
      <c r="A4015" s="21"/>
      <c r="B4015" t="s">
        <v>25</v>
      </c>
      <c r="C4015" t="s">
        <v>6</v>
      </c>
      <c r="D4015" t="s">
        <v>1018</v>
      </c>
      <c r="F4015" s="1">
        <v>45847</v>
      </c>
      <c r="G4015" t="str">
        <f>IF(Table3[[#This Row],[Top Parent Account]]="",Table3[[#This Row],[Account Legal Name]],Table3[[#This Row],[Top Parent Account]])</f>
        <v>Sistemas de Empaque Industrial</v>
      </c>
      <c r="H4015" s="1"/>
    </row>
    <row r="4016" spans="1:8" x14ac:dyDescent="0.35">
      <c r="A4016" s="21"/>
      <c r="B4016" t="s">
        <v>32</v>
      </c>
      <c r="C4016" t="s">
        <v>22</v>
      </c>
      <c r="D4016" t="s">
        <v>487</v>
      </c>
      <c r="F4016" s="1">
        <v>45847</v>
      </c>
      <c r="G4016" t="str">
        <f>IF(Table3[[#This Row],[Top Parent Account]]="",Table3[[#This Row],[Account Legal Name]],Table3[[#This Row],[Top Parent Account]])</f>
        <v>Bustrain</v>
      </c>
      <c r="H4016" s="1"/>
    </row>
    <row r="4017" spans="1:8" x14ac:dyDescent="0.35">
      <c r="A4017" s="21"/>
      <c r="B4017" t="s">
        <v>932</v>
      </c>
      <c r="C4017" t="s">
        <v>1693</v>
      </c>
      <c r="D4017" t="s">
        <v>2822</v>
      </c>
      <c r="F4017" s="1">
        <v>45846</v>
      </c>
      <c r="G4017" t="str">
        <f>IF(Table3[[#This Row],[Top Parent Account]]="",Table3[[#This Row],[Account Legal Name]],Table3[[#This Row],[Top Parent Account]])</f>
        <v>BioEnergy</v>
      </c>
      <c r="H4017" s="1"/>
    </row>
    <row r="4018" spans="1:8" x14ac:dyDescent="0.35">
      <c r="A4018" s="21"/>
      <c r="B4018" t="s">
        <v>12</v>
      </c>
      <c r="C4018" t="s">
        <v>6</v>
      </c>
      <c r="D4018" t="s">
        <v>2721</v>
      </c>
      <c r="F4018" s="1">
        <v>45846</v>
      </c>
      <c r="G4018" t="str">
        <f>IF(Table3[[#This Row],[Top Parent Account]]="",Table3[[#This Row],[Account Legal Name]],Table3[[#This Row],[Top Parent Account]])</f>
        <v>Comercializadora Construgap</v>
      </c>
      <c r="H4018" s="1"/>
    </row>
    <row r="4019" spans="1:8" x14ac:dyDescent="0.35">
      <c r="A4019" s="21"/>
      <c r="B4019" t="s">
        <v>37</v>
      </c>
      <c r="C4019" t="s">
        <v>6</v>
      </c>
      <c r="D4019" t="s">
        <v>2722</v>
      </c>
      <c r="F4019" s="1">
        <v>45846</v>
      </c>
      <c r="G4019" t="str">
        <f>IF(Table3[[#This Row],[Top Parent Account]]="",Table3[[#This Row],[Account Legal Name]],Table3[[#This Row],[Top Parent Account]])</f>
        <v>Productos Agropecuarios Cachanilla</v>
      </c>
      <c r="H4019" s="1"/>
    </row>
    <row r="4020" spans="1:8" x14ac:dyDescent="0.35">
      <c r="A4020" s="21"/>
      <c r="B4020" t="s">
        <v>11</v>
      </c>
      <c r="C4020" t="s">
        <v>6</v>
      </c>
      <c r="D4020" t="s">
        <v>402</v>
      </c>
      <c r="F4020" s="1">
        <v>45846</v>
      </c>
      <c r="G4020" t="str">
        <f>IF(Table3[[#This Row],[Top Parent Account]]="",Table3[[#This Row],[Account Legal Name]],Table3[[#This Row],[Top Parent Account]])</f>
        <v>Bocar</v>
      </c>
      <c r="H4020" s="1"/>
    </row>
    <row r="4021" spans="1:8" x14ac:dyDescent="0.35">
      <c r="A4021" s="21"/>
      <c r="B4021" t="s">
        <v>88</v>
      </c>
      <c r="C4021" t="s">
        <v>6</v>
      </c>
      <c r="D4021" t="s">
        <v>2723</v>
      </c>
      <c r="F4021" s="1">
        <v>45846</v>
      </c>
      <c r="G4021" t="str">
        <f>IF(Table3[[#This Row],[Top Parent Account]]="",Table3[[#This Row],[Account Legal Name]],Table3[[#This Row],[Top Parent Account]])</f>
        <v>Kff Auto Group</v>
      </c>
      <c r="H4021" s="1"/>
    </row>
    <row r="4022" spans="1:8" x14ac:dyDescent="0.35">
      <c r="A4022" s="21"/>
      <c r="B4022" t="s">
        <v>25</v>
      </c>
      <c r="C4022" t="s">
        <v>6</v>
      </c>
      <c r="D4022" t="s">
        <v>2724</v>
      </c>
      <c r="F4022" s="1">
        <v>45846</v>
      </c>
      <c r="G4022" t="str">
        <f>IF(Table3[[#This Row],[Top Parent Account]]="",Table3[[#This Row],[Account Legal Name]],Table3[[#This Row],[Top Parent Account]])</f>
        <v>Alambique de Oro</v>
      </c>
      <c r="H4022" s="1"/>
    </row>
    <row r="4023" spans="1:8" x14ac:dyDescent="0.35">
      <c r="A4023" s="21"/>
      <c r="B4023" t="s">
        <v>8</v>
      </c>
      <c r="C4023" t="s">
        <v>6</v>
      </c>
      <c r="D4023" t="s">
        <v>2087</v>
      </c>
      <c r="F4023" s="1">
        <v>45846</v>
      </c>
      <c r="G4023" t="str">
        <f>IF(Table3[[#This Row],[Top Parent Account]]="",Table3[[#This Row],[Account Legal Name]],Table3[[#This Row],[Top Parent Account]])</f>
        <v>SUBASTAS PROFESIONALES SALPROF</v>
      </c>
      <c r="H4023" s="1"/>
    </row>
    <row r="4024" spans="1:8" x14ac:dyDescent="0.35">
      <c r="A4024" s="21"/>
      <c r="B4024" t="s">
        <v>207</v>
      </c>
      <c r="C4024" t="s">
        <v>6</v>
      </c>
      <c r="D4024" t="s">
        <v>2725</v>
      </c>
      <c r="F4024" s="1">
        <v>45846</v>
      </c>
      <c r="G4024" t="str">
        <f>IF(Table3[[#This Row],[Top Parent Account]]="",Table3[[#This Row],[Account Legal Name]],Table3[[#This Row],[Top Parent Account]])</f>
        <v>ABC Logistica</v>
      </c>
      <c r="H4024" s="1"/>
    </row>
    <row r="4025" spans="1:8" x14ac:dyDescent="0.35">
      <c r="A4025" s="21"/>
      <c r="B4025" t="s">
        <v>10</v>
      </c>
      <c r="C4025" t="s">
        <v>6</v>
      </c>
      <c r="D4025" t="s">
        <v>296</v>
      </c>
      <c r="F4025" s="1">
        <v>45846</v>
      </c>
      <c r="G4025" t="str">
        <f>IF(Table3[[#This Row],[Top Parent Account]]="",Table3[[#This Row],[Account Legal Name]],Table3[[#This Row],[Top Parent Account]])</f>
        <v>Express Mg</v>
      </c>
      <c r="H4025" s="1"/>
    </row>
    <row r="4026" spans="1:8" x14ac:dyDescent="0.35">
      <c r="A4026" s="21"/>
      <c r="B4026" t="s">
        <v>14</v>
      </c>
      <c r="C4026" t="s">
        <v>6</v>
      </c>
      <c r="D4026" t="s">
        <v>1160</v>
      </c>
      <c r="F4026" s="1">
        <v>45846</v>
      </c>
      <c r="G4026" t="str">
        <f>IF(Table3[[#This Row],[Top Parent Account]]="",Table3[[#This Row],[Account Legal Name]],Table3[[#This Row],[Top Parent Account]])</f>
        <v>Gruas Alpha</v>
      </c>
      <c r="H4026" s="1"/>
    </row>
    <row r="4027" spans="1:8" x14ac:dyDescent="0.35">
      <c r="A4027" s="21"/>
      <c r="B4027" t="s">
        <v>21</v>
      </c>
      <c r="C4027" t="s">
        <v>6</v>
      </c>
      <c r="D4027" t="s">
        <v>2768</v>
      </c>
      <c r="F4027" s="1">
        <v>45846</v>
      </c>
      <c r="G4027" t="str">
        <f>IF(Table3[[#This Row],[Top Parent Account]]="",Table3[[#This Row],[Account Legal Name]],Table3[[#This Row],[Top Parent Account]])</f>
        <v>Veracitrus Packhouse</v>
      </c>
      <c r="H4027" s="1"/>
    </row>
    <row r="4028" spans="1:8" x14ac:dyDescent="0.35">
      <c r="A4028" s="21"/>
      <c r="B4028" t="s">
        <v>1495</v>
      </c>
      <c r="C4028" t="s">
        <v>2823</v>
      </c>
      <c r="D4028" t="s">
        <v>2728</v>
      </c>
      <c r="E4028" t="s">
        <v>573</v>
      </c>
      <c r="F4028" s="1">
        <v>45846</v>
      </c>
      <c r="G4028" t="str">
        <f>IF(Table3[[#This Row],[Top Parent Account]]="",Table3[[#This Row],[Account Legal Name]],Table3[[#This Row],[Top Parent Account]])</f>
        <v>Lvmh Perfumes y Cosmeticos de México</v>
      </c>
      <c r="H4028" s="1"/>
    </row>
    <row r="4029" spans="1:8" x14ac:dyDescent="0.35">
      <c r="A4029" s="21"/>
      <c r="B4029" t="s">
        <v>969</v>
      </c>
      <c r="C4029" t="s">
        <v>6</v>
      </c>
      <c r="D4029" t="s">
        <v>2726</v>
      </c>
      <c r="F4029" s="1">
        <v>45846</v>
      </c>
      <c r="G4029" t="str">
        <f>IF(Table3[[#This Row],[Top Parent Account]]="",Table3[[#This Row],[Account Legal Name]],Table3[[#This Row],[Top Parent Account]])</f>
        <v>Poliuretanos</v>
      </c>
      <c r="H4029" s="1"/>
    </row>
    <row r="4030" spans="1:8" x14ac:dyDescent="0.35">
      <c r="A4030" s="21"/>
      <c r="B4030" t="s">
        <v>1131</v>
      </c>
      <c r="C4030" t="s">
        <v>6</v>
      </c>
      <c r="D4030" t="s">
        <v>2727</v>
      </c>
      <c r="F4030" s="1">
        <v>45846</v>
      </c>
      <c r="G4030" t="str">
        <f>IF(Table3[[#This Row],[Top Parent Account]]="",Table3[[#This Row],[Account Legal Name]],Table3[[#This Row],[Top Parent Account]])</f>
        <v>Grupo Avícola Quiñones</v>
      </c>
      <c r="H4030" s="1"/>
    </row>
    <row r="4031" spans="1:8" x14ac:dyDescent="0.35">
      <c r="A4031" s="21"/>
      <c r="B4031" t="s">
        <v>51</v>
      </c>
      <c r="C4031" t="s">
        <v>6</v>
      </c>
      <c r="D4031" t="s">
        <v>2769</v>
      </c>
      <c r="F4031" s="1">
        <v>45846</v>
      </c>
      <c r="G4031" t="str">
        <f>IF(Table3[[#This Row],[Top Parent Account]]="",Table3[[#This Row],[Account Legal Name]],Table3[[#This Row],[Top Parent Account]])</f>
        <v>Betos Trucking</v>
      </c>
      <c r="H4031" s="1"/>
    </row>
    <row r="4032" spans="1:8" x14ac:dyDescent="0.35">
      <c r="A4032" s="21"/>
      <c r="B4032" t="s">
        <v>21</v>
      </c>
      <c r="C4032" t="s">
        <v>6</v>
      </c>
      <c r="D4032" t="s">
        <v>2770</v>
      </c>
      <c r="F4032" s="1">
        <v>45846</v>
      </c>
      <c r="G4032" t="str">
        <f>IF(Table3[[#This Row],[Top Parent Account]]="",Table3[[#This Row],[Account Legal Name]],Table3[[#This Row],[Top Parent Account]])</f>
        <v>Grupo Sucro</v>
      </c>
      <c r="H4032" s="1"/>
    </row>
    <row r="4033" spans="1:8" x14ac:dyDescent="0.35">
      <c r="A4033" s="21"/>
      <c r="B4033" t="s">
        <v>30</v>
      </c>
      <c r="C4033" t="s">
        <v>6</v>
      </c>
      <c r="D4033" t="s">
        <v>290</v>
      </c>
      <c r="E4033" t="s">
        <v>291</v>
      </c>
      <c r="F4033" s="1">
        <v>45846</v>
      </c>
      <c r="G4033" t="str">
        <f>IF(Table3[[#This Row],[Top Parent Account]]="",Table3[[#This Row],[Account Legal Name]],Table3[[#This Row],[Top Parent Account]])</f>
        <v>Danone de México</v>
      </c>
      <c r="H4033" s="1"/>
    </row>
    <row r="4034" spans="1:8" x14ac:dyDescent="0.35">
      <c r="A4034" s="21"/>
      <c r="B4034" t="s">
        <v>10</v>
      </c>
      <c r="C4034" t="s">
        <v>6</v>
      </c>
      <c r="D4034" t="s">
        <v>666</v>
      </c>
      <c r="F4034" s="1">
        <v>45846</v>
      </c>
      <c r="G4034" t="str">
        <f>IF(Table3[[#This Row],[Top Parent Account]]="",Table3[[#This Row],[Account Legal Name]],Table3[[#This Row],[Top Parent Account]])</f>
        <v>Hospital San Javier</v>
      </c>
      <c r="H4034" s="1"/>
    </row>
    <row r="4035" spans="1:8" x14ac:dyDescent="0.35">
      <c r="A4035" s="21"/>
      <c r="B4035" t="s">
        <v>26</v>
      </c>
      <c r="C4035" t="s">
        <v>6</v>
      </c>
      <c r="D4035" t="s">
        <v>2771</v>
      </c>
      <c r="F4035" s="1">
        <v>45846</v>
      </c>
      <c r="G4035" t="str">
        <f>IF(Table3[[#This Row],[Top Parent Account]]="",Table3[[#This Row],[Account Legal Name]],Table3[[#This Row],[Top Parent Account]])</f>
        <v>Tae Global Foods</v>
      </c>
      <c r="H4035" s="1"/>
    </row>
    <row r="4036" spans="1:8" x14ac:dyDescent="0.35">
      <c r="A4036" s="21"/>
      <c r="B4036" t="s">
        <v>1643</v>
      </c>
      <c r="C4036" t="s">
        <v>6</v>
      </c>
      <c r="D4036" t="s">
        <v>2729</v>
      </c>
      <c r="F4036" s="1">
        <v>45846</v>
      </c>
      <c r="G4036" t="str">
        <f>IF(Table3[[#This Row],[Top Parent Account]]="",Table3[[#This Row],[Account Legal Name]],Table3[[#This Row],[Top Parent Account]])</f>
        <v>Avila Reyes Sucesores (Grupo LTM)</v>
      </c>
      <c r="H4036" s="1"/>
    </row>
    <row r="4037" spans="1:8" x14ac:dyDescent="0.35">
      <c r="A4037" s="21"/>
      <c r="B4037" t="s">
        <v>88</v>
      </c>
      <c r="C4037" t="s">
        <v>6</v>
      </c>
      <c r="D4037" t="s">
        <v>904</v>
      </c>
      <c r="F4037" s="1">
        <v>45846</v>
      </c>
      <c r="G4037" t="str">
        <f>IF(Table3[[#This Row],[Top Parent Account]]="",Table3[[#This Row],[Account Legal Name]],Table3[[#This Row],[Top Parent Account]])</f>
        <v>BOLTRONIC</v>
      </c>
      <c r="H4037" s="1"/>
    </row>
    <row r="4038" spans="1:8" x14ac:dyDescent="0.35">
      <c r="A4038" s="21"/>
      <c r="B4038" t="s">
        <v>21</v>
      </c>
      <c r="C4038" t="s">
        <v>6</v>
      </c>
      <c r="D4038" t="s">
        <v>2772</v>
      </c>
      <c r="F4038" s="1">
        <v>45846</v>
      </c>
      <c r="G4038" t="str">
        <f>IF(Table3[[#This Row],[Top Parent Account]]="",Table3[[#This Row],[Account Legal Name]],Table3[[#This Row],[Top Parent Account]])</f>
        <v>PROGOMEX</v>
      </c>
      <c r="H4038" s="1"/>
    </row>
    <row r="4039" spans="1:8" x14ac:dyDescent="0.35">
      <c r="A4039" s="21"/>
      <c r="B4039" t="s">
        <v>70</v>
      </c>
      <c r="C4039" t="s">
        <v>6</v>
      </c>
      <c r="D4039" t="s">
        <v>568</v>
      </c>
      <c r="F4039" s="1">
        <v>45846</v>
      </c>
      <c r="G4039" t="str">
        <f>IF(Table3[[#This Row],[Top Parent Account]]="",Table3[[#This Row],[Account Legal Name]],Table3[[#This Row],[Top Parent Account]])</f>
        <v>COI Centro Oncológico Internacional</v>
      </c>
      <c r="H4039" s="1"/>
    </row>
    <row r="4040" spans="1:8" x14ac:dyDescent="0.35">
      <c r="A4040" s="21"/>
      <c r="B4040" t="s">
        <v>26</v>
      </c>
      <c r="C4040" t="s">
        <v>6</v>
      </c>
      <c r="D4040" t="s">
        <v>1086</v>
      </c>
      <c r="F4040" s="1">
        <v>45846</v>
      </c>
      <c r="G4040" t="str">
        <f>IF(Table3[[#This Row],[Top Parent Account]]="",Table3[[#This Row],[Account Legal Name]],Table3[[#This Row],[Top Parent Account]])</f>
        <v>Lumicolor Equipo Eléctrico Industrial</v>
      </c>
      <c r="H4040" s="1"/>
    </row>
    <row r="4041" spans="1:8" x14ac:dyDescent="0.35">
      <c r="A4041" s="21"/>
      <c r="B4041" t="s">
        <v>23</v>
      </c>
      <c r="C4041" t="s">
        <v>6</v>
      </c>
      <c r="D4041" t="s">
        <v>2614</v>
      </c>
      <c r="F4041" s="1">
        <v>45846</v>
      </c>
      <c r="G4041" t="str">
        <f>IF(Table3[[#This Row],[Top Parent Account]]="",Table3[[#This Row],[Account Legal Name]],Table3[[#This Row],[Top Parent Account]])</f>
        <v>Alfredo Montes Hernandez</v>
      </c>
      <c r="H4041" s="1"/>
    </row>
    <row r="4042" spans="1:8" x14ac:dyDescent="0.35">
      <c r="A4042" s="21"/>
      <c r="B4042" t="s">
        <v>51</v>
      </c>
      <c r="C4042" t="s">
        <v>6</v>
      </c>
      <c r="D4042" t="s">
        <v>2773</v>
      </c>
      <c r="F4042" s="1">
        <v>45846</v>
      </c>
      <c r="G4042" t="str">
        <f>IF(Table3[[#This Row],[Top Parent Account]]="",Table3[[#This Row],[Account Legal Name]],Table3[[#This Row],[Top Parent Account]])</f>
        <v>Transportes Refrigerados Galvan</v>
      </c>
      <c r="H4042" s="1"/>
    </row>
    <row r="4043" spans="1:8" x14ac:dyDescent="0.35">
      <c r="A4043" s="21"/>
      <c r="B4043" t="s">
        <v>10</v>
      </c>
      <c r="C4043" t="s">
        <v>6</v>
      </c>
      <c r="D4043" t="s">
        <v>445</v>
      </c>
      <c r="F4043" s="1">
        <v>45846</v>
      </c>
      <c r="G4043" t="str">
        <f>IF(Table3[[#This Row],[Top Parent Account]]="",Table3[[#This Row],[Account Legal Name]],Table3[[#This Row],[Top Parent Account]])</f>
        <v>GRUPO CASA MAZATLAN</v>
      </c>
      <c r="H4043" s="1"/>
    </row>
    <row r="4044" spans="1:8" x14ac:dyDescent="0.35">
      <c r="A4044" s="21"/>
      <c r="B4044" t="s">
        <v>121</v>
      </c>
      <c r="C4044" t="s">
        <v>6</v>
      </c>
      <c r="D4044" t="s">
        <v>2730</v>
      </c>
      <c r="F4044" s="1">
        <v>45846</v>
      </c>
      <c r="G4044" t="str">
        <f>IF(Table3[[#This Row],[Top Parent Account]]="",Table3[[#This Row],[Account Legal Name]],Table3[[#This Row],[Top Parent Account]])</f>
        <v>Grupo Passini</v>
      </c>
      <c r="H4044" s="1"/>
    </row>
    <row r="4045" spans="1:8" x14ac:dyDescent="0.35">
      <c r="A4045" s="21"/>
      <c r="B4045" t="s">
        <v>23</v>
      </c>
      <c r="C4045" t="s">
        <v>6</v>
      </c>
      <c r="D4045" t="s">
        <v>2319</v>
      </c>
      <c r="F4045" s="1">
        <v>45846</v>
      </c>
      <c r="G4045" t="str">
        <f>IF(Table3[[#This Row],[Top Parent Account]]="",Table3[[#This Row],[Account Legal Name]],Table3[[#This Row],[Top Parent Account]])</f>
        <v>GRUPO EMPRESARIAL ENLACE EN SISTEMAS DE AUTOTRANSPORTE</v>
      </c>
      <c r="H4045" s="1"/>
    </row>
    <row r="4046" spans="1:8" x14ac:dyDescent="0.35">
      <c r="A4046" s="21"/>
      <c r="B4046" t="s">
        <v>121</v>
      </c>
      <c r="C4046" t="s">
        <v>6</v>
      </c>
      <c r="D4046" t="s">
        <v>2731</v>
      </c>
      <c r="F4046" s="1">
        <v>45846</v>
      </c>
      <c r="G4046" t="str">
        <f>IF(Table3[[#This Row],[Top Parent Account]]="",Table3[[#This Row],[Account Legal Name]],Table3[[#This Row],[Top Parent Account]])</f>
        <v>DUALATOR</v>
      </c>
      <c r="H4046" s="1"/>
    </row>
    <row r="4047" spans="1:8" x14ac:dyDescent="0.35">
      <c r="A4047" s="21"/>
      <c r="B4047" t="s">
        <v>169</v>
      </c>
      <c r="C4047" t="s">
        <v>6</v>
      </c>
      <c r="D4047" t="s">
        <v>987</v>
      </c>
      <c r="F4047" s="1">
        <v>45846</v>
      </c>
      <c r="G4047" t="str">
        <f>IF(Table3[[#This Row],[Top Parent Account]]="",Table3[[#This Row],[Account Legal Name]],Table3[[#This Row],[Top Parent Account]])</f>
        <v>Elaboradora De Alimentos Pachuca</v>
      </c>
      <c r="H4047" s="1"/>
    </row>
    <row r="4048" spans="1:8" x14ac:dyDescent="0.35">
      <c r="A4048" s="21"/>
      <c r="B4048" t="s">
        <v>23</v>
      </c>
      <c r="C4048" t="s">
        <v>6</v>
      </c>
      <c r="D4048" t="s">
        <v>73</v>
      </c>
      <c r="F4048" s="1">
        <v>45846</v>
      </c>
      <c r="G4048" t="str">
        <f>IF(Table3[[#This Row],[Top Parent Account]]="",Table3[[#This Row],[Account Legal Name]],Table3[[#This Row],[Top Parent Account]])</f>
        <v>IPQ PLASTIQ</v>
      </c>
      <c r="H4048" s="1"/>
    </row>
    <row r="4049" spans="1:8" x14ac:dyDescent="0.35">
      <c r="A4049" s="21"/>
      <c r="B4049" t="s">
        <v>1899</v>
      </c>
      <c r="C4049" t="s">
        <v>6</v>
      </c>
      <c r="D4049" t="s">
        <v>2774</v>
      </c>
      <c r="F4049" s="1">
        <v>45846</v>
      </c>
      <c r="G4049" t="str">
        <f>IF(Table3[[#This Row],[Top Parent Account]]="",Table3[[#This Row],[Account Legal Name]],Table3[[#This Row],[Top Parent Account]])</f>
        <v>CONEXIONES TORNADO</v>
      </c>
      <c r="H4049" s="1"/>
    </row>
    <row r="4050" spans="1:8" x14ac:dyDescent="0.35">
      <c r="A4050" s="21"/>
      <c r="B4050" t="s">
        <v>739</v>
      </c>
      <c r="C4050" t="s">
        <v>6</v>
      </c>
      <c r="D4050" t="s">
        <v>1598</v>
      </c>
      <c r="E4050" t="s">
        <v>237</v>
      </c>
      <c r="F4050" s="1">
        <v>45845</v>
      </c>
      <c r="G4050" t="str">
        <f>IF(Table3[[#This Row],[Top Parent Account]]="",Table3[[#This Row],[Account Legal Name]],Table3[[#This Row],[Top Parent Account]])</f>
        <v>Premium Restaurant Brands</v>
      </c>
      <c r="H4050" s="1"/>
    </row>
    <row r="4051" spans="1:8" x14ac:dyDescent="0.35">
      <c r="A4051" s="21"/>
      <c r="B4051" t="s">
        <v>169</v>
      </c>
      <c r="C4051" t="s">
        <v>6</v>
      </c>
      <c r="D4051" t="s">
        <v>2021</v>
      </c>
      <c r="F4051" s="1">
        <v>45845</v>
      </c>
      <c r="G4051" t="str">
        <f>IF(Table3[[#This Row],[Top Parent Account]]="",Table3[[#This Row],[Account Legal Name]],Table3[[#This Row],[Top Parent Account]])</f>
        <v>REVERGY</v>
      </c>
      <c r="H4051" s="1"/>
    </row>
    <row r="4052" spans="1:8" x14ac:dyDescent="0.35">
      <c r="A4052" s="21"/>
      <c r="B4052" t="s">
        <v>10</v>
      </c>
      <c r="C4052" t="s">
        <v>6</v>
      </c>
      <c r="D4052" t="s">
        <v>79</v>
      </c>
      <c r="F4052" s="1">
        <v>45845</v>
      </c>
      <c r="G4052" t="str">
        <f>IF(Table3[[#This Row],[Top Parent Account]]="",Table3[[#This Row],[Account Legal Name]],Table3[[#This Row],[Top Parent Account]])</f>
        <v>Cereales y Pastas</v>
      </c>
      <c r="H4052" s="1"/>
    </row>
    <row r="4053" spans="1:8" x14ac:dyDescent="0.35">
      <c r="A4053" s="21"/>
      <c r="B4053" t="s">
        <v>969</v>
      </c>
      <c r="C4053" t="s">
        <v>6</v>
      </c>
      <c r="D4053" t="s">
        <v>2333</v>
      </c>
      <c r="F4053" s="1">
        <v>45845</v>
      </c>
      <c r="G4053" t="str">
        <f>IF(Table3[[#This Row],[Top Parent Account]]="",Table3[[#This Row],[Account Legal Name]],Table3[[#This Row],[Top Parent Account]])</f>
        <v>Flexotecnia</v>
      </c>
      <c r="H4053" s="1"/>
    </row>
    <row r="4054" spans="1:8" x14ac:dyDescent="0.35">
      <c r="A4054" s="21"/>
      <c r="B4054" t="s">
        <v>88</v>
      </c>
      <c r="C4054" t="s">
        <v>6</v>
      </c>
      <c r="D4054" t="s">
        <v>245</v>
      </c>
      <c r="F4054" s="1">
        <v>45845</v>
      </c>
      <c r="G4054" t="str">
        <f>IF(Table3[[#This Row],[Top Parent Account]]="",Table3[[#This Row],[Account Legal Name]],Table3[[#This Row],[Top Parent Account]])</f>
        <v>GRUPO INPO</v>
      </c>
      <c r="H4054" s="1"/>
    </row>
    <row r="4055" spans="1:8" x14ac:dyDescent="0.35">
      <c r="A4055" s="21"/>
      <c r="B4055" t="s">
        <v>14</v>
      </c>
      <c r="C4055" t="s">
        <v>6</v>
      </c>
      <c r="D4055" t="s">
        <v>2490</v>
      </c>
      <c r="F4055" s="1">
        <v>45845</v>
      </c>
      <c r="G4055" t="str">
        <f>IF(Table3[[#This Row],[Top Parent Account]]="",Table3[[#This Row],[Account Legal Name]],Table3[[#This Row],[Top Parent Account]])</f>
        <v>Saverglass</v>
      </c>
      <c r="H4055" s="1"/>
    </row>
    <row r="4056" spans="1:8" x14ac:dyDescent="0.35">
      <c r="A4056" s="21"/>
      <c r="B4056" t="s">
        <v>925</v>
      </c>
      <c r="C4056" t="s">
        <v>6</v>
      </c>
      <c r="D4056" t="s">
        <v>2732</v>
      </c>
      <c r="F4056" s="1">
        <v>45845</v>
      </c>
      <c r="G4056" t="str">
        <f>IF(Table3[[#This Row],[Top Parent Account]]="",Table3[[#This Row],[Account Legal Name]],Table3[[#This Row],[Top Parent Account]])</f>
        <v>Lácteos Marber</v>
      </c>
      <c r="H4056" s="1"/>
    </row>
    <row r="4057" spans="1:8" x14ac:dyDescent="0.35">
      <c r="A4057" s="21"/>
      <c r="B4057" t="s">
        <v>88</v>
      </c>
      <c r="C4057" t="s">
        <v>6</v>
      </c>
      <c r="D4057" t="s">
        <v>2733</v>
      </c>
      <c r="F4057" s="1">
        <v>45845</v>
      </c>
      <c r="G4057" t="str">
        <f>IF(Table3[[#This Row],[Top Parent Account]]="",Table3[[#This Row],[Account Legal Name]],Table3[[#This Row],[Top Parent Account]])</f>
        <v>Joaquin Diestro Montaño</v>
      </c>
      <c r="H4057" s="1"/>
    </row>
    <row r="4058" spans="1:8" x14ac:dyDescent="0.35">
      <c r="A4058" s="21"/>
      <c r="B4058" t="s">
        <v>21</v>
      </c>
      <c r="C4058" t="s">
        <v>22</v>
      </c>
      <c r="D4058" t="s">
        <v>2734</v>
      </c>
      <c r="F4058" s="1">
        <v>45845</v>
      </c>
      <c r="G4058" t="str">
        <f>IF(Table3[[#This Row],[Top Parent Account]]="",Table3[[#This Row],[Account Legal Name]],Table3[[#This Row],[Top Parent Account]])</f>
        <v>Ug Services Energy Solutions</v>
      </c>
      <c r="H4058" s="1"/>
    </row>
    <row r="4059" spans="1:8" x14ac:dyDescent="0.35">
      <c r="A4059" s="21"/>
      <c r="B4059" t="s">
        <v>739</v>
      </c>
      <c r="C4059" t="s">
        <v>6</v>
      </c>
      <c r="D4059" t="s">
        <v>237</v>
      </c>
      <c r="F4059" s="1">
        <v>45845</v>
      </c>
      <c r="G4059" t="str">
        <f>IF(Table3[[#This Row],[Top Parent Account]]="",Table3[[#This Row],[Account Legal Name]],Table3[[#This Row],[Top Parent Account]])</f>
        <v>Premium Restaurant Brands</v>
      </c>
      <c r="H4059" s="1"/>
    </row>
    <row r="4060" spans="1:8" x14ac:dyDescent="0.35">
      <c r="A4060" s="21"/>
      <c r="B4060" t="s">
        <v>1031</v>
      </c>
      <c r="C4060" t="s">
        <v>6</v>
      </c>
      <c r="D4060" t="s">
        <v>1021</v>
      </c>
      <c r="F4060" s="1">
        <v>45845</v>
      </c>
      <c r="G4060" t="str">
        <f>IF(Table3[[#This Row],[Top Parent Account]]="",Table3[[#This Row],[Account Legal Name]],Table3[[#This Row],[Top Parent Account]])</f>
        <v>Puratos de México</v>
      </c>
      <c r="H4060" s="1"/>
    </row>
    <row r="4061" spans="1:8" x14ac:dyDescent="0.35">
      <c r="A4061" s="21"/>
      <c r="B4061" t="s">
        <v>51</v>
      </c>
      <c r="C4061" t="s">
        <v>6</v>
      </c>
      <c r="D4061" t="s">
        <v>2735</v>
      </c>
      <c r="F4061" s="1">
        <v>45845</v>
      </c>
      <c r="G4061" t="str">
        <f>IF(Table3[[#This Row],[Top Parent Account]]="",Table3[[#This Row],[Account Legal Name]],Table3[[#This Row],[Top Parent Account]])</f>
        <v>Empaques Corrugados</v>
      </c>
      <c r="H4061" s="1"/>
    </row>
    <row r="4062" spans="1:8" x14ac:dyDescent="0.35">
      <c r="A4062" s="21"/>
      <c r="B4062" t="s">
        <v>1006</v>
      </c>
      <c r="C4062" t="s">
        <v>6</v>
      </c>
      <c r="D4062" t="s">
        <v>923</v>
      </c>
      <c r="F4062" s="1">
        <v>45845</v>
      </c>
      <c r="G4062" t="str">
        <f>IF(Table3[[#This Row],[Top Parent Account]]="",Table3[[#This Row],[Account Legal Name]],Table3[[#This Row],[Top Parent Account]])</f>
        <v>Big Low Boy</v>
      </c>
      <c r="H4062" s="1"/>
    </row>
    <row r="4063" spans="1:8" x14ac:dyDescent="0.35">
      <c r="A4063" s="21"/>
      <c r="B4063" t="s">
        <v>121</v>
      </c>
      <c r="C4063" t="s">
        <v>6</v>
      </c>
      <c r="D4063" t="s">
        <v>1082</v>
      </c>
      <c r="F4063" s="1">
        <v>45845</v>
      </c>
      <c r="G4063" t="str">
        <f>IF(Table3[[#This Row],[Top Parent Account]]="",Table3[[#This Row],[Account Legal Name]],Table3[[#This Row],[Top Parent Account]])</f>
        <v>Alvajal Equipos y Servicios</v>
      </c>
      <c r="H4063" s="1"/>
    </row>
    <row r="4064" spans="1:8" x14ac:dyDescent="0.35">
      <c r="A4064" s="21"/>
      <c r="B4064" t="s">
        <v>23</v>
      </c>
      <c r="C4064" t="s">
        <v>6</v>
      </c>
      <c r="D4064" t="s">
        <v>816</v>
      </c>
      <c r="F4064" s="1">
        <v>45845</v>
      </c>
      <c r="G4064" t="str">
        <f>IF(Table3[[#This Row],[Top Parent Account]]="",Table3[[#This Row],[Account Legal Name]],Table3[[#This Row],[Top Parent Account]])</f>
        <v>MINERALES INGUARAN</v>
      </c>
      <c r="H4064" s="1"/>
    </row>
    <row r="4065" spans="1:8" x14ac:dyDescent="0.35">
      <c r="A4065" s="21"/>
      <c r="B4065" t="s">
        <v>18</v>
      </c>
      <c r="C4065" t="s">
        <v>6</v>
      </c>
      <c r="D4065" t="s">
        <v>2687</v>
      </c>
      <c r="F4065" s="1">
        <v>45842</v>
      </c>
      <c r="G4065" t="str">
        <f>IF(Table3[[#This Row],[Top Parent Account]]="",Table3[[#This Row],[Account Legal Name]],Table3[[#This Row],[Top Parent Account]])</f>
        <v>GRUAS MAVISA</v>
      </c>
      <c r="H4065" s="1"/>
    </row>
    <row r="4066" spans="1:8" x14ac:dyDescent="0.35">
      <c r="A4066" s="21"/>
      <c r="B4066" t="s">
        <v>84</v>
      </c>
      <c r="C4066" t="s">
        <v>1944</v>
      </c>
      <c r="D4066" t="s">
        <v>2688</v>
      </c>
      <c r="F4066" s="1">
        <v>45842</v>
      </c>
      <c r="G4066" t="str">
        <f>IF(Table3[[#This Row],[Top Parent Account]]="",Table3[[#This Row],[Account Legal Name]],Table3[[#This Row],[Top Parent Account]])</f>
        <v>COMERCIAL ROI DE MEXICO</v>
      </c>
      <c r="H4066" s="1"/>
    </row>
    <row r="4067" spans="1:8" x14ac:dyDescent="0.35">
      <c r="A4067" s="21"/>
      <c r="B4067" t="s">
        <v>589</v>
      </c>
      <c r="C4067" t="s">
        <v>6</v>
      </c>
      <c r="D4067" t="s">
        <v>2983</v>
      </c>
      <c r="F4067" s="1">
        <v>45842</v>
      </c>
      <c r="G4067" t="str">
        <f>IF(Table3[[#This Row],[Top Parent Account]]="",Table3[[#This Row],[Account Legal Name]],Table3[[#This Row],[Top Parent Account]])</f>
        <v>RENTCO CONSTRUCTION &amp; MACHINERY</v>
      </c>
      <c r="H4067" s="1"/>
    </row>
    <row r="4068" spans="1:8" x14ac:dyDescent="0.35">
      <c r="A4068" s="21"/>
      <c r="B4068" t="s">
        <v>589</v>
      </c>
      <c r="C4068" t="s">
        <v>6</v>
      </c>
      <c r="D4068" t="s">
        <v>2689</v>
      </c>
      <c r="F4068" s="1">
        <v>45842</v>
      </c>
      <c r="G4068" t="str">
        <f>IF(Table3[[#This Row],[Top Parent Account]]="",Table3[[#This Row],[Account Legal Name]],Table3[[#This Row],[Top Parent Account]])</f>
        <v>GDI Carriers</v>
      </c>
      <c r="H4068" s="1"/>
    </row>
    <row r="4069" spans="1:8" x14ac:dyDescent="0.35">
      <c r="A4069" s="21"/>
      <c r="B4069" t="s">
        <v>18</v>
      </c>
      <c r="C4069" t="s">
        <v>6</v>
      </c>
      <c r="D4069" t="s">
        <v>2661</v>
      </c>
      <c r="F4069" s="1">
        <v>45842</v>
      </c>
      <c r="G4069" t="str">
        <f>IF(Table3[[#This Row],[Top Parent Account]]="",Table3[[#This Row],[Account Legal Name]],Table3[[#This Row],[Top Parent Account]])</f>
        <v>Vin-Tec de México</v>
      </c>
      <c r="H4069" s="1"/>
    </row>
    <row r="4070" spans="1:8" x14ac:dyDescent="0.35">
      <c r="A4070" s="21"/>
      <c r="B4070" t="s">
        <v>989</v>
      </c>
      <c r="C4070" t="s">
        <v>6</v>
      </c>
      <c r="D4070" t="s">
        <v>2656</v>
      </c>
      <c r="F4070" s="1">
        <v>45842</v>
      </c>
      <c r="G4070" t="str">
        <f>IF(Table3[[#This Row],[Top Parent Account]]="",Table3[[#This Row],[Account Legal Name]],Table3[[#This Row],[Top Parent Account]])</f>
        <v>Grupo Técnico Impresor</v>
      </c>
      <c r="H4070" s="1"/>
    </row>
    <row r="4071" spans="1:8" x14ac:dyDescent="0.35">
      <c r="A4071" s="21"/>
      <c r="B4071" t="s">
        <v>27</v>
      </c>
      <c r="C4071" t="s">
        <v>6</v>
      </c>
      <c r="D4071" t="s">
        <v>2659</v>
      </c>
      <c r="F4071" s="1">
        <v>45842</v>
      </c>
      <c r="G4071" t="str">
        <f>IF(Table3[[#This Row],[Top Parent Account]]="",Table3[[#This Row],[Account Legal Name]],Table3[[#This Row],[Top Parent Account]])</f>
        <v>Moov México</v>
      </c>
      <c r="H4071" s="1"/>
    </row>
    <row r="4072" spans="1:8" x14ac:dyDescent="0.35">
      <c r="A4072" s="21"/>
      <c r="B4072" t="s">
        <v>1643</v>
      </c>
      <c r="C4072" t="s">
        <v>6</v>
      </c>
      <c r="D4072" t="s">
        <v>2657</v>
      </c>
      <c r="F4072" s="1">
        <v>45842</v>
      </c>
      <c r="G4072" t="str">
        <f>IF(Table3[[#This Row],[Top Parent Account]]="",Table3[[#This Row],[Account Legal Name]],Table3[[#This Row],[Top Parent Account]])</f>
        <v>Cia. General De Viveres</v>
      </c>
      <c r="H4072" s="1"/>
    </row>
    <row r="4073" spans="1:8" x14ac:dyDescent="0.35">
      <c r="A4073" s="21"/>
      <c r="B4073" t="s">
        <v>169</v>
      </c>
      <c r="C4073" t="s">
        <v>6</v>
      </c>
      <c r="D4073" t="s">
        <v>2662</v>
      </c>
      <c r="F4073" s="1">
        <v>45842</v>
      </c>
      <c r="G4073" t="str">
        <f>IF(Table3[[#This Row],[Top Parent Account]]="",Table3[[#This Row],[Account Legal Name]],Table3[[#This Row],[Top Parent Account]])</f>
        <v>Alfa Desarrollos Industriales</v>
      </c>
      <c r="H4073" s="1"/>
    </row>
    <row r="4074" spans="1:8" x14ac:dyDescent="0.35">
      <c r="A4074" s="21"/>
      <c r="B4074" t="s">
        <v>2693</v>
      </c>
      <c r="C4074" t="s">
        <v>22</v>
      </c>
      <c r="D4074" t="s">
        <v>2694</v>
      </c>
      <c r="F4074" s="1">
        <v>45842</v>
      </c>
      <c r="G4074" t="str">
        <f>IF(Table3[[#This Row],[Top Parent Account]]="",Table3[[#This Row],[Account Legal Name]],Table3[[#This Row],[Top Parent Account]])</f>
        <v>SYRUS DISTRIBUTION</v>
      </c>
      <c r="H4074" s="1"/>
    </row>
    <row r="4075" spans="1:8" x14ac:dyDescent="0.35">
      <c r="A4075" s="21"/>
      <c r="B4075" t="s">
        <v>925</v>
      </c>
      <c r="C4075" t="s">
        <v>6</v>
      </c>
      <c r="D4075" t="s">
        <v>1139</v>
      </c>
      <c r="F4075" s="1">
        <v>45842</v>
      </c>
      <c r="G4075" t="str">
        <f>IF(Table3[[#This Row],[Top Parent Account]]="",Table3[[#This Row],[Account Legal Name]],Table3[[#This Row],[Top Parent Account]])</f>
        <v>Doctoralia México</v>
      </c>
      <c r="H4075" s="1"/>
    </row>
    <row r="4076" spans="1:8" x14ac:dyDescent="0.35">
      <c r="A4076" s="21"/>
      <c r="B4076" t="s">
        <v>1031</v>
      </c>
      <c r="C4076" t="s">
        <v>6</v>
      </c>
      <c r="D4076" t="s">
        <v>1345</v>
      </c>
      <c r="F4076" s="1">
        <v>45842</v>
      </c>
      <c r="G4076" t="str">
        <f>IF(Table3[[#This Row],[Top Parent Account]]="",Table3[[#This Row],[Account Legal Name]],Table3[[#This Row],[Top Parent Account]])</f>
        <v>Productora y Comercializadora Internacional Mexicana</v>
      </c>
      <c r="H4076" s="1"/>
    </row>
    <row r="4077" spans="1:8" x14ac:dyDescent="0.35">
      <c r="A4077" s="21"/>
      <c r="B4077" t="s">
        <v>28</v>
      </c>
      <c r="C4077" t="s">
        <v>6</v>
      </c>
      <c r="D4077" t="s">
        <v>2690</v>
      </c>
      <c r="F4077" s="1">
        <v>45842</v>
      </c>
      <c r="G4077" t="str">
        <f>IF(Table3[[#This Row],[Top Parent Account]]="",Table3[[#This Row],[Account Legal Name]],Table3[[#This Row],[Top Parent Account]])</f>
        <v>SERVICIO 8 DE ENERO</v>
      </c>
      <c r="H4077" s="1"/>
    </row>
    <row r="4078" spans="1:8" x14ac:dyDescent="0.35">
      <c r="A4078" s="21"/>
      <c r="B4078" t="s">
        <v>14</v>
      </c>
      <c r="C4078" t="s">
        <v>6</v>
      </c>
      <c r="D4078" t="s">
        <v>2663</v>
      </c>
      <c r="F4078" s="1">
        <v>45842</v>
      </c>
      <c r="G4078" t="str">
        <f>IF(Table3[[#This Row],[Top Parent Account]]="",Table3[[#This Row],[Account Legal Name]],Table3[[#This Row],[Top Parent Account]])</f>
        <v>Cultivos Naturales San Francisco</v>
      </c>
      <c r="H4078" s="1"/>
    </row>
    <row r="4079" spans="1:8" x14ac:dyDescent="0.35">
      <c r="A4079" s="21"/>
      <c r="B4079" t="s">
        <v>39</v>
      </c>
      <c r="C4079" t="s">
        <v>57</v>
      </c>
      <c r="D4079" t="s">
        <v>2665</v>
      </c>
      <c r="F4079" s="1">
        <v>45842</v>
      </c>
      <c r="G4079" t="str">
        <f>IF(Table3[[#This Row],[Top Parent Account]]="",Table3[[#This Row],[Account Legal Name]],Table3[[#This Row],[Top Parent Account]])</f>
        <v>KAL TIRE</v>
      </c>
      <c r="H4079" s="1"/>
    </row>
    <row r="4080" spans="1:8" x14ac:dyDescent="0.35">
      <c r="A4080" s="21"/>
      <c r="B4080" t="s">
        <v>590</v>
      </c>
      <c r="C4080" t="s">
        <v>6</v>
      </c>
      <c r="D4080" t="s">
        <v>991</v>
      </c>
      <c r="F4080" s="1">
        <v>45842</v>
      </c>
      <c r="G4080" t="str">
        <f>IF(Table3[[#This Row],[Top Parent Account]]="",Table3[[#This Row],[Account Legal Name]],Table3[[#This Row],[Top Parent Account]])</f>
        <v>Reciclados Plásticos Alvarado</v>
      </c>
      <c r="H4080" s="1"/>
    </row>
    <row r="4081" spans="1:8" x14ac:dyDescent="0.35">
      <c r="A4081" s="21"/>
      <c r="B4081" t="s">
        <v>2658</v>
      </c>
      <c r="C4081" t="s">
        <v>2664</v>
      </c>
      <c r="D4081" t="s">
        <v>449</v>
      </c>
      <c r="F4081" s="1">
        <v>45842</v>
      </c>
      <c r="G4081" t="str">
        <f>IF(Table3[[#This Row],[Top Parent Account]]="",Table3[[#This Row],[Account Legal Name]],Table3[[#This Row],[Top Parent Account]])</f>
        <v>American Poly Del Norte</v>
      </c>
      <c r="H4081" s="1"/>
    </row>
    <row r="4082" spans="1:8" x14ac:dyDescent="0.35">
      <c r="A4082" s="21"/>
      <c r="B4082" t="s">
        <v>280</v>
      </c>
      <c r="C4082" t="s">
        <v>6</v>
      </c>
      <c r="D4082" t="s">
        <v>2465</v>
      </c>
      <c r="F4082" s="1">
        <v>45842</v>
      </c>
      <c r="G4082" t="str">
        <f>IF(Table3[[#This Row],[Top Parent Account]]="",Table3[[#This Row],[Account Legal Name]],Table3[[#This Row],[Top Parent Account]])</f>
        <v>ACUICOLA BREYEAN</v>
      </c>
      <c r="H4082" s="1"/>
    </row>
    <row r="4083" spans="1:8" x14ac:dyDescent="0.35">
      <c r="A4083" s="21"/>
      <c r="B4083" t="s">
        <v>589</v>
      </c>
      <c r="C4083" t="s">
        <v>6</v>
      </c>
      <c r="D4083" t="s">
        <v>2666</v>
      </c>
      <c r="F4083" s="1">
        <v>45841</v>
      </c>
      <c r="G4083" t="str">
        <f>IF(Table3[[#This Row],[Top Parent Account]]="",Table3[[#This Row],[Account Legal Name]],Table3[[#This Row],[Top Parent Account]])</f>
        <v>Corporativo Aries</v>
      </c>
      <c r="H4083" s="1"/>
    </row>
    <row r="4084" spans="1:8" x14ac:dyDescent="0.35">
      <c r="A4084" s="21"/>
      <c r="B4084" t="s">
        <v>27</v>
      </c>
      <c r="C4084" t="s">
        <v>6</v>
      </c>
      <c r="D4084" t="s">
        <v>1287</v>
      </c>
      <c r="F4084" s="1">
        <v>45841</v>
      </c>
      <c r="G4084" t="str">
        <f>IF(Table3[[#This Row],[Top Parent Account]]="",Table3[[#This Row],[Account Legal Name]],Table3[[#This Row],[Top Parent Account]])</f>
        <v>Grupo Industrial Vida</v>
      </c>
      <c r="H4084" s="1"/>
    </row>
    <row r="4085" spans="1:8" x14ac:dyDescent="0.35">
      <c r="A4085" s="21"/>
      <c r="B4085" t="s">
        <v>28</v>
      </c>
      <c r="C4085" t="s">
        <v>6</v>
      </c>
      <c r="D4085" t="s">
        <v>2691</v>
      </c>
      <c r="F4085" s="1">
        <v>45841</v>
      </c>
      <c r="G4085" t="str">
        <f>IF(Table3[[#This Row],[Top Parent Account]]="",Table3[[#This Row],[Account Legal Name]],Table3[[#This Row],[Top Parent Account]])</f>
        <v>TRITURADOS CLQ</v>
      </c>
      <c r="H4085" s="1"/>
    </row>
    <row r="4086" spans="1:8" x14ac:dyDescent="0.35">
      <c r="A4086" s="21"/>
      <c r="B4086" t="s">
        <v>375</v>
      </c>
      <c r="C4086" t="s">
        <v>6</v>
      </c>
      <c r="D4086" t="s">
        <v>2618</v>
      </c>
      <c r="F4086" s="1">
        <v>45841</v>
      </c>
      <c r="G4086" t="str">
        <f>IF(Table3[[#This Row],[Top Parent Account]]="",Table3[[#This Row],[Account Legal Name]],Table3[[#This Row],[Top Parent Account]])</f>
        <v>Nivel A Educacion</v>
      </c>
      <c r="H4086" s="1"/>
    </row>
    <row r="4087" spans="1:8" x14ac:dyDescent="0.35">
      <c r="A4087" s="21"/>
      <c r="B4087" t="s">
        <v>820</v>
      </c>
      <c r="C4087" t="s">
        <v>6</v>
      </c>
      <c r="D4087" t="s">
        <v>1233</v>
      </c>
      <c r="E4087" t="s">
        <v>741</v>
      </c>
      <c r="F4087" s="1">
        <v>45841</v>
      </c>
      <c r="G4087" t="str">
        <f>IF(Table3[[#This Row],[Top Parent Account]]="",Table3[[#This Row],[Account Legal Name]],Table3[[#This Row],[Top Parent Account]])</f>
        <v>Reto Industrial</v>
      </c>
      <c r="H4087" s="1"/>
    </row>
    <row r="4088" spans="1:8" x14ac:dyDescent="0.35">
      <c r="A4088" s="21"/>
      <c r="B4088" t="s">
        <v>2658</v>
      </c>
      <c r="C4088" t="s">
        <v>2664</v>
      </c>
      <c r="D4088" t="s">
        <v>2667</v>
      </c>
      <c r="F4088" s="1">
        <v>45841</v>
      </c>
      <c r="G4088" t="str">
        <f>IF(Table3[[#This Row],[Top Parent Account]]="",Table3[[#This Row],[Account Legal Name]],Table3[[#This Row],[Top Parent Account]])</f>
        <v>TRANSPORTADORA SERSAL DEL NORTE</v>
      </c>
      <c r="H4088" s="1"/>
    </row>
    <row r="4089" spans="1:8" x14ac:dyDescent="0.35">
      <c r="A4089" s="21"/>
      <c r="B4089" t="s">
        <v>88</v>
      </c>
      <c r="C4089" t="s">
        <v>6</v>
      </c>
      <c r="D4089" t="s">
        <v>2619</v>
      </c>
      <c r="F4089" s="1">
        <v>45841</v>
      </c>
      <c r="G4089" t="str">
        <f>IF(Table3[[#This Row],[Top Parent Account]]="",Table3[[#This Row],[Account Legal Name]],Table3[[#This Row],[Top Parent Account]])</f>
        <v>American Brother</v>
      </c>
      <c r="H4089" s="1"/>
    </row>
    <row r="4090" spans="1:8" x14ac:dyDescent="0.35">
      <c r="A4090" s="21"/>
      <c r="B4090" t="s">
        <v>280</v>
      </c>
      <c r="C4090" t="s">
        <v>6</v>
      </c>
      <c r="D4090" t="s">
        <v>2669</v>
      </c>
      <c r="F4090" s="1">
        <v>45841</v>
      </c>
      <c r="G4090" t="str">
        <f>IF(Table3[[#This Row],[Top Parent Account]]="",Table3[[#This Row],[Account Legal Name]],Table3[[#This Row],[Top Parent Account]])</f>
        <v>CONGELADORA DAYSA</v>
      </c>
      <c r="H4090" s="1"/>
    </row>
    <row r="4091" spans="1:8" x14ac:dyDescent="0.35">
      <c r="A4091" s="21"/>
      <c r="B4091" t="s">
        <v>280</v>
      </c>
      <c r="C4091" t="s">
        <v>6</v>
      </c>
      <c r="D4091" t="s">
        <v>2695</v>
      </c>
      <c r="F4091" s="1">
        <v>45841</v>
      </c>
      <c r="G4091" t="str">
        <f>IF(Table3[[#This Row],[Top Parent Account]]="",Table3[[#This Row],[Account Legal Name]],Table3[[#This Row],[Top Parent Account]])</f>
        <v>COMERCIALIZADORA PEREZ SANCHEZ</v>
      </c>
      <c r="H4091" s="1"/>
    </row>
    <row r="4092" spans="1:8" x14ac:dyDescent="0.35">
      <c r="A4092" s="21"/>
      <c r="B4092" t="s">
        <v>25</v>
      </c>
      <c r="C4092" t="s">
        <v>6</v>
      </c>
      <c r="D4092" t="s">
        <v>2668</v>
      </c>
      <c r="F4092" s="1">
        <v>45841</v>
      </c>
      <c r="G4092" t="str">
        <f>IF(Table3[[#This Row],[Top Parent Account]]="",Table3[[#This Row],[Account Legal Name]],Table3[[#This Row],[Top Parent Account]])</f>
        <v>Magic Spa Corporation</v>
      </c>
      <c r="H4092" s="1"/>
    </row>
    <row r="4093" spans="1:8" x14ac:dyDescent="0.35">
      <c r="A4093" s="21"/>
      <c r="B4093" t="s">
        <v>38</v>
      </c>
      <c r="C4093" t="s">
        <v>6</v>
      </c>
      <c r="D4093" t="s">
        <v>635</v>
      </c>
      <c r="F4093" s="1">
        <v>45841</v>
      </c>
      <c r="G4093" t="str">
        <f>IF(Table3[[#This Row],[Top Parent Account]]="",Table3[[#This Row],[Account Legal Name]],Table3[[#This Row],[Top Parent Account]])</f>
        <v>Grupo Rifel</v>
      </c>
      <c r="H4093" s="1"/>
    </row>
    <row r="4094" spans="1:8" x14ac:dyDescent="0.35">
      <c r="A4094" s="21"/>
      <c r="B4094" t="s">
        <v>24</v>
      </c>
      <c r="C4094" t="s">
        <v>6</v>
      </c>
      <c r="D4094" t="s">
        <v>2620</v>
      </c>
      <c r="E4094" t="s">
        <v>2439</v>
      </c>
      <c r="F4094" s="1">
        <v>45841</v>
      </c>
      <c r="G4094" t="str">
        <f>IF(Table3[[#This Row],[Top Parent Account]]="",Table3[[#This Row],[Account Legal Name]],Table3[[#This Row],[Top Parent Account]])</f>
        <v>Grupe</v>
      </c>
      <c r="H4094" s="1"/>
    </row>
    <row r="4095" spans="1:8" x14ac:dyDescent="0.35">
      <c r="A4095" s="21"/>
      <c r="B4095" t="s">
        <v>820</v>
      </c>
      <c r="C4095" t="s">
        <v>6</v>
      </c>
      <c r="D4095" t="s">
        <v>1813</v>
      </c>
      <c r="F4095" s="1">
        <v>45841</v>
      </c>
      <c r="G4095" t="str">
        <f>IF(Table3[[#This Row],[Top Parent Account]]="",Table3[[#This Row],[Account Legal Name]],Table3[[#This Row],[Top Parent Account]])</f>
        <v>Rossbach de México</v>
      </c>
      <c r="H4095" s="1"/>
    </row>
    <row r="4096" spans="1:8" x14ac:dyDescent="0.35">
      <c r="A4096" s="21"/>
      <c r="B4096" t="s">
        <v>10</v>
      </c>
      <c r="C4096" t="s">
        <v>6</v>
      </c>
      <c r="D4096" t="s">
        <v>2621</v>
      </c>
      <c r="F4096" s="1">
        <v>45841</v>
      </c>
      <c r="G4096" t="str">
        <f>IF(Table3[[#This Row],[Top Parent Account]]="",Table3[[#This Row],[Account Legal Name]],Table3[[#This Row],[Top Parent Account]])</f>
        <v>Industrias Piagui</v>
      </c>
      <c r="H4096" s="1"/>
    </row>
    <row r="4097" spans="1:8" x14ac:dyDescent="0.35">
      <c r="A4097" s="21"/>
      <c r="B4097" t="s">
        <v>121</v>
      </c>
      <c r="C4097" t="s">
        <v>6</v>
      </c>
      <c r="D4097" t="s">
        <v>2622</v>
      </c>
      <c r="F4097" s="1">
        <v>45841</v>
      </c>
      <c r="G4097" t="str">
        <f>IF(Table3[[#This Row],[Top Parent Account]]="",Table3[[#This Row],[Account Legal Name]],Table3[[#This Row],[Top Parent Account]])</f>
        <v>Slovensko</v>
      </c>
      <c r="H4097" s="1"/>
    </row>
    <row r="4098" spans="1:8" x14ac:dyDescent="0.35">
      <c r="A4098" s="21"/>
      <c r="B4098" t="s">
        <v>70</v>
      </c>
      <c r="C4098" t="s">
        <v>6</v>
      </c>
      <c r="D4098" t="s">
        <v>2670</v>
      </c>
      <c r="F4098" s="1">
        <v>45841</v>
      </c>
      <c r="G4098" t="str">
        <f>IF(Table3[[#This Row],[Top Parent Account]]="",Table3[[#This Row],[Account Legal Name]],Table3[[#This Row],[Top Parent Account]])</f>
        <v>Tecnoprogramacion Humanas Especializada En Sistemas Operativos</v>
      </c>
      <c r="H4098" s="1"/>
    </row>
    <row r="4099" spans="1:8" x14ac:dyDescent="0.35">
      <c r="A4099" s="21"/>
      <c r="B4099" t="s">
        <v>970</v>
      </c>
      <c r="C4099" t="s">
        <v>6</v>
      </c>
      <c r="D4099" t="s">
        <v>1634</v>
      </c>
      <c r="F4099" s="1">
        <v>45841</v>
      </c>
      <c r="G4099" t="str">
        <f>IF(Table3[[#This Row],[Top Parent Account]]="",Table3[[#This Row],[Account Legal Name]],Table3[[#This Row],[Top Parent Account]])</f>
        <v>Belleza y Vanidad</v>
      </c>
      <c r="H4099" s="1"/>
    </row>
    <row r="4100" spans="1:8" x14ac:dyDescent="0.35">
      <c r="A4100" s="21"/>
      <c r="B4100" t="s">
        <v>1006</v>
      </c>
      <c r="C4100" t="s">
        <v>6</v>
      </c>
      <c r="D4100" t="s">
        <v>349</v>
      </c>
      <c r="F4100" s="1">
        <v>45841</v>
      </c>
      <c r="G4100" t="str">
        <f>IF(Table3[[#This Row],[Top Parent Account]]="",Table3[[#This Row],[Account Legal Name]],Table3[[#This Row],[Top Parent Account]])</f>
        <v>Distribuidora Alimenticia Maravatio</v>
      </c>
      <c r="H4100" s="1"/>
    </row>
    <row r="4101" spans="1:8" x14ac:dyDescent="0.35">
      <c r="A4101" s="21"/>
      <c r="B4101" t="s">
        <v>969</v>
      </c>
      <c r="C4101" t="s">
        <v>6</v>
      </c>
      <c r="D4101" t="s">
        <v>2109</v>
      </c>
      <c r="F4101" s="1">
        <v>45841</v>
      </c>
      <c r="G4101" t="str">
        <f>IF(Table3[[#This Row],[Top Parent Account]]="",Table3[[#This Row],[Account Legal Name]],Table3[[#This Row],[Top Parent Account]])</f>
        <v>Asofarma de México</v>
      </c>
      <c r="H4101" s="1"/>
    </row>
    <row r="4102" spans="1:8" x14ac:dyDescent="0.35">
      <c r="A4102" s="21"/>
      <c r="B4102" t="s">
        <v>172</v>
      </c>
      <c r="C4102" t="s">
        <v>6</v>
      </c>
      <c r="D4102" t="s">
        <v>2671</v>
      </c>
      <c r="F4102" s="1">
        <v>45841</v>
      </c>
      <c r="G4102" t="str">
        <f>IF(Table3[[#This Row],[Top Parent Account]]="",Table3[[#This Row],[Account Legal Name]],Table3[[#This Row],[Top Parent Account]])</f>
        <v>3C Arrenda Carrocerias de Fuerza</v>
      </c>
      <c r="H4102" s="1"/>
    </row>
    <row r="4103" spans="1:8" x14ac:dyDescent="0.35">
      <c r="A4103" s="21"/>
      <c r="B4103" t="s">
        <v>207</v>
      </c>
      <c r="C4103" t="s">
        <v>6</v>
      </c>
      <c r="D4103" t="s">
        <v>2672</v>
      </c>
      <c r="F4103" s="1">
        <v>45841</v>
      </c>
      <c r="G4103" t="str">
        <f>IF(Table3[[#This Row],[Top Parent Account]]="",Table3[[#This Row],[Account Legal Name]],Table3[[#This Row],[Top Parent Account]])</f>
        <v>Entelequia Biodegradables</v>
      </c>
      <c r="H4103" s="1"/>
    </row>
    <row r="4104" spans="1:8" x14ac:dyDescent="0.35">
      <c r="A4104" s="21"/>
      <c r="B4104" t="s">
        <v>969</v>
      </c>
      <c r="C4104" t="s">
        <v>6</v>
      </c>
      <c r="D4104" t="s">
        <v>2623</v>
      </c>
      <c r="F4104" s="1">
        <v>45841</v>
      </c>
      <c r="G4104" t="str">
        <f>IF(Table3[[#This Row],[Top Parent Account]]="",Table3[[#This Row],[Account Legal Name]],Table3[[#This Row],[Top Parent Account]])</f>
        <v>Stepan México</v>
      </c>
      <c r="H4104" s="1"/>
    </row>
    <row r="4105" spans="1:8" x14ac:dyDescent="0.35">
      <c r="A4105" s="21"/>
      <c r="B4105" t="s">
        <v>39</v>
      </c>
      <c r="C4105" t="s">
        <v>1038</v>
      </c>
      <c r="D4105" t="s">
        <v>2544</v>
      </c>
      <c r="F4105" s="1">
        <v>45841</v>
      </c>
      <c r="G4105" t="str">
        <f>IF(Table3[[#This Row],[Top Parent Account]]="",Table3[[#This Row],[Account Legal Name]],Table3[[#This Row],[Top Parent Account]])</f>
        <v>Ganadera El Setenta</v>
      </c>
      <c r="H4105" s="1"/>
    </row>
    <row r="4106" spans="1:8" x14ac:dyDescent="0.35">
      <c r="A4106" s="21"/>
      <c r="B4106" t="s">
        <v>38</v>
      </c>
      <c r="C4106" t="s">
        <v>6</v>
      </c>
      <c r="D4106" t="s">
        <v>1073</v>
      </c>
      <c r="F4106" s="1">
        <v>45841</v>
      </c>
      <c r="G4106" t="str">
        <f>IF(Table3[[#This Row],[Top Parent Account]]="",Table3[[#This Row],[Account Legal Name]],Table3[[#This Row],[Top Parent Account]])</f>
        <v>Ronal Mexicana</v>
      </c>
      <c r="H4106" s="1"/>
    </row>
    <row r="4107" spans="1:8" x14ac:dyDescent="0.35">
      <c r="A4107" s="21"/>
      <c r="B4107" t="s">
        <v>280</v>
      </c>
      <c r="C4107" t="s">
        <v>6</v>
      </c>
      <c r="D4107" t="s">
        <v>2674</v>
      </c>
      <c r="F4107" s="1">
        <v>45841</v>
      </c>
      <c r="G4107" t="str">
        <f>IF(Table3[[#This Row],[Top Parent Account]]="",Table3[[#This Row],[Account Legal Name]],Table3[[#This Row],[Top Parent Account]])</f>
        <v>Proagro del Noroeste</v>
      </c>
      <c r="H4107" s="1"/>
    </row>
    <row r="4108" spans="1:8" x14ac:dyDescent="0.35">
      <c r="A4108" s="21"/>
      <c r="B4108" t="s">
        <v>2658</v>
      </c>
      <c r="C4108" t="s">
        <v>2664</v>
      </c>
      <c r="D4108" t="s">
        <v>2673</v>
      </c>
      <c r="F4108" s="1">
        <v>45841</v>
      </c>
      <c r="G4108" t="str">
        <f>IF(Table3[[#This Row],[Top Parent Account]]="",Table3[[#This Row],[Account Legal Name]],Table3[[#This Row],[Top Parent Account]])</f>
        <v>Probemedic Distribuciones</v>
      </c>
      <c r="H4108" s="1"/>
    </row>
    <row r="4109" spans="1:8" x14ac:dyDescent="0.35">
      <c r="A4109" s="21"/>
      <c r="B4109" t="s">
        <v>207</v>
      </c>
      <c r="C4109" t="s">
        <v>6</v>
      </c>
      <c r="D4109" t="s">
        <v>2676</v>
      </c>
      <c r="E4109" t="s">
        <v>2677</v>
      </c>
      <c r="F4109" s="1">
        <v>45841</v>
      </c>
      <c r="G4109" t="str">
        <f>IF(Table3[[#This Row],[Top Parent Account]]="",Table3[[#This Row],[Account Legal Name]],Table3[[#This Row],[Top Parent Account]])</f>
        <v>Selder</v>
      </c>
      <c r="H4109" s="1"/>
    </row>
    <row r="4110" spans="1:8" x14ac:dyDescent="0.35">
      <c r="A4110" s="21"/>
      <c r="B4110" t="s">
        <v>56</v>
      </c>
      <c r="C4110" t="s">
        <v>6</v>
      </c>
      <c r="D4110" t="s">
        <v>2624</v>
      </c>
      <c r="E4110" t="s">
        <v>2625</v>
      </c>
      <c r="F4110" s="1">
        <v>45841</v>
      </c>
      <c r="G4110" t="str">
        <f>IF(Table3[[#This Row],[Top Parent Account]]="",Table3[[#This Row],[Account Legal Name]],Table3[[#This Row],[Top Parent Account]])</f>
        <v>Centro De Productividad Avanzada</v>
      </c>
      <c r="H4110" s="1"/>
    </row>
    <row r="4111" spans="1:8" x14ac:dyDescent="0.35">
      <c r="A4111" s="21"/>
      <c r="B4111" t="s">
        <v>169</v>
      </c>
      <c r="C4111" t="s">
        <v>6</v>
      </c>
      <c r="D4111" t="s">
        <v>686</v>
      </c>
      <c r="F4111" s="1">
        <v>45841</v>
      </c>
      <c r="G4111" t="str">
        <f>IF(Table3[[#This Row],[Top Parent Account]]="",Table3[[#This Row],[Account Legal Name]],Table3[[#This Row],[Top Parent Account]])</f>
        <v>PRODUCTOS CARNICOS MI GRANJITA</v>
      </c>
      <c r="H4111" s="1"/>
    </row>
    <row r="4112" spans="1:8" x14ac:dyDescent="0.35">
      <c r="A4112" s="21"/>
      <c r="B4112" t="s">
        <v>70</v>
      </c>
      <c r="C4112" t="s">
        <v>6</v>
      </c>
      <c r="D4112" t="s">
        <v>2675</v>
      </c>
      <c r="F4112" s="1">
        <v>45841</v>
      </c>
      <c r="G4112" t="str">
        <f>IF(Table3[[#This Row],[Top Parent Account]]="",Table3[[#This Row],[Account Legal Name]],Table3[[#This Row],[Top Parent Account]])</f>
        <v>Hospital Haltus Hope</v>
      </c>
      <c r="H4112" s="1"/>
    </row>
    <row r="4113" spans="1:8" x14ac:dyDescent="0.35">
      <c r="A4113" s="21"/>
      <c r="B4113" t="s">
        <v>116</v>
      </c>
      <c r="C4113" t="s">
        <v>6</v>
      </c>
      <c r="D4113" t="s">
        <v>2660</v>
      </c>
      <c r="F4113" s="1">
        <v>45841</v>
      </c>
      <c r="G4113" t="str">
        <f>IF(Table3[[#This Row],[Top Parent Account]]="",Table3[[#This Row],[Account Legal Name]],Table3[[#This Row],[Top Parent Account]])</f>
        <v>Thermotech</v>
      </c>
      <c r="H4113" s="1"/>
    </row>
    <row r="4114" spans="1:8" x14ac:dyDescent="0.35">
      <c r="A4114" s="21"/>
      <c r="B4114" t="s">
        <v>14</v>
      </c>
      <c r="C4114" t="s">
        <v>6</v>
      </c>
      <c r="D4114" t="s">
        <v>2627</v>
      </c>
      <c r="F4114" s="1">
        <v>45841</v>
      </c>
      <c r="G4114" t="str">
        <f>IF(Table3[[#This Row],[Top Parent Account]]="",Table3[[#This Row],[Account Legal Name]],Table3[[#This Row],[Top Parent Account]])</f>
        <v>TEQUILA LOS ABUELOS</v>
      </c>
      <c r="H4114" s="1"/>
    </row>
    <row r="4115" spans="1:8" x14ac:dyDescent="0.35">
      <c r="A4115" s="21"/>
      <c r="B4115" t="s">
        <v>56</v>
      </c>
      <c r="C4115" t="s">
        <v>842</v>
      </c>
      <c r="D4115" t="s">
        <v>2874</v>
      </c>
      <c r="F4115" s="1">
        <v>45841</v>
      </c>
      <c r="G4115" t="str">
        <f>IF(Table3[[#This Row],[Top Parent Account]]="",Table3[[#This Row],[Account Legal Name]],Table3[[#This Row],[Top Parent Account]])</f>
        <v>Grupo Logístico Integral</v>
      </c>
      <c r="H4115" s="1"/>
    </row>
    <row r="4116" spans="1:8" x14ac:dyDescent="0.35">
      <c r="A4116" s="21"/>
      <c r="B4116" t="s">
        <v>60</v>
      </c>
      <c r="C4116" t="s">
        <v>6</v>
      </c>
      <c r="D4116" t="s">
        <v>2626</v>
      </c>
      <c r="F4116" s="1">
        <v>45841</v>
      </c>
      <c r="G4116" t="str">
        <f>IF(Table3[[#This Row],[Top Parent Account]]="",Table3[[#This Row],[Account Legal Name]],Table3[[#This Row],[Top Parent Account]])</f>
        <v>COMERCIALIZADORA Y MAQUILADORA DE PLASTICOS JAGASA</v>
      </c>
      <c r="H4116" s="1"/>
    </row>
    <row r="4117" spans="1:8" x14ac:dyDescent="0.35">
      <c r="A4117" s="21"/>
      <c r="B4117" t="s">
        <v>820</v>
      </c>
      <c r="C4117" t="s">
        <v>6</v>
      </c>
      <c r="D4117" t="s">
        <v>319</v>
      </c>
      <c r="F4117" s="1">
        <v>45841</v>
      </c>
      <c r="G4117" t="str">
        <f>IF(Table3[[#This Row],[Top Parent Account]]="",Table3[[#This Row],[Account Legal Name]],Table3[[#This Row],[Top Parent Account]])</f>
        <v>Aspid</v>
      </c>
      <c r="H4117" s="1"/>
    </row>
    <row r="4118" spans="1:8" x14ac:dyDescent="0.35">
      <c r="A4118" s="21"/>
      <c r="B4118" t="s">
        <v>38</v>
      </c>
      <c r="C4118" t="s">
        <v>6</v>
      </c>
      <c r="D4118" t="s">
        <v>775</v>
      </c>
      <c r="F4118" s="1">
        <v>45841</v>
      </c>
      <c r="G4118" t="str">
        <f>IF(Table3[[#This Row],[Top Parent Account]]="",Table3[[#This Row],[Account Legal Name]],Table3[[#This Row],[Top Parent Account]])</f>
        <v>Industria Lechera De San Juan Del Rio</v>
      </c>
      <c r="H4118" s="1"/>
    </row>
    <row r="4119" spans="1:8" x14ac:dyDescent="0.35">
      <c r="A4119" s="21"/>
      <c r="B4119" t="s">
        <v>121</v>
      </c>
      <c r="C4119" t="s">
        <v>6</v>
      </c>
      <c r="D4119" t="s">
        <v>2696</v>
      </c>
      <c r="F4119" s="1">
        <v>45841</v>
      </c>
      <c r="G4119" t="str">
        <f>IF(Table3[[#This Row],[Top Parent Account]]="",Table3[[#This Row],[Account Legal Name]],Table3[[#This Row],[Top Parent Account]])</f>
        <v>Construcciones Hidropac</v>
      </c>
      <c r="H4119" s="1"/>
    </row>
    <row r="4120" spans="1:8" x14ac:dyDescent="0.35">
      <c r="A4120" s="21"/>
      <c r="B4120" t="s">
        <v>2658</v>
      </c>
      <c r="C4120" t="s">
        <v>2664</v>
      </c>
      <c r="D4120" t="s">
        <v>754</v>
      </c>
      <c r="F4120" s="1">
        <v>45841</v>
      </c>
      <c r="G4120" t="str">
        <f>IF(Table3[[#This Row],[Top Parent Account]]="",Table3[[#This Row],[Account Legal Name]],Table3[[#This Row],[Top Parent Account]])</f>
        <v>Productora De Bocados Carnicos</v>
      </c>
      <c r="H4120" s="1"/>
    </row>
    <row r="4121" spans="1:8" x14ac:dyDescent="0.35">
      <c r="A4121" s="21"/>
      <c r="B4121" t="s">
        <v>280</v>
      </c>
      <c r="C4121" t="s">
        <v>6</v>
      </c>
      <c r="D4121" t="s">
        <v>2697</v>
      </c>
      <c r="F4121" s="1">
        <v>45841</v>
      </c>
      <c r="G4121" t="str">
        <f>IF(Table3[[#This Row],[Top Parent Account]]="",Table3[[#This Row],[Account Legal Name]],Table3[[#This Row],[Top Parent Account]])</f>
        <v>MD AGROPRODUCTORES</v>
      </c>
      <c r="H4121" s="1"/>
    </row>
    <row r="4122" spans="1:8" x14ac:dyDescent="0.35">
      <c r="A4122" s="21"/>
      <c r="B4122" t="s">
        <v>1511</v>
      </c>
      <c r="C4122" t="s">
        <v>6</v>
      </c>
      <c r="D4122" t="s">
        <v>2678</v>
      </c>
      <c r="F4122" s="1">
        <v>45841</v>
      </c>
      <c r="G4122" t="str">
        <f>IF(Table3[[#This Row],[Top Parent Account]]="",Table3[[#This Row],[Account Legal Name]],Table3[[#This Row],[Top Parent Account]])</f>
        <v>Metales Lozano</v>
      </c>
      <c r="H4122" s="1"/>
    </row>
    <row r="4123" spans="1:8" x14ac:dyDescent="0.35">
      <c r="A4123" s="21"/>
      <c r="B4123" t="s">
        <v>970</v>
      </c>
      <c r="C4123" t="s">
        <v>6</v>
      </c>
      <c r="D4123" t="s">
        <v>2692</v>
      </c>
      <c r="F4123" s="1">
        <v>45840</v>
      </c>
      <c r="G4123" t="str">
        <f>IF(Table3[[#This Row],[Top Parent Account]]="",Table3[[#This Row],[Account Legal Name]],Table3[[#This Row],[Top Parent Account]])</f>
        <v>Grupo Dragon</v>
      </c>
      <c r="H4123" s="1"/>
    </row>
    <row r="4124" spans="1:8" x14ac:dyDescent="0.35">
      <c r="A4124" s="21"/>
      <c r="B4124" t="s">
        <v>280</v>
      </c>
      <c r="C4124" t="s">
        <v>6</v>
      </c>
      <c r="D4124" t="s">
        <v>2679</v>
      </c>
      <c r="F4124" s="1">
        <v>45840</v>
      </c>
      <c r="G4124" t="str">
        <f>IF(Table3[[#This Row],[Top Parent Account]]="",Table3[[#This Row],[Account Legal Name]],Table3[[#This Row],[Top Parent Account]])</f>
        <v>Grupo Corerepe</v>
      </c>
      <c r="H4124" s="1"/>
    </row>
    <row r="4125" spans="1:8" x14ac:dyDescent="0.35">
      <c r="A4125" s="21"/>
      <c r="B4125" t="s">
        <v>925</v>
      </c>
      <c r="C4125" t="s">
        <v>6</v>
      </c>
      <c r="D4125" t="s">
        <v>2628</v>
      </c>
      <c r="F4125" s="1">
        <v>45840</v>
      </c>
      <c r="G4125" t="str">
        <f>IF(Table3[[#This Row],[Top Parent Account]]="",Table3[[#This Row],[Account Legal Name]],Table3[[#This Row],[Top Parent Account]])</f>
        <v>Newko Tecnologies</v>
      </c>
      <c r="H4125" s="1"/>
    </row>
    <row r="4126" spans="1:8" x14ac:dyDescent="0.35">
      <c r="A4126" s="21"/>
      <c r="B4126" t="s">
        <v>14</v>
      </c>
      <c r="C4126" t="s">
        <v>6</v>
      </c>
      <c r="D4126" t="s">
        <v>2629</v>
      </c>
      <c r="F4126" s="1">
        <v>45840</v>
      </c>
      <c r="G4126" t="str">
        <f>IF(Table3[[#This Row],[Top Parent Account]]="",Table3[[#This Row],[Account Legal Name]],Table3[[#This Row],[Top Parent Account]])</f>
        <v>Mayoreo Ferretero Atlas</v>
      </c>
      <c r="H4126" s="1"/>
    </row>
    <row r="4127" spans="1:8" x14ac:dyDescent="0.35">
      <c r="A4127" s="21"/>
      <c r="B4127" t="s">
        <v>11</v>
      </c>
      <c r="C4127" t="s">
        <v>6</v>
      </c>
      <c r="D4127" t="s">
        <v>103</v>
      </c>
      <c r="F4127" s="1">
        <v>45840</v>
      </c>
      <c r="G4127" t="str">
        <f>IF(Table3[[#This Row],[Top Parent Account]]="",Table3[[#This Row],[Account Legal Name]],Table3[[#This Row],[Top Parent Account]])</f>
        <v>E2E Supply Chain Services</v>
      </c>
      <c r="H4127" s="1"/>
    </row>
    <row r="4128" spans="1:8" x14ac:dyDescent="0.35">
      <c r="A4128" s="21"/>
      <c r="B4128" t="s">
        <v>1511</v>
      </c>
      <c r="C4128" t="s">
        <v>22</v>
      </c>
      <c r="D4128" t="s">
        <v>1249</v>
      </c>
      <c r="F4128" s="1">
        <v>45840</v>
      </c>
      <c r="G4128" t="str">
        <f>IF(Table3[[#This Row],[Top Parent Account]]="",Table3[[#This Row],[Account Legal Name]],Table3[[#This Row],[Top Parent Account]])</f>
        <v>Grupo Regional Santa Fé</v>
      </c>
      <c r="H4128" s="1"/>
    </row>
    <row r="4129" spans="1:8" x14ac:dyDescent="0.35">
      <c r="A4129" s="21"/>
      <c r="B4129" t="s">
        <v>169</v>
      </c>
      <c r="C4129" t="s">
        <v>6</v>
      </c>
      <c r="D4129" t="s">
        <v>1336</v>
      </c>
      <c r="F4129" s="1">
        <v>45840</v>
      </c>
      <c r="G4129" t="str">
        <f>IF(Table3[[#This Row],[Top Parent Account]]="",Table3[[#This Row],[Account Legal Name]],Table3[[#This Row],[Top Parent Account]])</f>
        <v>LUMIGAR COMERCIALIZACION Y PRODUCCION</v>
      </c>
      <c r="H4129" s="1"/>
    </row>
    <row r="4130" spans="1:8" x14ac:dyDescent="0.35">
      <c r="A4130" s="21"/>
      <c r="B4130" t="s">
        <v>88</v>
      </c>
      <c r="C4130" t="s">
        <v>6</v>
      </c>
      <c r="D4130" t="s">
        <v>2630</v>
      </c>
      <c r="F4130" s="1">
        <v>45840</v>
      </c>
      <c r="G4130" t="str">
        <f>IF(Table3[[#This Row],[Top Parent Account]]="",Table3[[#This Row],[Account Legal Name]],Table3[[#This Row],[Top Parent Account]])</f>
        <v>SILLAS Y MAQUINADOS ALTA PRESICION</v>
      </c>
      <c r="H4130" s="1"/>
    </row>
    <row r="4131" spans="1:8" x14ac:dyDescent="0.35">
      <c r="A4131" s="21"/>
      <c r="B4131" t="s">
        <v>589</v>
      </c>
      <c r="C4131" t="s">
        <v>6</v>
      </c>
      <c r="D4131" t="s">
        <v>2680</v>
      </c>
      <c r="F4131" s="1">
        <v>45840</v>
      </c>
      <c r="G4131" t="str">
        <f>IF(Table3[[#This Row],[Top Parent Account]]="",Table3[[#This Row],[Account Legal Name]],Table3[[#This Row],[Top Parent Account]])</f>
        <v>Grupo Coinsa</v>
      </c>
      <c r="H4131" s="1"/>
    </row>
    <row r="4132" spans="1:8" x14ac:dyDescent="0.35">
      <c r="A4132" s="21"/>
      <c r="B4132" t="s">
        <v>2345</v>
      </c>
      <c r="C4132" t="s">
        <v>6</v>
      </c>
      <c r="D4132" t="s">
        <v>2681</v>
      </c>
      <c r="F4132" s="1">
        <v>45840</v>
      </c>
      <c r="G4132" t="str">
        <f>IF(Table3[[#This Row],[Top Parent Account]]="",Table3[[#This Row],[Account Legal Name]],Table3[[#This Row],[Top Parent Account]])</f>
        <v>MT Colective</v>
      </c>
      <c r="H4132" s="1"/>
    </row>
    <row r="4133" spans="1:8" x14ac:dyDescent="0.35">
      <c r="A4133" s="21"/>
      <c r="B4133" t="s">
        <v>172</v>
      </c>
      <c r="C4133" t="s">
        <v>6</v>
      </c>
      <c r="D4133" t="s">
        <v>2374</v>
      </c>
      <c r="F4133" s="1">
        <v>45840</v>
      </c>
      <c r="G4133" t="str">
        <f>IF(Table3[[#This Row],[Top Parent Account]]="",Table3[[#This Row],[Account Legal Name]],Table3[[#This Row],[Top Parent Account]])</f>
        <v>Agroservicios Del Norte</v>
      </c>
      <c r="H4133" s="1"/>
    </row>
    <row r="4134" spans="1:8" x14ac:dyDescent="0.35">
      <c r="A4134" s="21"/>
      <c r="B4134" t="s">
        <v>70</v>
      </c>
      <c r="C4134" t="s">
        <v>6</v>
      </c>
      <c r="D4134" t="s">
        <v>517</v>
      </c>
      <c r="F4134" s="1">
        <v>45840</v>
      </c>
      <c r="G4134" t="str">
        <f>IF(Table3[[#This Row],[Top Parent Account]]="",Table3[[#This Row],[Account Legal Name]],Table3[[#This Row],[Top Parent Account]])</f>
        <v>CBH+ en Innovación Médica</v>
      </c>
      <c r="H4134" s="1"/>
    </row>
    <row r="4135" spans="1:8" x14ac:dyDescent="0.35">
      <c r="A4135" s="21"/>
      <c r="B4135" t="s">
        <v>11</v>
      </c>
      <c r="C4135" t="s">
        <v>6</v>
      </c>
      <c r="D4135" t="s">
        <v>1344</v>
      </c>
      <c r="F4135" s="1">
        <v>45840</v>
      </c>
      <c r="G4135" t="str">
        <f>IF(Table3[[#This Row],[Top Parent Account]]="",Table3[[#This Row],[Account Legal Name]],Table3[[#This Row],[Top Parent Account]])</f>
        <v>Murguía Consultores Agente de Seguros y Fianzas</v>
      </c>
      <c r="H4135" s="1"/>
    </row>
    <row r="4136" spans="1:8" x14ac:dyDescent="0.35">
      <c r="A4136" s="21"/>
      <c r="B4136" t="s">
        <v>970</v>
      </c>
      <c r="C4136" t="s">
        <v>6</v>
      </c>
      <c r="D4136" t="s">
        <v>2909</v>
      </c>
      <c r="E4136" t="s">
        <v>2692</v>
      </c>
      <c r="F4136" s="1">
        <v>45840</v>
      </c>
      <c r="G4136" t="str">
        <f>IF(Table3[[#This Row],[Top Parent Account]]="",Table3[[#This Row],[Account Legal Name]],Table3[[#This Row],[Top Parent Account]])</f>
        <v>Grupo Dragon</v>
      </c>
      <c r="H4136" s="1"/>
    </row>
    <row r="4137" spans="1:8" x14ac:dyDescent="0.35">
      <c r="A4137" s="21"/>
      <c r="B4137" t="s">
        <v>84</v>
      </c>
      <c r="C4137" t="s">
        <v>1424</v>
      </c>
      <c r="D4137" t="s">
        <v>2631</v>
      </c>
      <c r="F4137" s="1">
        <v>45840</v>
      </c>
      <c r="G4137" t="str">
        <f>IF(Table3[[#This Row],[Top Parent Account]]="",Table3[[#This Row],[Account Legal Name]],Table3[[#This Row],[Top Parent Account]])</f>
        <v>Grupo Industrial Fabeva</v>
      </c>
      <c r="H4137" s="1"/>
    </row>
    <row r="4138" spans="1:8" x14ac:dyDescent="0.35">
      <c r="A4138" s="21"/>
      <c r="B4138" t="s">
        <v>925</v>
      </c>
      <c r="C4138" t="s">
        <v>6</v>
      </c>
      <c r="D4138" t="s">
        <v>94</v>
      </c>
      <c r="F4138" s="1">
        <v>45840</v>
      </c>
      <c r="G4138" t="str">
        <f>IF(Table3[[#This Row],[Top Parent Account]]="",Table3[[#This Row],[Account Legal Name]],Table3[[#This Row],[Top Parent Account]])</f>
        <v>Grupo Atsa</v>
      </c>
      <c r="H4138" s="1"/>
    </row>
    <row r="4139" spans="1:8" x14ac:dyDescent="0.35">
      <c r="A4139" s="21"/>
      <c r="B4139" t="s">
        <v>590</v>
      </c>
      <c r="C4139" t="s">
        <v>6</v>
      </c>
      <c r="D4139" t="s">
        <v>2682</v>
      </c>
      <c r="F4139" s="1">
        <v>45840</v>
      </c>
      <c r="G4139" t="str">
        <f>IF(Table3[[#This Row],[Top Parent Account]]="",Table3[[#This Row],[Account Legal Name]],Table3[[#This Row],[Top Parent Account]])</f>
        <v>Axmilab</v>
      </c>
      <c r="H4139" s="1"/>
    </row>
    <row r="4140" spans="1:8" x14ac:dyDescent="0.35">
      <c r="A4140" s="21"/>
      <c r="B4140" t="s">
        <v>43</v>
      </c>
      <c r="C4140" t="s">
        <v>22</v>
      </c>
      <c r="D4140" t="s">
        <v>2634</v>
      </c>
      <c r="F4140" s="1">
        <v>45840</v>
      </c>
      <c r="G4140" t="str">
        <f>IF(Table3[[#This Row],[Top Parent Account]]="",Table3[[#This Row],[Account Legal Name]],Table3[[#This Row],[Top Parent Account]])</f>
        <v>Ientc</v>
      </c>
      <c r="H4140" s="1"/>
    </row>
    <row r="4141" spans="1:8" x14ac:dyDescent="0.35">
      <c r="A4141" s="21"/>
      <c r="B4141" t="s">
        <v>1031</v>
      </c>
      <c r="C4141" t="s">
        <v>6</v>
      </c>
      <c r="D4141" t="s">
        <v>242</v>
      </c>
      <c r="F4141" s="1">
        <v>45840</v>
      </c>
      <c r="G4141" t="str">
        <f>IF(Table3[[#This Row],[Top Parent Account]]="",Table3[[#This Row],[Account Legal Name]],Table3[[#This Row],[Top Parent Account]])</f>
        <v>Ralca</v>
      </c>
      <c r="H4141" s="1"/>
    </row>
    <row r="4142" spans="1:8" x14ac:dyDescent="0.35">
      <c r="A4142" s="21"/>
      <c r="B4142" t="s">
        <v>280</v>
      </c>
      <c r="C4142" t="s">
        <v>6</v>
      </c>
      <c r="D4142" t="s">
        <v>2367</v>
      </c>
      <c r="F4142" s="1">
        <v>45840</v>
      </c>
      <c r="G4142" t="str">
        <f>IF(Table3[[#This Row],[Top Parent Account]]="",Table3[[#This Row],[Account Legal Name]],Table3[[#This Row],[Top Parent Account]])</f>
        <v>Grupo Porteo Logístico</v>
      </c>
      <c r="H4142" s="1"/>
    </row>
    <row r="4143" spans="1:8" x14ac:dyDescent="0.35">
      <c r="A4143" s="21"/>
      <c r="B4143" t="s">
        <v>70</v>
      </c>
      <c r="C4143" t="s">
        <v>6</v>
      </c>
      <c r="D4143" t="s">
        <v>1818</v>
      </c>
      <c r="F4143" s="1">
        <v>45840</v>
      </c>
      <c r="G4143" t="str">
        <f>IF(Table3[[#This Row],[Top Parent Account]]="",Table3[[#This Row],[Account Legal Name]],Table3[[#This Row],[Top Parent Account]])</f>
        <v>Hospital y Clínica Oca</v>
      </c>
      <c r="H4143" s="1"/>
    </row>
    <row r="4144" spans="1:8" x14ac:dyDescent="0.35">
      <c r="A4144" s="21"/>
      <c r="B4144" t="s">
        <v>375</v>
      </c>
      <c r="C4144" t="s">
        <v>6</v>
      </c>
      <c r="D4144" t="s">
        <v>2633</v>
      </c>
      <c r="F4144" s="1">
        <v>45840</v>
      </c>
      <c r="G4144" t="str">
        <f>IF(Table3[[#This Row],[Top Parent Account]]="",Table3[[#This Row],[Account Legal Name]],Table3[[#This Row],[Top Parent Account]])</f>
        <v>Sigmapack</v>
      </c>
      <c r="H4144" s="1"/>
    </row>
    <row r="4145" spans="1:8" x14ac:dyDescent="0.35">
      <c r="A4145" s="21"/>
      <c r="B4145" t="s">
        <v>925</v>
      </c>
      <c r="C4145" t="s">
        <v>22</v>
      </c>
      <c r="D4145" t="s">
        <v>711</v>
      </c>
      <c r="F4145" s="1">
        <v>45840</v>
      </c>
      <c r="G4145" t="str">
        <f>IF(Table3[[#This Row],[Top Parent Account]]="",Table3[[#This Row],[Account Legal Name]],Table3[[#This Row],[Top Parent Account]])</f>
        <v>Textiles Santa Susana</v>
      </c>
      <c r="H4145" s="1"/>
    </row>
    <row r="4146" spans="1:8" x14ac:dyDescent="0.35">
      <c r="A4146" s="21"/>
      <c r="B4146" t="s">
        <v>7</v>
      </c>
      <c r="C4146" t="s">
        <v>6</v>
      </c>
      <c r="D4146" t="s">
        <v>1214</v>
      </c>
      <c r="F4146" s="1">
        <v>45840</v>
      </c>
      <c r="G4146" t="str">
        <f>IF(Table3[[#This Row],[Top Parent Account]]="",Table3[[#This Row],[Account Legal Name]],Table3[[#This Row],[Top Parent Account]])</f>
        <v>INGENIERIA METALICA Y PLASTICA DE MEXICO</v>
      </c>
      <c r="H4146" s="1"/>
    </row>
    <row r="4147" spans="1:8" x14ac:dyDescent="0.35">
      <c r="A4147" s="21"/>
      <c r="B4147" t="s">
        <v>1131</v>
      </c>
      <c r="C4147" t="s">
        <v>6</v>
      </c>
      <c r="D4147" t="s">
        <v>2683</v>
      </c>
      <c r="F4147" s="1">
        <v>45840</v>
      </c>
      <c r="G4147" t="str">
        <f>IF(Table3[[#This Row],[Top Parent Account]]="",Table3[[#This Row],[Account Legal Name]],Table3[[#This Row],[Top Parent Account]])</f>
        <v>SL Agricola</v>
      </c>
      <c r="H4147" s="1"/>
    </row>
    <row r="4148" spans="1:8" x14ac:dyDescent="0.35">
      <c r="A4148" s="21"/>
      <c r="B4148" t="s">
        <v>25</v>
      </c>
      <c r="C4148" t="s">
        <v>6</v>
      </c>
      <c r="D4148" t="s">
        <v>502</v>
      </c>
      <c r="F4148" s="1">
        <v>45840</v>
      </c>
      <c r="G4148" t="str">
        <f>IF(Table3[[#This Row],[Top Parent Account]]="",Table3[[#This Row],[Account Legal Name]],Table3[[#This Row],[Top Parent Account]])</f>
        <v>Transportes Valbo</v>
      </c>
      <c r="H4148" s="1"/>
    </row>
    <row r="4149" spans="1:8" x14ac:dyDescent="0.35">
      <c r="A4149" s="21"/>
      <c r="B4149" t="s">
        <v>43</v>
      </c>
      <c r="C4149" t="s">
        <v>22</v>
      </c>
      <c r="D4149" t="s">
        <v>2634</v>
      </c>
      <c r="F4149" s="1">
        <v>45840</v>
      </c>
      <c r="G4149" t="str">
        <f>IF(Table3[[#This Row],[Top Parent Account]]="",Table3[[#This Row],[Account Legal Name]],Table3[[#This Row],[Top Parent Account]])</f>
        <v>Ientc</v>
      </c>
      <c r="H4149" s="1"/>
    </row>
    <row r="4150" spans="1:8" x14ac:dyDescent="0.35">
      <c r="A4150" s="21"/>
      <c r="B4150" t="s">
        <v>77</v>
      </c>
      <c r="C4150" t="s">
        <v>6</v>
      </c>
      <c r="D4150" t="s">
        <v>605</v>
      </c>
      <c r="F4150" s="1">
        <v>45840</v>
      </c>
      <c r="G4150" t="str">
        <f>IF(Table3[[#This Row],[Top Parent Account]]="",Table3[[#This Row],[Account Legal Name]],Table3[[#This Row],[Top Parent Account]])</f>
        <v>IRONSTAR MANUFACTURING</v>
      </c>
      <c r="H4150" s="1"/>
    </row>
    <row r="4151" spans="1:8" x14ac:dyDescent="0.35">
      <c r="A4151" s="21"/>
      <c r="B4151" t="s">
        <v>11</v>
      </c>
      <c r="C4151" t="s">
        <v>6</v>
      </c>
      <c r="D4151" t="s">
        <v>111</v>
      </c>
      <c r="F4151" s="1">
        <v>45840</v>
      </c>
      <c r="G4151" t="str">
        <f>IF(Table3[[#This Row],[Top Parent Account]]="",Table3[[#This Row],[Account Legal Name]],Table3[[#This Row],[Top Parent Account]])</f>
        <v>Regiomontana de Construcción y Servicios</v>
      </c>
      <c r="H4151" s="1"/>
    </row>
    <row r="4152" spans="1:8" x14ac:dyDescent="0.35">
      <c r="A4152" s="21"/>
      <c r="B4152" t="s">
        <v>589</v>
      </c>
      <c r="C4152" t="s">
        <v>6</v>
      </c>
      <c r="D4152" t="s">
        <v>2684</v>
      </c>
      <c r="F4152" s="1">
        <v>45839</v>
      </c>
      <c r="G4152" t="str">
        <f>IF(Table3[[#This Row],[Top Parent Account]]="",Table3[[#This Row],[Account Legal Name]],Table3[[#This Row],[Top Parent Account]])</f>
        <v>Inmobiliaria Vidusa</v>
      </c>
      <c r="H4152" s="1"/>
    </row>
    <row r="4153" spans="1:8" x14ac:dyDescent="0.35">
      <c r="A4153" s="21"/>
      <c r="B4153" t="s">
        <v>27</v>
      </c>
      <c r="C4153" t="s">
        <v>6</v>
      </c>
      <c r="D4153" t="s">
        <v>2635</v>
      </c>
      <c r="F4153" s="1">
        <v>45839</v>
      </c>
      <c r="G4153" t="str">
        <f>IF(Table3[[#This Row],[Top Parent Account]]="",Table3[[#This Row],[Account Legal Name]],Table3[[#This Row],[Top Parent Account]])</f>
        <v>Vimifos</v>
      </c>
      <c r="H4153" s="1"/>
    </row>
    <row r="4154" spans="1:8" x14ac:dyDescent="0.35">
      <c r="A4154" s="21"/>
      <c r="B4154" t="s">
        <v>29</v>
      </c>
      <c r="C4154" t="s">
        <v>6</v>
      </c>
      <c r="D4154" t="s">
        <v>2455</v>
      </c>
      <c r="F4154" s="1">
        <v>45839</v>
      </c>
      <c r="G4154" t="str">
        <f>IF(Table3[[#This Row],[Top Parent Account]]="",Table3[[#This Row],[Account Legal Name]],Table3[[#This Row],[Top Parent Account]])</f>
        <v>Alpe Fresh</v>
      </c>
      <c r="H4154" s="1"/>
    </row>
    <row r="4155" spans="1:8" x14ac:dyDescent="0.35">
      <c r="A4155" s="21"/>
      <c r="B4155" t="s">
        <v>25</v>
      </c>
      <c r="C4155" t="s">
        <v>6</v>
      </c>
      <c r="D4155" t="s">
        <v>2637</v>
      </c>
      <c r="E4155" t="s">
        <v>2015</v>
      </c>
      <c r="F4155" s="1">
        <v>45839</v>
      </c>
      <c r="G4155" t="str">
        <f>IF(Table3[[#This Row],[Top Parent Account]]="",Table3[[#This Row],[Account Legal Name]],Table3[[#This Row],[Top Parent Account]])</f>
        <v>Condelmex</v>
      </c>
      <c r="H4155" s="1"/>
    </row>
    <row r="4156" spans="1:8" x14ac:dyDescent="0.35">
      <c r="A4156" s="21"/>
      <c r="B4156" t="s">
        <v>280</v>
      </c>
      <c r="C4156" t="s">
        <v>6</v>
      </c>
      <c r="D4156" t="s">
        <v>2636</v>
      </c>
      <c r="F4156" s="1">
        <v>45839</v>
      </c>
      <c r="G4156" t="str">
        <f>IF(Table3[[#This Row],[Top Parent Account]]="",Table3[[#This Row],[Account Legal Name]],Table3[[#This Row],[Top Parent Account]])</f>
        <v>ROTO-MEX</v>
      </c>
      <c r="H4156" s="1"/>
    </row>
    <row r="4157" spans="1:8" x14ac:dyDescent="0.35">
      <c r="A4157" s="21"/>
      <c r="B4157" t="s">
        <v>207</v>
      </c>
      <c r="C4157" t="s">
        <v>6</v>
      </c>
      <c r="D4157" t="s">
        <v>1022</v>
      </c>
      <c r="F4157" s="1">
        <v>45839</v>
      </c>
      <c r="G4157" t="str">
        <f>IF(Table3[[#This Row],[Top Parent Account]]="",Table3[[#This Row],[Account Legal Name]],Table3[[#This Row],[Top Parent Account]])</f>
        <v>Grupo Comercial YAAVS</v>
      </c>
      <c r="H4157" s="1"/>
    </row>
    <row r="4158" spans="1:8" x14ac:dyDescent="0.35">
      <c r="A4158" s="21"/>
      <c r="B4158" t="s">
        <v>25</v>
      </c>
      <c r="C4158" t="s">
        <v>6</v>
      </c>
      <c r="D4158" t="s">
        <v>1189</v>
      </c>
      <c r="F4158" s="1">
        <v>45839</v>
      </c>
      <c r="G4158" t="str">
        <f>IF(Table3[[#This Row],[Top Parent Account]]="",Table3[[#This Row],[Account Legal Name]],Table3[[#This Row],[Top Parent Account]])</f>
        <v>Vsl Corporation México</v>
      </c>
      <c r="H4158" s="1"/>
    </row>
    <row r="4159" spans="1:8" x14ac:dyDescent="0.35">
      <c r="A4159" s="21"/>
      <c r="B4159" t="s">
        <v>51</v>
      </c>
      <c r="C4159" t="s">
        <v>6</v>
      </c>
      <c r="D4159" t="s">
        <v>2638</v>
      </c>
      <c r="F4159" s="1">
        <v>45839</v>
      </c>
      <c r="G4159" t="str">
        <f>IF(Table3[[#This Row],[Top Parent Account]]="",Table3[[#This Row],[Account Legal Name]],Table3[[#This Row],[Top Parent Account]])</f>
        <v>Frigocenter de Michoacán</v>
      </c>
      <c r="H4159" s="1"/>
    </row>
    <row r="4160" spans="1:8" x14ac:dyDescent="0.35">
      <c r="A4160" s="21"/>
      <c r="B4160" t="s">
        <v>2345</v>
      </c>
      <c r="C4160" t="s">
        <v>6</v>
      </c>
      <c r="D4160" t="s">
        <v>2639</v>
      </c>
      <c r="F4160" s="1">
        <v>45839</v>
      </c>
      <c r="G4160" t="str">
        <f>IF(Table3[[#This Row],[Top Parent Account]]="",Table3[[#This Row],[Account Legal Name]],Table3[[#This Row],[Top Parent Account]])</f>
        <v>Navi Cargo</v>
      </c>
      <c r="H4160" s="1"/>
    </row>
    <row r="4161" spans="1:8" x14ac:dyDescent="0.35">
      <c r="A4161" s="21"/>
      <c r="B4161" t="s">
        <v>169</v>
      </c>
      <c r="C4161" t="s">
        <v>6</v>
      </c>
      <c r="D4161" t="s">
        <v>2270</v>
      </c>
      <c r="F4161" s="1">
        <v>45839</v>
      </c>
      <c r="G4161" t="str">
        <f>IF(Table3[[#This Row],[Top Parent Account]]="",Table3[[#This Row],[Account Legal Name]],Table3[[#This Row],[Top Parent Account]])</f>
        <v>Manzanilla La Pastora</v>
      </c>
      <c r="H4161" s="1"/>
    </row>
    <row r="4162" spans="1:8" x14ac:dyDescent="0.35">
      <c r="A4162" s="21"/>
      <c r="B4162" t="s">
        <v>88</v>
      </c>
      <c r="C4162" t="s">
        <v>6</v>
      </c>
      <c r="D4162" t="s">
        <v>2640</v>
      </c>
      <c r="F4162" s="1">
        <v>45839</v>
      </c>
      <c r="G4162" t="str">
        <f>IF(Table3[[#This Row],[Top Parent Account]]="",Table3[[#This Row],[Account Legal Name]],Table3[[#This Row],[Top Parent Account]])</f>
        <v>Consultores y Asesores Tecva</v>
      </c>
      <c r="H4162" s="1"/>
    </row>
    <row r="4163" spans="1:8" x14ac:dyDescent="0.35">
      <c r="A4163" s="21"/>
      <c r="B4163" t="s">
        <v>14</v>
      </c>
      <c r="C4163" t="s">
        <v>6</v>
      </c>
      <c r="D4163" t="s">
        <v>2490</v>
      </c>
      <c r="F4163" s="1">
        <v>45839</v>
      </c>
      <c r="G4163" t="str">
        <f>IF(Table3[[#This Row],[Top Parent Account]]="",Table3[[#This Row],[Account Legal Name]],Table3[[#This Row],[Top Parent Account]])</f>
        <v>Saverglass</v>
      </c>
      <c r="H4163" s="1"/>
    </row>
    <row r="4164" spans="1:8" x14ac:dyDescent="0.35">
      <c r="A4164" s="21"/>
      <c r="B4164" t="s">
        <v>88</v>
      </c>
      <c r="C4164" t="s">
        <v>6</v>
      </c>
      <c r="D4164" t="s">
        <v>2641</v>
      </c>
      <c r="F4164" s="1">
        <v>45839</v>
      </c>
      <c r="G4164" t="str">
        <f>IF(Table3[[#This Row],[Top Parent Account]]="",Table3[[#This Row],[Account Legal Name]],Table3[[#This Row],[Top Parent Account]])</f>
        <v>Cocineros del Mundo</v>
      </c>
      <c r="H4164" s="1"/>
    </row>
    <row r="4165" spans="1:8" x14ac:dyDescent="0.35">
      <c r="A4165" s="21"/>
      <c r="B4165" t="s">
        <v>21</v>
      </c>
      <c r="C4165" t="s">
        <v>6</v>
      </c>
      <c r="D4165" t="s">
        <v>2642</v>
      </c>
      <c r="F4165" s="1">
        <v>45839</v>
      </c>
      <c r="G4165" t="str">
        <f>IF(Table3[[#This Row],[Top Parent Account]]="",Table3[[#This Row],[Account Legal Name]],Table3[[#This Row],[Top Parent Account]])</f>
        <v>Arquitectura Integral Denver</v>
      </c>
      <c r="H4165" s="1"/>
    </row>
    <row r="4166" spans="1:8" x14ac:dyDescent="0.35">
      <c r="A4166" s="21"/>
      <c r="B4166" t="s">
        <v>2309</v>
      </c>
      <c r="C4166" t="s">
        <v>22</v>
      </c>
      <c r="D4166" t="s">
        <v>2643</v>
      </c>
      <c r="F4166" s="1">
        <v>45839</v>
      </c>
      <c r="G4166" t="str">
        <f>IF(Table3[[#This Row],[Top Parent Account]]="",Table3[[#This Row],[Account Legal Name]],Table3[[#This Row],[Top Parent Account]])</f>
        <v>BET-GUI TELECOM</v>
      </c>
      <c r="H4166" s="1"/>
    </row>
    <row r="4167" spans="1:8" x14ac:dyDescent="0.35">
      <c r="A4167" s="21"/>
      <c r="B4167" t="s">
        <v>208</v>
      </c>
      <c r="C4167" t="s">
        <v>6</v>
      </c>
      <c r="D4167" t="s">
        <v>2644</v>
      </c>
      <c r="F4167" s="1">
        <v>45839</v>
      </c>
      <c r="G4167" t="str">
        <f>IF(Table3[[#This Row],[Top Parent Account]]="",Table3[[#This Row],[Account Legal Name]],Table3[[#This Row],[Top Parent Account]])</f>
        <v>Citrulsa de México</v>
      </c>
      <c r="H4167" s="1"/>
    </row>
    <row r="4168" spans="1:8" x14ac:dyDescent="0.35">
      <c r="A4168" s="21"/>
      <c r="B4168" t="s">
        <v>1006</v>
      </c>
      <c r="C4168" t="s">
        <v>6</v>
      </c>
      <c r="D4168" t="s">
        <v>1491</v>
      </c>
      <c r="F4168" s="1">
        <v>45839</v>
      </c>
      <c r="G4168" t="str">
        <f>IF(Table3[[#This Row],[Top Parent Account]]="",Table3[[#This Row],[Account Legal Name]],Table3[[#This Row],[Top Parent Account]])</f>
        <v>GRUPO MOC</v>
      </c>
      <c r="H4168" s="1"/>
    </row>
    <row r="4169" spans="1:8" x14ac:dyDescent="0.35">
      <c r="A4169" s="21"/>
      <c r="B4169" t="s">
        <v>10</v>
      </c>
      <c r="C4169" t="s">
        <v>6</v>
      </c>
      <c r="D4169" t="s">
        <v>1317</v>
      </c>
      <c r="F4169" s="1">
        <v>45839</v>
      </c>
      <c r="G4169" t="str">
        <f>IF(Table3[[#This Row],[Top Parent Account]]="",Table3[[#This Row],[Account Legal Name]],Table3[[#This Row],[Top Parent Account]])</f>
        <v>Laboratorios Pisa</v>
      </c>
      <c r="H4169" s="1"/>
    </row>
    <row r="4170" spans="1:8" x14ac:dyDescent="0.35">
      <c r="A4170" s="21"/>
      <c r="B4170" t="s">
        <v>820</v>
      </c>
      <c r="C4170" t="s">
        <v>6</v>
      </c>
      <c r="D4170" t="s">
        <v>225</v>
      </c>
      <c r="E4170" t="s">
        <v>321</v>
      </c>
      <c r="F4170" s="1">
        <v>45839</v>
      </c>
      <c r="G4170" t="str">
        <f>IF(Table3[[#This Row],[Top Parent Account]]="",Table3[[#This Row],[Account Legal Name]],Table3[[#This Row],[Top Parent Account]])</f>
        <v>Conservas La Costena</v>
      </c>
      <c r="H4170" s="1"/>
    </row>
    <row r="4171" spans="1:8" x14ac:dyDescent="0.35">
      <c r="A4171" s="21"/>
      <c r="B4171" t="s">
        <v>26</v>
      </c>
      <c r="C4171" t="s">
        <v>6</v>
      </c>
      <c r="D4171" t="s">
        <v>2185</v>
      </c>
      <c r="E4171" t="s">
        <v>2186</v>
      </c>
      <c r="F4171" s="1">
        <v>45839</v>
      </c>
      <c r="G4171" t="str">
        <f>IF(Table3[[#This Row],[Top Parent Account]]="",Table3[[#This Row],[Account Legal Name]],Table3[[#This Row],[Top Parent Account]])</f>
        <v>Unicar Mexicana</v>
      </c>
      <c r="H4171" s="1"/>
    </row>
    <row r="4172" spans="1:8" x14ac:dyDescent="0.35">
      <c r="A4172" s="21"/>
      <c r="B4172" t="s">
        <v>589</v>
      </c>
      <c r="C4172" t="s">
        <v>6</v>
      </c>
      <c r="D4172" t="s">
        <v>1315</v>
      </c>
      <c r="F4172" s="1">
        <v>45839</v>
      </c>
      <c r="G4172" t="str">
        <f>IF(Table3[[#This Row],[Top Parent Account]]="",Table3[[#This Row],[Account Legal Name]],Table3[[#This Row],[Top Parent Account]])</f>
        <v>LEMONHEZ</v>
      </c>
      <c r="H4172" s="1"/>
    </row>
    <row r="4173" spans="1:8" x14ac:dyDescent="0.35">
      <c r="A4173" s="21"/>
      <c r="B4173" t="s">
        <v>39</v>
      </c>
      <c r="C4173" t="s">
        <v>2645</v>
      </c>
      <c r="D4173" t="s">
        <v>2537</v>
      </c>
      <c r="F4173" s="1">
        <v>45839</v>
      </c>
      <c r="G4173" t="str">
        <f>IF(Table3[[#This Row],[Top Parent Account]]="",Table3[[#This Row],[Account Legal Name]],Table3[[#This Row],[Top Parent Account]])</f>
        <v>Salsas Castillo</v>
      </c>
      <c r="H4173" s="1"/>
    </row>
    <row r="4174" spans="1:8" x14ac:dyDescent="0.35">
      <c r="A4174" s="21"/>
      <c r="B4174" t="s">
        <v>21</v>
      </c>
      <c r="C4174" t="s">
        <v>6</v>
      </c>
      <c r="D4174" t="s">
        <v>2646</v>
      </c>
      <c r="F4174" s="1">
        <v>45839</v>
      </c>
      <c r="G4174" t="str">
        <f>IF(Table3[[#This Row],[Top Parent Account]]="",Table3[[#This Row],[Account Legal Name]],Table3[[#This Row],[Top Parent Account]])</f>
        <v>Comercial  Brillo</v>
      </c>
      <c r="H4174" s="1"/>
    </row>
    <row r="4175" spans="1:8" x14ac:dyDescent="0.35">
      <c r="A4175" s="21"/>
      <c r="B4175" t="s">
        <v>88</v>
      </c>
      <c r="C4175" t="s">
        <v>6</v>
      </c>
      <c r="D4175" t="s">
        <v>2647</v>
      </c>
      <c r="F4175" s="1">
        <v>45839</v>
      </c>
      <c r="G4175" t="str">
        <f>IF(Table3[[#This Row],[Top Parent Account]]="",Table3[[#This Row],[Account Legal Name]],Table3[[#This Row],[Top Parent Account]])</f>
        <v>protective foods</v>
      </c>
      <c r="H4175" s="1"/>
    </row>
    <row r="4176" spans="1:8" x14ac:dyDescent="0.35">
      <c r="A4176" s="21"/>
      <c r="B4176" t="s">
        <v>925</v>
      </c>
      <c r="C4176" t="s">
        <v>6</v>
      </c>
      <c r="D4176" t="s">
        <v>1387</v>
      </c>
      <c r="F4176" s="1">
        <v>45839</v>
      </c>
      <c r="G4176" t="str">
        <f>IF(Table3[[#This Row],[Top Parent Account]]="",Table3[[#This Row],[Account Legal Name]],Table3[[#This Row],[Top Parent Account]])</f>
        <v>Casa Lumbre</v>
      </c>
      <c r="H4176" s="1"/>
    </row>
    <row r="4177" spans="1:8" x14ac:dyDescent="0.35">
      <c r="A4177" s="21"/>
      <c r="B4177" t="s">
        <v>25</v>
      </c>
      <c r="C4177" t="s">
        <v>2648</v>
      </c>
      <c r="D4177" t="s">
        <v>2649</v>
      </c>
      <c r="F4177" s="1">
        <v>45839</v>
      </c>
      <c r="G4177" t="str">
        <f>IF(Table3[[#This Row],[Top Parent Account]]="",Table3[[#This Row],[Account Legal Name]],Table3[[#This Row],[Top Parent Account]])</f>
        <v>Path Logistic + Copacker</v>
      </c>
      <c r="H4177" s="1"/>
    </row>
    <row r="4178" spans="1:8" x14ac:dyDescent="0.35">
      <c r="A4178" s="21"/>
      <c r="B4178" t="s">
        <v>280</v>
      </c>
      <c r="C4178" t="s">
        <v>6</v>
      </c>
      <c r="D4178" t="s">
        <v>2685</v>
      </c>
      <c r="F4178" s="1">
        <v>45839</v>
      </c>
      <c r="G4178" t="str">
        <f>IF(Table3[[#This Row],[Top Parent Account]]="",Table3[[#This Row],[Account Legal Name]],Table3[[#This Row],[Top Parent Account]])</f>
        <v>Campo Alegre Alimentos</v>
      </c>
      <c r="H4178" s="1"/>
    </row>
    <row r="4179" spans="1:8" x14ac:dyDescent="0.35">
      <c r="A4179" s="21"/>
      <c r="B4179" t="s">
        <v>32</v>
      </c>
      <c r="C4179" t="s">
        <v>6</v>
      </c>
      <c r="D4179" t="s">
        <v>2686</v>
      </c>
      <c r="F4179" s="1">
        <v>45839</v>
      </c>
      <c r="G4179" t="str">
        <f>IF(Table3[[#This Row],[Top Parent Account]]="",Table3[[#This Row],[Account Legal Name]],Table3[[#This Row],[Top Parent Account]])</f>
        <v>Grupo Transportes Terrestres Aduanales</v>
      </c>
      <c r="H4179" s="1"/>
    </row>
    <row r="4180" spans="1:8" x14ac:dyDescent="0.35">
      <c r="A4180" s="21"/>
      <c r="B4180" t="s">
        <v>26</v>
      </c>
      <c r="C4180" t="s">
        <v>6</v>
      </c>
      <c r="D4180" t="s">
        <v>485</v>
      </c>
      <c r="F4180" s="1">
        <v>45839</v>
      </c>
      <c r="G4180" t="str">
        <f>IF(Table3[[#This Row],[Top Parent Account]]="",Table3[[#This Row],[Account Legal Name]],Table3[[#This Row],[Top Parent Account]])</f>
        <v>Mc Plasticos de México</v>
      </c>
      <c r="H4180" s="1"/>
    </row>
    <row r="4181" spans="1:8" x14ac:dyDescent="0.35">
      <c r="A4181" s="21"/>
      <c r="B4181" t="s">
        <v>37</v>
      </c>
      <c r="C4181" t="s">
        <v>6</v>
      </c>
      <c r="D4181" t="s">
        <v>2617</v>
      </c>
      <c r="F4181" s="1">
        <v>45838</v>
      </c>
      <c r="G4181" t="str">
        <f>IF(Table3[[#This Row],[Top Parent Account]]="",Table3[[#This Row],[Account Legal Name]],Table3[[#This Row],[Top Parent Account]])</f>
        <v>Carnes Frías y Lácteos Doña Matty</v>
      </c>
      <c r="H4181" s="1"/>
    </row>
    <row r="4182" spans="1:8" x14ac:dyDescent="0.35">
      <c r="A4182" s="21"/>
      <c r="B4182" t="s">
        <v>70</v>
      </c>
      <c r="C4182" t="s">
        <v>22</v>
      </c>
      <c r="D4182" t="s">
        <v>1428</v>
      </c>
      <c r="F4182" s="1">
        <v>45838</v>
      </c>
      <c r="G4182" t="str">
        <f>IF(Table3[[#This Row],[Top Parent Account]]="",Table3[[#This Row],[Account Legal Name]],Table3[[#This Row],[Top Parent Account]])</f>
        <v>Il Diagnostics</v>
      </c>
      <c r="H4182" s="1"/>
    </row>
    <row r="4183" spans="1:8" x14ac:dyDescent="0.35">
      <c r="A4183" s="21"/>
      <c r="B4183" t="s">
        <v>7</v>
      </c>
      <c r="C4183" t="s">
        <v>6</v>
      </c>
      <c r="D4183" t="s">
        <v>2607</v>
      </c>
      <c r="F4183" s="1">
        <v>45838</v>
      </c>
      <c r="G4183" t="str">
        <f>IF(Table3[[#This Row],[Top Parent Account]]="",Table3[[#This Row],[Account Legal Name]],Table3[[#This Row],[Top Parent Account]])</f>
        <v>Res Internacional</v>
      </c>
      <c r="H4183" s="1"/>
    </row>
    <row r="4184" spans="1:8" x14ac:dyDescent="0.35">
      <c r="A4184" s="21"/>
      <c r="B4184" t="s">
        <v>280</v>
      </c>
      <c r="C4184" t="s">
        <v>6</v>
      </c>
      <c r="D4184" t="s">
        <v>2608</v>
      </c>
      <c r="F4184" s="1">
        <v>45838</v>
      </c>
      <c r="G4184" t="str">
        <f>IF(Table3[[#This Row],[Top Parent Account]]="",Table3[[#This Row],[Account Legal Name]],Table3[[#This Row],[Top Parent Account]])</f>
        <v>Servicios Integrales Vahsal</v>
      </c>
      <c r="H4184" s="1"/>
    </row>
    <row r="4185" spans="1:8" x14ac:dyDescent="0.35">
      <c r="A4185" s="21"/>
      <c r="B4185" t="s">
        <v>78</v>
      </c>
      <c r="C4185" t="s">
        <v>6</v>
      </c>
      <c r="D4185" t="s">
        <v>2609</v>
      </c>
      <c r="F4185" s="1">
        <v>45838</v>
      </c>
      <c r="G4185" t="str">
        <f>IF(Table3[[#This Row],[Top Parent Account]]="",Table3[[#This Row],[Account Legal Name]],Table3[[#This Row],[Top Parent Account]])</f>
        <v>SOLUCIONES INTELIGENTES EN EMBALAJE</v>
      </c>
      <c r="H4185" s="1"/>
    </row>
    <row r="4186" spans="1:8" x14ac:dyDescent="0.35">
      <c r="A4186" s="21"/>
      <c r="B4186" t="s">
        <v>1899</v>
      </c>
      <c r="C4186" t="s">
        <v>6</v>
      </c>
      <c r="D4186" t="s">
        <v>2610</v>
      </c>
      <c r="F4186" s="1">
        <v>45838</v>
      </c>
      <c r="G4186" t="str">
        <f>IF(Table3[[#This Row],[Top Parent Account]]="",Table3[[#This Row],[Account Legal Name]],Table3[[#This Row],[Top Parent Account]])</f>
        <v>TMP Manufacturing Co. de México</v>
      </c>
      <c r="H4186" s="1"/>
    </row>
    <row r="4187" spans="1:8" x14ac:dyDescent="0.35">
      <c r="A4187" s="21"/>
      <c r="B4187" t="s">
        <v>37</v>
      </c>
      <c r="C4187" t="s">
        <v>22</v>
      </c>
      <c r="D4187" t="s">
        <v>960</v>
      </c>
      <c r="F4187" s="1">
        <v>45838</v>
      </c>
      <c r="G4187" t="str">
        <f>IF(Table3[[#This Row],[Top Parent Account]]="",Table3[[#This Row],[Account Legal Name]],Table3[[#This Row],[Top Parent Account]])</f>
        <v>Transportes Privados De Guaymas</v>
      </c>
      <c r="H4187" s="1"/>
    </row>
    <row r="4188" spans="1:8" x14ac:dyDescent="0.35">
      <c r="A4188" s="21"/>
      <c r="B4188" t="s">
        <v>37</v>
      </c>
      <c r="C4188" t="s">
        <v>6</v>
      </c>
      <c r="D4188" t="s">
        <v>877</v>
      </c>
      <c r="F4188" s="1">
        <v>45838</v>
      </c>
      <c r="G4188" t="str">
        <f>IF(Table3[[#This Row],[Top Parent Account]]="",Table3[[#This Row],[Account Legal Name]],Table3[[#This Row],[Top Parent Account]])</f>
        <v>La Azteca Construcciones y Urbanizaciones</v>
      </c>
      <c r="H4188" s="1"/>
    </row>
    <row r="4189" spans="1:8" x14ac:dyDescent="0.35">
      <c r="A4189" s="21"/>
      <c r="B4189" t="s">
        <v>37</v>
      </c>
      <c r="C4189" t="s">
        <v>6</v>
      </c>
      <c r="D4189" t="s">
        <v>1055</v>
      </c>
      <c r="F4189" s="1">
        <v>45838</v>
      </c>
      <c r="G4189" t="str">
        <f>IF(Table3[[#This Row],[Top Parent Account]]="",Table3[[#This Row],[Account Legal Name]],Table3[[#This Row],[Top Parent Account]])</f>
        <v>Proautomation</v>
      </c>
      <c r="H4189" s="1"/>
    </row>
    <row r="4190" spans="1:8" x14ac:dyDescent="0.35">
      <c r="A4190" s="21"/>
      <c r="B4190" t="s">
        <v>7</v>
      </c>
      <c r="C4190" t="s">
        <v>6</v>
      </c>
      <c r="D4190" t="s">
        <v>2612</v>
      </c>
      <c r="F4190" s="1">
        <v>45838</v>
      </c>
      <c r="G4190" t="str">
        <f>IF(Table3[[#This Row],[Top Parent Account]]="",Table3[[#This Row],[Account Legal Name]],Table3[[#This Row],[Top Parent Account]])</f>
        <v>Mgs Plastics De Chihuahua</v>
      </c>
      <c r="H4190" s="1"/>
    </row>
    <row r="4191" spans="1:8" x14ac:dyDescent="0.35">
      <c r="A4191" s="21"/>
      <c r="B4191" t="s">
        <v>14</v>
      </c>
      <c r="C4191" t="s">
        <v>6</v>
      </c>
      <c r="D4191" t="s">
        <v>2611</v>
      </c>
      <c r="F4191" s="1">
        <v>45838</v>
      </c>
      <c r="G4191" t="str">
        <f>IF(Table3[[#This Row],[Top Parent Account]]="",Table3[[#This Row],[Account Legal Name]],Table3[[#This Row],[Top Parent Account]])</f>
        <v>Jesus Ceceñas Salazar</v>
      </c>
      <c r="H4191" s="1"/>
    </row>
    <row r="4192" spans="1:8" x14ac:dyDescent="0.35">
      <c r="A4192" s="21"/>
      <c r="B4192" t="s">
        <v>37</v>
      </c>
      <c r="C4192" t="s">
        <v>6</v>
      </c>
      <c r="D4192" t="s">
        <v>1480</v>
      </c>
      <c r="F4192" s="1">
        <v>45838</v>
      </c>
      <c r="G4192" t="str">
        <f>IF(Table3[[#This Row],[Top Parent Account]]="",Table3[[#This Row],[Account Legal Name]],Table3[[#This Row],[Top Parent Account]])</f>
        <v>Asociación de Productores de Hortalizas del Yaqui y Mayo</v>
      </c>
      <c r="H4192" s="1"/>
    </row>
    <row r="4193" spans="1:8" x14ac:dyDescent="0.35">
      <c r="A4193" s="21"/>
      <c r="B4193" t="s">
        <v>70</v>
      </c>
      <c r="C4193" t="s">
        <v>22</v>
      </c>
      <c r="D4193" t="s">
        <v>667</v>
      </c>
      <c r="F4193" s="1">
        <v>45838</v>
      </c>
      <c r="G4193" t="str">
        <f>IF(Table3[[#This Row],[Top Parent Account]]="",Table3[[#This Row],[Account Legal Name]],Table3[[#This Row],[Top Parent Account]])</f>
        <v>Medica Sur</v>
      </c>
      <c r="H4193" s="1"/>
    </row>
    <row r="4194" spans="1:8" x14ac:dyDescent="0.35">
      <c r="A4194" s="21"/>
      <c r="B4194" t="s">
        <v>23</v>
      </c>
      <c r="C4194" t="s">
        <v>6</v>
      </c>
      <c r="D4194" t="s">
        <v>2613</v>
      </c>
      <c r="F4194" s="1">
        <v>45838</v>
      </c>
      <c r="G4194" t="str">
        <f>IF(Table3[[#This Row],[Top Parent Account]]="",Table3[[#This Row],[Account Legal Name]],Table3[[#This Row],[Top Parent Account]])</f>
        <v>LINMEX LUBRICANTES</v>
      </c>
      <c r="H4194" s="1"/>
    </row>
    <row r="4195" spans="1:8" x14ac:dyDescent="0.35">
      <c r="A4195" s="21"/>
      <c r="B4195" t="s">
        <v>23</v>
      </c>
      <c r="C4195" t="s">
        <v>6</v>
      </c>
      <c r="D4195" t="s">
        <v>2614</v>
      </c>
      <c r="F4195" s="1">
        <v>45838</v>
      </c>
      <c r="G4195" t="str">
        <f>IF(Table3[[#This Row],[Top Parent Account]]="",Table3[[#This Row],[Account Legal Name]],Table3[[#This Row],[Top Parent Account]])</f>
        <v>Alfredo Montes Hernandez</v>
      </c>
      <c r="H4195" s="1"/>
    </row>
    <row r="4196" spans="1:8" x14ac:dyDescent="0.35">
      <c r="A4196" s="21"/>
      <c r="B4196" t="s">
        <v>88</v>
      </c>
      <c r="C4196" t="s">
        <v>22</v>
      </c>
      <c r="D4196" t="s">
        <v>2615</v>
      </c>
      <c r="F4196" s="1">
        <v>45838</v>
      </c>
      <c r="G4196" t="str">
        <f>IF(Table3[[#This Row],[Top Parent Account]]="",Table3[[#This Row],[Account Legal Name]],Table3[[#This Row],[Top Parent Account]])</f>
        <v>Juventino Pulido Yepez</v>
      </c>
      <c r="H4196" s="1"/>
    </row>
    <row r="4197" spans="1:8" x14ac:dyDescent="0.35">
      <c r="A4197" s="21"/>
      <c r="B4197" t="s">
        <v>37</v>
      </c>
      <c r="C4197" t="s">
        <v>6</v>
      </c>
      <c r="D4197" t="s">
        <v>2632</v>
      </c>
      <c r="F4197" s="1">
        <v>45838</v>
      </c>
      <c r="G4197" t="str">
        <f>IF(Table3[[#This Row],[Top Parent Account]]="",Table3[[#This Row],[Account Legal Name]],Table3[[#This Row],[Top Parent Account]])</f>
        <v>MATERIALES VIZCAINO</v>
      </c>
      <c r="H4197" s="1"/>
    </row>
    <row r="4198" spans="1:8" x14ac:dyDescent="0.35">
      <c r="A4198" s="21"/>
      <c r="B4198" t="s">
        <v>78</v>
      </c>
      <c r="C4198" t="s">
        <v>6</v>
      </c>
      <c r="D4198" t="s">
        <v>2616</v>
      </c>
      <c r="F4198" s="1">
        <v>45838</v>
      </c>
      <c r="G4198" t="str">
        <f>IF(Table3[[#This Row],[Top Parent Account]]="",Table3[[#This Row],[Account Legal Name]],Table3[[#This Row],[Top Parent Account]])</f>
        <v>GRUPO FORCHETTA</v>
      </c>
      <c r="H4198" s="1"/>
    </row>
    <row r="4199" spans="1:8" x14ac:dyDescent="0.35">
      <c r="A4199" s="21"/>
      <c r="B4199" t="s">
        <v>375</v>
      </c>
      <c r="C4199" t="s">
        <v>6</v>
      </c>
      <c r="D4199" t="s">
        <v>2361</v>
      </c>
      <c r="F4199" s="1">
        <v>45838</v>
      </c>
      <c r="G4199" t="str">
        <f>IF(Table3[[#This Row],[Top Parent Account]]="",Table3[[#This Row],[Account Legal Name]],Table3[[#This Row],[Top Parent Account]])</f>
        <v>Transbiaga Servicios</v>
      </c>
      <c r="H4199" s="1"/>
    </row>
    <row r="4200" spans="1:8" x14ac:dyDescent="0.35">
      <c r="A4200" s="21"/>
      <c r="B4200" t="s">
        <v>37</v>
      </c>
      <c r="C4200" t="s">
        <v>6</v>
      </c>
      <c r="D4200" t="s">
        <v>1058</v>
      </c>
      <c r="F4200" s="1">
        <v>45835</v>
      </c>
      <c r="G4200" t="str">
        <f>IF(Table3[[#This Row],[Top Parent Account]]="",Table3[[#This Row],[Account Legal Name]],Table3[[#This Row],[Top Parent Account]])</f>
        <v>Ingeniería y Construcciones Sabodepa</v>
      </c>
      <c r="H4200" s="1"/>
    </row>
    <row r="4201" spans="1:8" x14ac:dyDescent="0.35">
      <c r="A4201" s="21"/>
      <c r="B4201" t="s">
        <v>37</v>
      </c>
      <c r="C4201" t="s">
        <v>6</v>
      </c>
      <c r="D4201" t="s">
        <v>2600</v>
      </c>
      <c r="F4201" s="1">
        <v>45835</v>
      </c>
      <c r="G4201" t="str">
        <f>IF(Table3[[#This Row],[Top Parent Account]]="",Table3[[#This Row],[Account Legal Name]],Table3[[#This Row],[Top Parent Account]])</f>
        <v>Guillermo Omar Gim Burruel</v>
      </c>
      <c r="H4201" s="1"/>
    </row>
    <row r="4202" spans="1:8" x14ac:dyDescent="0.35">
      <c r="A4202" s="21"/>
      <c r="B4202" t="s">
        <v>989</v>
      </c>
      <c r="C4202" t="s">
        <v>6</v>
      </c>
      <c r="D4202" t="s">
        <v>2492</v>
      </c>
      <c r="E4202" t="s">
        <v>1123</v>
      </c>
      <c r="F4202" s="1">
        <v>45835</v>
      </c>
      <c r="G4202" t="str">
        <f>IF(Table3[[#This Row],[Top Parent Account]]="",Table3[[#This Row],[Account Legal Name]],Table3[[#This Row],[Top Parent Account]])</f>
        <v>Exel Servigrafica</v>
      </c>
      <c r="H4202" s="1"/>
    </row>
    <row r="4203" spans="1:8" x14ac:dyDescent="0.35">
      <c r="A4203" s="21"/>
      <c r="B4203" t="s">
        <v>989</v>
      </c>
      <c r="C4203" t="s">
        <v>6</v>
      </c>
      <c r="D4203" t="s">
        <v>177</v>
      </c>
      <c r="F4203" s="1">
        <v>45835</v>
      </c>
      <c r="G4203" t="str">
        <f>IF(Table3[[#This Row],[Top Parent Account]]="",Table3[[#This Row],[Account Legal Name]],Table3[[#This Row],[Top Parent Account]])</f>
        <v>Cartonera Plástica</v>
      </c>
      <c r="H4203" s="1"/>
    </row>
    <row r="4204" spans="1:8" x14ac:dyDescent="0.35">
      <c r="A4204" s="21"/>
      <c r="B4204" t="s">
        <v>11</v>
      </c>
      <c r="C4204" t="s">
        <v>6</v>
      </c>
      <c r="D4204" t="s">
        <v>115</v>
      </c>
      <c r="F4204" s="1">
        <v>45835</v>
      </c>
      <c r="G4204" t="str">
        <f>IF(Table3[[#This Row],[Top Parent Account]]="",Table3[[#This Row],[Account Legal Name]],Table3[[#This Row],[Top Parent Account]])</f>
        <v>Gerdau Corsa</v>
      </c>
      <c r="H4204" s="1"/>
    </row>
    <row r="4205" spans="1:8" x14ac:dyDescent="0.35">
      <c r="A4205" s="21"/>
      <c r="B4205" t="s">
        <v>29</v>
      </c>
      <c r="C4205" t="s">
        <v>6</v>
      </c>
      <c r="D4205" t="s">
        <v>2570</v>
      </c>
      <c r="F4205" s="1">
        <v>45835</v>
      </c>
      <c r="G4205" t="str">
        <f>IF(Table3[[#This Row],[Top Parent Account]]="",Table3[[#This Row],[Account Legal Name]],Table3[[#This Row],[Top Parent Account]])</f>
        <v>Tierra y Armonia</v>
      </c>
      <c r="H4205" s="1"/>
    </row>
    <row r="4206" spans="1:8" x14ac:dyDescent="0.35">
      <c r="A4206" s="21"/>
      <c r="B4206" t="s">
        <v>77</v>
      </c>
      <c r="C4206" t="s">
        <v>6</v>
      </c>
      <c r="D4206" t="s">
        <v>857</v>
      </c>
      <c r="F4206" s="1">
        <v>45835</v>
      </c>
      <c r="G4206" t="str">
        <f>IF(Table3[[#This Row],[Top Parent Account]]="",Table3[[#This Row],[Account Legal Name]],Table3[[#This Row],[Top Parent Account]])</f>
        <v>Pma Productos Metalicos y Acrilicos</v>
      </c>
      <c r="H4206" s="1"/>
    </row>
    <row r="4207" spans="1:8" x14ac:dyDescent="0.35">
      <c r="A4207" s="21"/>
      <c r="B4207" t="s">
        <v>28</v>
      </c>
      <c r="C4207" t="s">
        <v>6</v>
      </c>
      <c r="D4207" t="s">
        <v>2571</v>
      </c>
      <c r="F4207" s="1">
        <v>45835</v>
      </c>
      <c r="G4207" t="str">
        <f>IF(Table3[[#This Row],[Top Parent Account]]="",Table3[[#This Row],[Account Legal Name]],Table3[[#This Row],[Top Parent Account]])</f>
        <v>Petrotekno</v>
      </c>
      <c r="H4207" s="1"/>
    </row>
    <row r="4208" spans="1:8" x14ac:dyDescent="0.35">
      <c r="A4208" s="21"/>
      <c r="B4208" t="s">
        <v>925</v>
      </c>
      <c r="C4208" t="s">
        <v>6</v>
      </c>
      <c r="D4208" t="s">
        <v>826</v>
      </c>
      <c r="F4208" s="1">
        <v>45835</v>
      </c>
      <c r="G4208" t="str">
        <f>IF(Table3[[#This Row],[Top Parent Account]]="",Table3[[#This Row],[Account Legal Name]],Table3[[#This Row],[Top Parent Account]])</f>
        <v>ELASTOMEROS TAZA</v>
      </c>
      <c r="H4208" s="1"/>
    </row>
    <row r="4209" spans="1:8" x14ac:dyDescent="0.35">
      <c r="A4209" s="21"/>
      <c r="B4209" t="s">
        <v>116</v>
      </c>
      <c r="C4209" t="s">
        <v>6</v>
      </c>
      <c r="D4209" t="s">
        <v>209</v>
      </c>
      <c r="F4209" s="1">
        <v>45835</v>
      </c>
      <c r="G4209" t="str">
        <f>IF(Table3[[#This Row],[Top Parent Account]]="",Table3[[#This Row],[Account Legal Name]],Table3[[#This Row],[Top Parent Account]])</f>
        <v>Alta Calidad en Inyección</v>
      </c>
      <c r="H4209" s="1"/>
    </row>
    <row r="4210" spans="1:8" x14ac:dyDescent="0.35">
      <c r="A4210" s="21"/>
      <c r="B4210" t="s">
        <v>28</v>
      </c>
      <c r="C4210" t="s">
        <v>6</v>
      </c>
      <c r="D4210" t="s">
        <v>2601</v>
      </c>
      <c r="F4210" s="1">
        <v>45835</v>
      </c>
      <c r="G4210" t="str">
        <f>IF(Table3[[#This Row],[Top Parent Account]]="",Table3[[#This Row],[Account Legal Name]],Table3[[#This Row],[Top Parent Account]])</f>
        <v>Transportaciones e Industrial Cerecero</v>
      </c>
      <c r="H4210" s="1"/>
    </row>
    <row r="4211" spans="1:8" x14ac:dyDescent="0.35">
      <c r="A4211" s="21"/>
      <c r="B4211" t="s">
        <v>21</v>
      </c>
      <c r="C4211" t="s">
        <v>6</v>
      </c>
      <c r="D4211" t="s">
        <v>2572</v>
      </c>
      <c r="F4211" s="1">
        <v>45835</v>
      </c>
      <c r="G4211" t="str">
        <f>IF(Table3[[#This Row],[Top Parent Account]]="",Table3[[#This Row],[Account Legal Name]],Table3[[#This Row],[Top Parent Account]])</f>
        <v>Sistemas Contino</v>
      </c>
      <c r="H4211" s="1"/>
    </row>
    <row r="4212" spans="1:8" x14ac:dyDescent="0.35">
      <c r="A4212" s="21"/>
      <c r="B4212" t="s">
        <v>121</v>
      </c>
      <c r="C4212" t="s">
        <v>6</v>
      </c>
      <c r="D4212" t="s">
        <v>835</v>
      </c>
      <c r="F4212" s="1">
        <v>45835</v>
      </c>
      <c r="G4212" t="str">
        <f>IF(Table3[[#This Row],[Top Parent Account]]="",Table3[[#This Row],[Account Legal Name]],Table3[[#This Row],[Top Parent Account]])</f>
        <v>Desarrolladora de Energía Global</v>
      </c>
      <c r="H4212" s="1"/>
    </row>
    <row r="4213" spans="1:8" x14ac:dyDescent="0.35">
      <c r="A4213" s="21"/>
      <c r="B4213" t="s">
        <v>37</v>
      </c>
      <c r="C4213" t="s">
        <v>6</v>
      </c>
      <c r="D4213" t="s">
        <v>499</v>
      </c>
      <c r="F4213" s="1">
        <v>45835</v>
      </c>
      <c r="G4213" t="str">
        <f>IF(Table3[[#This Row],[Top Parent Account]]="",Table3[[#This Row],[Account Legal Name]],Table3[[#This Row],[Top Parent Account]])</f>
        <v>LILIANA LIZETH LEON MARTINEZ</v>
      </c>
      <c r="H4213" s="1"/>
    </row>
    <row r="4214" spans="1:8" x14ac:dyDescent="0.35">
      <c r="A4214" s="21"/>
      <c r="B4214" t="s">
        <v>932</v>
      </c>
      <c r="C4214" t="s">
        <v>2573</v>
      </c>
      <c r="D4214" t="s">
        <v>2574</v>
      </c>
      <c r="F4214" s="1">
        <v>45835</v>
      </c>
      <c r="G4214" t="str">
        <f>IF(Table3[[#This Row],[Top Parent Account]]="",Table3[[#This Row],[Account Legal Name]],Table3[[#This Row],[Top Parent Account]])</f>
        <v>INDUCON ENERGY LIMITED</v>
      </c>
      <c r="H4214" s="1"/>
    </row>
    <row r="4215" spans="1:8" x14ac:dyDescent="0.35">
      <c r="A4215" s="21"/>
      <c r="B4215" t="s">
        <v>589</v>
      </c>
      <c r="C4215" t="s">
        <v>6</v>
      </c>
      <c r="D4215" t="s">
        <v>2575</v>
      </c>
      <c r="F4215" s="1">
        <v>45835</v>
      </c>
      <c r="G4215" t="str">
        <f>IF(Table3[[#This Row],[Top Parent Account]]="",Table3[[#This Row],[Account Legal Name]],Table3[[#This Row],[Top Parent Account]])</f>
        <v>Rapid transit</v>
      </c>
      <c r="H4215" s="1"/>
    </row>
    <row r="4216" spans="1:8" x14ac:dyDescent="0.35">
      <c r="A4216" s="21"/>
      <c r="B4216" t="s">
        <v>24</v>
      </c>
      <c r="C4216" t="s">
        <v>6</v>
      </c>
      <c r="D4216" t="s">
        <v>1108</v>
      </c>
      <c r="F4216" s="1">
        <v>45835</v>
      </c>
      <c r="G4216" t="str">
        <f>IF(Table3[[#This Row],[Top Parent Account]]="",Table3[[#This Row],[Account Legal Name]],Table3[[#This Row],[Top Parent Account]])</f>
        <v>Vanrenta</v>
      </c>
      <c r="H4216" s="1"/>
    </row>
    <row r="4217" spans="1:8" x14ac:dyDescent="0.35">
      <c r="A4217" s="21"/>
      <c r="B4217" t="s">
        <v>88</v>
      </c>
      <c r="C4217" t="s">
        <v>6</v>
      </c>
      <c r="D4217" t="s">
        <v>995</v>
      </c>
      <c r="F4217" s="1">
        <v>45835</v>
      </c>
      <c r="G4217" t="str">
        <f>IF(Table3[[#This Row],[Top Parent Account]]="",Table3[[#This Row],[Account Legal Name]],Table3[[#This Row],[Top Parent Account]])</f>
        <v>Attached Solutions de México</v>
      </c>
      <c r="H4217" s="1"/>
    </row>
    <row r="4218" spans="1:8" x14ac:dyDescent="0.35">
      <c r="A4218" s="21"/>
      <c r="B4218" t="s">
        <v>39</v>
      </c>
      <c r="C4218" t="s">
        <v>2576</v>
      </c>
      <c r="D4218" t="s">
        <v>2577</v>
      </c>
      <c r="F4218" s="1">
        <v>45835</v>
      </c>
      <c r="G4218" t="str">
        <f>IF(Table3[[#This Row],[Top Parent Account]]="",Table3[[#This Row],[Account Legal Name]],Table3[[#This Row],[Top Parent Account]])</f>
        <v>ERA Multimodal</v>
      </c>
      <c r="H4218" s="1"/>
    </row>
    <row r="4219" spans="1:8" x14ac:dyDescent="0.35">
      <c r="A4219" s="21"/>
      <c r="B4219" t="s">
        <v>1643</v>
      </c>
      <c r="C4219" t="s">
        <v>6</v>
      </c>
      <c r="D4219" t="s">
        <v>1647</v>
      </c>
      <c r="F4219" s="1">
        <v>45835</v>
      </c>
      <c r="G4219" t="str">
        <f>IF(Table3[[#This Row],[Top Parent Account]]="",Table3[[#This Row],[Account Legal Name]],Table3[[#This Row],[Top Parent Account]])</f>
        <v>Fundicion Aguilas</v>
      </c>
      <c r="H4219" s="1"/>
    </row>
    <row r="4220" spans="1:8" x14ac:dyDescent="0.35">
      <c r="A4220" s="21"/>
      <c r="B4220" t="s">
        <v>1899</v>
      </c>
      <c r="C4220" t="s">
        <v>6</v>
      </c>
      <c r="D4220" t="s">
        <v>2578</v>
      </c>
      <c r="F4220" s="1">
        <v>45835</v>
      </c>
      <c r="G4220" t="str">
        <f>IF(Table3[[#This Row],[Top Parent Account]]="",Table3[[#This Row],[Account Legal Name]],Table3[[#This Row],[Top Parent Account]])</f>
        <v>D' ARREDI IMPORTACIONES</v>
      </c>
      <c r="H4220" s="1"/>
    </row>
    <row r="4221" spans="1:8" x14ac:dyDescent="0.35">
      <c r="A4221" s="21"/>
      <c r="B4221" t="s">
        <v>70</v>
      </c>
      <c r="C4221" t="s">
        <v>22</v>
      </c>
      <c r="D4221" t="s">
        <v>479</v>
      </c>
      <c r="F4221" s="1">
        <v>45835</v>
      </c>
      <c r="G4221" t="str">
        <f>IF(Table3[[#This Row],[Top Parent Account]]="",Table3[[#This Row],[Account Legal Name]],Table3[[#This Row],[Top Parent Account]])</f>
        <v>Santoyo Gabinete Radiológico</v>
      </c>
      <c r="H4221" s="1"/>
    </row>
    <row r="4222" spans="1:8" x14ac:dyDescent="0.35">
      <c r="A4222" s="21"/>
      <c r="B4222" t="s">
        <v>88</v>
      </c>
      <c r="C4222" t="s">
        <v>6</v>
      </c>
      <c r="D4222" t="s">
        <v>2579</v>
      </c>
      <c r="F4222" s="1">
        <v>45835</v>
      </c>
      <c r="G4222" t="str">
        <f>IF(Table3[[#This Row],[Top Parent Account]]="",Table3[[#This Row],[Account Legal Name]],Table3[[#This Row],[Top Parent Account]])</f>
        <v>Ficosa North America</v>
      </c>
      <c r="H4222" s="1"/>
    </row>
    <row r="4223" spans="1:8" x14ac:dyDescent="0.35">
      <c r="A4223" s="21"/>
      <c r="B4223" t="s">
        <v>43</v>
      </c>
      <c r="C4223" t="s">
        <v>6</v>
      </c>
      <c r="D4223" t="s">
        <v>1633</v>
      </c>
      <c r="F4223" s="1">
        <v>45835</v>
      </c>
      <c r="G4223" t="str">
        <f>IF(Table3[[#This Row],[Top Parent Account]]="",Table3[[#This Row],[Account Legal Name]],Table3[[#This Row],[Top Parent Account]])</f>
        <v>Transportes Jego</v>
      </c>
      <c r="H4223" s="1"/>
    </row>
    <row r="4224" spans="1:8" x14ac:dyDescent="0.35">
      <c r="A4224" s="21"/>
      <c r="B4224" t="s">
        <v>43</v>
      </c>
      <c r="C4224" t="s">
        <v>22</v>
      </c>
      <c r="D4224" t="s">
        <v>1206</v>
      </c>
      <c r="E4224" t="s">
        <v>367</v>
      </c>
      <c r="F4224" s="1">
        <v>45834</v>
      </c>
      <c r="G4224" t="str">
        <f>IF(Table3[[#This Row],[Top Parent Account]]="",Table3[[#This Row],[Account Legal Name]],Table3[[#This Row],[Top Parent Account]])</f>
        <v>Metalat</v>
      </c>
      <c r="H4224" s="1"/>
    </row>
    <row r="4225" spans="1:8" x14ac:dyDescent="0.35">
      <c r="A4225" s="21"/>
      <c r="B4225" t="s">
        <v>78</v>
      </c>
      <c r="C4225" t="s">
        <v>6</v>
      </c>
      <c r="D4225" t="s">
        <v>2599</v>
      </c>
      <c r="F4225" s="1">
        <v>45834</v>
      </c>
      <c r="G4225" t="str">
        <f>IF(Table3[[#This Row],[Top Parent Account]]="",Table3[[#This Row],[Account Legal Name]],Table3[[#This Row],[Top Parent Account]])</f>
        <v>ROUND FOODS</v>
      </c>
      <c r="H4225" s="1"/>
    </row>
    <row r="4226" spans="1:8" x14ac:dyDescent="0.35">
      <c r="A4226" s="21"/>
      <c r="B4226" t="s">
        <v>24</v>
      </c>
      <c r="C4226" t="s">
        <v>2529</v>
      </c>
      <c r="D4226" t="s">
        <v>2530</v>
      </c>
      <c r="E4226" t="s">
        <v>2531</v>
      </c>
      <c r="F4226" s="1">
        <v>45834</v>
      </c>
      <c r="G4226" t="str">
        <f>IF(Table3[[#This Row],[Top Parent Account]]="",Table3[[#This Row],[Account Legal Name]],Table3[[#This Row],[Top Parent Account]])</f>
        <v>Tiny Pack</v>
      </c>
      <c r="H4226" s="1"/>
    </row>
    <row r="4227" spans="1:8" x14ac:dyDescent="0.35">
      <c r="A4227" s="21"/>
      <c r="B4227" t="s">
        <v>21</v>
      </c>
      <c r="C4227" t="s">
        <v>6</v>
      </c>
      <c r="D4227" t="s">
        <v>2532</v>
      </c>
      <c r="F4227" s="1">
        <v>45834</v>
      </c>
      <c r="G4227" t="str">
        <f>IF(Table3[[#This Row],[Top Parent Account]]="",Table3[[#This Row],[Account Legal Name]],Table3[[#This Row],[Top Parent Account]])</f>
        <v>Innovaciones Servicios y Suministro Chontal</v>
      </c>
      <c r="H4227" s="1"/>
    </row>
    <row r="4228" spans="1:8" x14ac:dyDescent="0.35">
      <c r="A4228" s="21"/>
      <c r="B4228" t="s">
        <v>989</v>
      </c>
      <c r="C4228" t="s">
        <v>6</v>
      </c>
      <c r="D4228" t="s">
        <v>2533</v>
      </c>
      <c r="F4228" s="1">
        <v>45834</v>
      </c>
      <c r="G4228" t="str">
        <f>IF(Table3[[#This Row],[Top Parent Account]]="",Table3[[#This Row],[Account Legal Name]],Table3[[#This Row],[Top Parent Account]])</f>
        <v>Doisy</v>
      </c>
      <c r="H4228" s="1"/>
    </row>
    <row r="4229" spans="1:8" x14ac:dyDescent="0.35">
      <c r="A4229" s="21"/>
      <c r="B4229" t="s">
        <v>114</v>
      </c>
      <c r="C4229" t="s">
        <v>6</v>
      </c>
      <c r="D4229" t="s">
        <v>74</v>
      </c>
      <c r="F4229" s="1">
        <v>45834</v>
      </c>
      <c r="G4229" t="str">
        <f>IF(Table3[[#This Row],[Top Parent Account]]="",Table3[[#This Row],[Account Legal Name]],Table3[[#This Row],[Top Parent Account]])</f>
        <v>Contecon Manzanillo</v>
      </c>
      <c r="H4229" s="1"/>
    </row>
    <row r="4230" spans="1:8" x14ac:dyDescent="0.35">
      <c r="A4230" s="21"/>
      <c r="B4230" t="s">
        <v>1511</v>
      </c>
      <c r="C4230" t="s">
        <v>22</v>
      </c>
      <c r="D4230" t="s">
        <v>2194</v>
      </c>
      <c r="F4230" s="1">
        <v>45834</v>
      </c>
      <c r="G4230" t="str">
        <f>IF(Table3[[#This Row],[Top Parent Account]]="",Table3[[#This Row],[Account Legal Name]],Table3[[#This Row],[Top Parent Account]])</f>
        <v>Forestal La Reforma</v>
      </c>
      <c r="H4230" s="1"/>
    </row>
    <row r="4231" spans="1:8" x14ac:dyDescent="0.35">
      <c r="A4231" s="21"/>
      <c r="B4231" t="s">
        <v>1899</v>
      </c>
      <c r="C4231" t="s">
        <v>6</v>
      </c>
      <c r="D4231" t="s">
        <v>2580</v>
      </c>
      <c r="F4231" s="1">
        <v>45834</v>
      </c>
      <c r="G4231" t="str">
        <f>IF(Table3[[#This Row],[Top Parent Account]]="",Table3[[#This Row],[Account Legal Name]],Table3[[#This Row],[Top Parent Account]])</f>
        <v>FIERROS MONTERREY</v>
      </c>
      <c r="H4231" s="1"/>
    </row>
    <row r="4232" spans="1:8" x14ac:dyDescent="0.35">
      <c r="A4232" s="21"/>
      <c r="B4232" t="s">
        <v>590</v>
      </c>
      <c r="C4232" t="s">
        <v>6</v>
      </c>
      <c r="D4232" t="s">
        <v>2581</v>
      </c>
      <c r="F4232" s="1">
        <v>45834</v>
      </c>
      <c r="G4232" t="str">
        <f>IF(Table3[[#This Row],[Top Parent Account]]="",Table3[[#This Row],[Account Legal Name]],Table3[[#This Row],[Top Parent Account]])</f>
        <v>Cardenas Alimentos</v>
      </c>
      <c r="H4232" s="1"/>
    </row>
    <row r="4233" spans="1:8" x14ac:dyDescent="0.35">
      <c r="A4233" s="21"/>
      <c r="B4233" t="s">
        <v>37</v>
      </c>
      <c r="C4233" t="s">
        <v>6</v>
      </c>
      <c r="D4233" t="s">
        <v>2650</v>
      </c>
      <c r="F4233" s="1">
        <v>45834</v>
      </c>
      <c r="G4233" t="str">
        <f>IF(Table3[[#This Row],[Top Parent Account]]="",Table3[[#This Row],[Account Legal Name]],Table3[[#This Row],[Top Parent Account]])</f>
        <v>Astral Del Pacifico</v>
      </c>
      <c r="H4233" s="1"/>
    </row>
    <row r="4234" spans="1:8" x14ac:dyDescent="0.35">
      <c r="A4234" s="21"/>
      <c r="B4234" t="s">
        <v>70</v>
      </c>
      <c r="C4234" t="s">
        <v>6</v>
      </c>
      <c r="D4234" t="s">
        <v>1161</v>
      </c>
      <c r="F4234" s="1">
        <v>45834</v>
      </c>
      <c r="G4234" t="str">
        <f>IF(Table3[[#This Row],[Top Parent Account]]="",Table3[[#This Row],[Account Legal Name]],Table3[[#This Row],[Top Parent Account]])</f>
        <v>Prestadora de Servicios Alencastre</v>
      </c>
      <c r="H4234" s="1"/>
    </row>
    <row r="4235" spans="1:8" x14ac:dyDescent="0.35">
      <c r="A4235" s="21"/>
      <c r="B4235" t="s">
        <v>37</v>
      </c>
      <c r="C4235" t="s">
        <v>6</v>
      </c>
      <c r="D4235" t="s">
        <v>1151</v>
      </c>
      <c r="F4235" s="1">
        <v>45834</v>
      </c>
      <c r="G4235" t="str">
        <f>IF(Table3[[#This Row],[Top Parent Account]]="",Table3[[#This Row],[Account Legal Name]],Table3[[#This Row],[Top Parent Account]])</f>
        <v>H2e Mexico</v>
      </c>
      <c r="H4235" s="1"/>
    </row>
    <row r="4236" spans="1:8" x14ac:dyDescent="0.35">
      <c r="A4236" s="21"/>
      <c r="B4236" t="s">
        <v>77</v>
      </c>
      <c r="C4236" t="s">
        <v>6</v>
      </c>
      <c r="D4236" t="s">
        <v>1420</v>
      </c>
      <c r="F4236" s="1">
        <v>45834</v>
      </c>
      <c r="G4236" t="str">
        <f>IF(Table3[[#This Row],[Top Parent Account]]="",Table3[[#This Row],[Account Legal Name]],Table3[[#This Row],[Top Parent Account]])</f>
        <v>Union De Ganaderos Lecheros De Juarez</v>
      </c>
      <c r="H4236" s="1"/>
    </row>
    <row r="4237" spans="1:8" x14ac:dyDescent="0.35">
      <c r="A4237" s="21"/>
      <c r="B4237" t="s">
        <v>12</v>
      </c>
      <c r="C4237" t="s">
        <v>6</v>
      </c>
      <c r="D4237" t="s">
        <v>2534</v>
      </c>
      <c r="F4237" s="1">
        <v>45834</v>
      </c>
      <c r="G4237" t="str">
        <f>IF(Table3[[#This Row],[Top Parent Account]]="",Table3[[#This Row],[Account Legal Name]],Table3[[#This Row],[Top Parent Account]])</f>
        <v>TOR CAPITAL GLOBAL</v>
      </c>
      <c r="H4237" s="1"/>
    </row>
    <row r="4238" spans="1:8" x14ac:dyDescent="0.35">
      <c r="A4238" s="21"/>
      <c r="B4238" t="s">
        <v>1511</v>
      </c>
      <c r="C4238" t="s">
        <v>22</v>
      </c>
      <c r="D4238" t="s">
        <v>436</v>
      </c>
      <c r="F4238" s="1">
        <v>45834</v>
      </c>
      <c r="G4238" t="str">
        <f>IF(Table3[[#This Row],[Top Parent Account]]="",Table3[[#This Row],[Account Legal Name]],Table3[[#This Row],[Top Parent Account]])</f>
        <v>Plastiexports</v>
      </c>
      <c r="H4238" s="1"/>
    </row>
    <row r="4239" spans="1:8" x14ac:dyDescent="0.35">
      <c r="A4239" s="21"/>
      <c r="B4239" t="s">
        <v>88</v>
      </c>
      <c r="C4239" t="s">
        <v>6</v>
      </c>
      <c r="D4239" t="s">
        <v>684</v>
      </c>
      <c r="F4239" s="1">
        <v>45834</v>
      </c>
      <c r="G4239" t="str">
        <f>IF(Table3[[#This Row],[Top Parent Account]]="",Table3[[#This Row],[Account Legal Name]],Table3[[#This Row],[Top Parent Account]])</f>
        <v>Servicios Integrales Nutmen</v>
      </c>
      <c r="H4239" s="1"/>
    </row>
    <row r="4240" spans="1:8" x14ac:dyDescent="0.35">
      <c r="A4240" s="21"/>
      <c r="B4240" t="s">
        <v>121</v>
      </c>
      <c r="C4240" t="s">
        <v>6</v>
      </c>
      <c r="D4240" t="s">
        <v>241</v>
      </c>
      <c r="F4240" s="1">
        <v>45834</v>
      </c>
      <c r="G4240" t="str">
        <f>IF(Table3[[#This Row],[Top Parent Account]]="",Table3[[#This Row],[Account Legal Name]],Table3[[#This Row],[Top Parent Account]])</f>
        <v>Esfuerzo de Productores del valle de San Lorenzo</v>
      </c>
      <c r="H4240" s="1"/>
    </row>
    <row r="4241" spans="1:8" x14ac:dyDescent="0.35">
      <c r="A4241" s="21"/>
      <c r="B4241" t="s">
        <v>14</v>
      </c>
      <c r="C4241" t="s">
        <v>6</v>
      </c>
      <c r="D4241" t="s">
        <v>2582</v>
      </c>
      <c r="F4241" s="1">
        <v>45834</v>
      </c>
      <c r="G4241" t="str">
        <f>IF(Table3[[#This Row],[Top Parent Account]]="",Table3[[#This Row],[Account Legal Name]],Table3[[#This Row],[Top Parent Account]])</f>
        <v>Flexo Soluciones</v>
      </c>
      <c r="H4241" s="1"/>
    </row>
    <row r="4242" spans="1:8" x14ac:dyDescent="0.35">
      <c r="A4242" s="21"/>
      <c r="B4242" t="s">
        <v>28</v>
      </c>
      <c r="C4242" t="s">
        <v>6</v>
      </c>
      <c r="D4242" t="s">
        <v>1141</v>
      </c>
      <c r="F4242" s="1">
        <v>45834</v>
      </c>
      <c r="G4242" t="str">
        <f>IF(Table3[[#This Row],[Top Parent Account]]="",Table3[[#This Row],[Account Legal Name]],Table3[[#This Row],[Top Parent Account]])</f>
        <v>GASOLINERA Y SERVICIOS DE LA CRUZ</v>
      </c>
      <c r="H4242" s="1"/>
    </row>
    <row r="4243" spans="1:8" x14ac:dyDescent="0.35">
      <c r="A4243" s="21"/>
      <c r="B4243" t="s">
        <v>77</v>
      </c>
      <c r="C4243" t="s">
        <v>6</v>
      </c>
      <c r="D4243" t="s">
        <v>2602</v>
      </c>
      <c r="F4243" s="1">
        <v>45834</v>
      </c>
      <c r="G4243" t="str">
        <f>IF(Table3[[#This Row],[Top Parent Account]]="",Table3[[#This Row],[Account Legal Name]],Table3[[#This Row],[Top Parent Account]])</f>
        <v>Dimasa Industrial</v>
      </c>
      <c r="H4243" s="1"/>
    </row>
    <row r="4244" spans="1:8" x14ac:dyDescent="0.35">
      <c r="A4244" s="21"/>
      <c r="B4244" t="s">
        <v>77</v>
      </c>
      <c r="C4244" t="s">
        <v>6</v>
      </c>
      <c r="D4244" t="s">
        <v>2535</v>
      </c>
      <c r="F4244" s="1">
        <v>45834</v>
      </c>
      <c r="G4244" t="str">
        <f>IF(Table3[[#This Row],[Top Parent Account]]="",Table3[[#This Row],[Account Legal Name]],Table3[[#This Row],[Top Parent Account]])</f>
        <v>ARQCON J+E</v>
      </c>
      <c r="H4244" s="1"/>
    </row>
    <row r="4245" spans="1:8" x14ac:dyDescent="0.35">
      <c r="A4245" s="21"/>
      <c r="B4245" t="s">
        <v>121</v>
      </c>
      <c r="C4245" t="s">
        <v>6</v>
      </c>
      <c r="D4245" t="s">
        <v>893</v>
      </c>
      <c r="F4245" s="1">
        <v>45834</v>
      </c>
      <c r="G4245" t="str">
        <f>IF(Table3[[#This Row],[Top Parent Account]]="",Table3[[#This Row],[Account Legal Name]],Table3[[#This Row],[Top Parent Account]])</f>
        <v>Concretos Union</v>
      </c>
      <c r="H4245" s="1"/>
    </row>
    <row r="4246" spans="1:8" x14ac:dyDescent="0.35">
      <c r="A4246" s="21"/>
      <c r="B4246" t="s">
        <v>121</v>
      </c>
      <c r="C4246" t="s">
        <v>6</v>
      </c>
      <c r="D4246" t="s">
        <v>2536</v>
      </c>
      <c r="F4246" s="1">
        <v>45834</v>
      </c>
      <c r="G4246" t="str">
        <f>IF(Table3[[#This Row],[Top Parent Account]]="",Table3[[#This Row],[Account Legal Name]],Table3[[#This Row],[Top Parent Account]])</f>
        <v>Clasificadora y Distribuidora De Materiales Para Construcción</v>
      </c>
      <c r="H4246" s="1"/>
    </row>
    <row r="4247" spans="1:8" x14ac:dyDescent="0.35">
      <c r="A4247" s="21"/>
      <c r="B4247" t="s">
        <v>121</v>
      </c>
      <c r="C4247" t="s">
        <v>6</v>
      </c>
      <c r="D4247" t="s">
        <v>968</v>
      </c>
      <c r="F4247" s="1">
        <v>45834</v>
      </c>
      <c r="G4247" t="str">
        <f>IF(Table3[[#This Row],[Top Parent Account]]="",Table3[[#This Row],[Account Legal Name]],Table3[[#This Row],[Top Parent Account]])</f>
        <v>BOMAQ</v>
      </c>
      <c r="H4247" s="1"/>
    </row>
    <row r="4248" spans="1:8" x14ac:dyDescent="0.35">
      <c r="A4248" s="21"/>
      <c r="B4248" t="s">
        <v>121</v>
      </c>
      <c r="C4248" t="s">
        <v>6</v>
      </c>
      <c r="D4248" t="s">
        <v>998</v>
      </c>
      <c r="F4248" s="1">
        <v>45834</v>
      </c>
      <c r="G4248" t="str">
        <f>IF(Table3[[#This Row],[Top Parent Account]]="",Table3[[#This Row],[Account Legal Name]],Table3[[#This Row],[Top Parent Account]])</f>
        <v>2box market</v>
      </c>
      <c r="H4248" s="1"/>
    </row>
    <row r="4249" spans="1:8" x14ac:dyDescent="0.35">
      <c r="A4249" s="21"/>
      <c r="B4249" t="s">
        <v>39</v>
      </c>
      <c r="C4249" t="s">
        <v>2583</v>
      </c>
      <c r="D4249" t="s">
        <v>2537</v>
      </c>
      <c r="F4249" s="1">
        <v>45834</v>
      </c>
      <c r="G4249" t="str">
        <f>IF(Table3[[#This Row],[Top Parent Account]]="",Table3[[#This Row],[Account Legal Name]],Table3[[#This Row],[Top Parent Account]])</f>
        <v>Salsas Castillo</v>
      </c>
      <c r="H4249" s="1"/>
    </row>
    <row r="4250" spans="1:8" x14ac:dyDescent="0.35">
      <c r="A4250" s="21"/>
      <c r="B4250" t="s">
        <v>207</v>
      </c>
      <c r="C4250" t="s">
        <v>6</v>
      </c>
      <c r="D4250" t="s">
        <v>2538</v>
      </c>
      <c r="F4250" s="1">
        <v>45834</v>
      </c>
      <c r="G4250" t="str">
        <f>IF(Table3[[#This Row],[Top Parent Account]]="",Table3[[#This Row],[Account Legal Name]],Table3[[#This Row],[Top Parent Account]])</f>
        <v>Productos Dietrix</v>
      </c>
      <c r="H4250" s="1"/>
    </row>
    <row r="4251" spans="1:8" x14ac:dyDescent="0.35">
      <c r="A4251" s="21"/>
      <c r="B4251" t="s">
        <v>375</v>
      </c>
      <c r="C4251" t="s">
        <v>6</v>
      </c>
      <c r="D4251" t="s">
        <v>2540</v>
      </c>
      <c r="E4251" t="s">
        <v>69</v>
      </c>
      <c r="F4251" s="1">
        <v>45834</v>
      </c>
      <c r="G4251" t="str">
        <f>IF(Table3[[#This Row],[Top Parent Account]]="",Table3[[#This Row],[Account Legal Name]],Table3[[#This Row],[Top Parent Account]])</f>
        <v>GLOBAL ARMOR</v>
      </c>
      <c r="H4251" s="1"/>
    </row>
    <row r="4252" spans="1:8" x14ac:dyDescent="0.35">
      <c r="A4252" s="21"/>
      <c r="B4252" t="s">
        <v>56</v>
      </c>
      <c r="C4252" t="s">
        <v>6</v>
      </c>
      <c r="D4252" t="s">
        <v>2585</v>
      </c>
      <c r="F4252" s="1">
        <v>45834</v>
      </c>
      <c r="G4252" t="str">
        <f>IF(Table3[[#This Row],[Top Parent Account]]="",Table3[[#This Row],[Account Legal Name]],Table3[[#This Row],[Top Parent Account]])</f>
        <v>Kromasol Mexicana</v>
      </c>
      <c r="H4252" s="1"/>
    </row>
    <row r="4253" spans="1:8" x14ac:dyDescent="0.35">
      <c r="A4253" s="21"/>
      <c r="B4253" t="s">
        <v>1899</v>
      </c>
      <c r="C4253" t="s">
        <v>6</v>
      </c>
      <c r="D4253" t="s">
        <v>2343</v>
      </c>
      <c r="F4253" s="1">
        <v>45834</v>
      </c>
      <c r="G4253" t="str">
        <f>IF(Table3[[#This Row],[Top Parent Account]]="",Table3[[#This Row],[Account Legal Name]],Table3[[#This Row],[Top Parent Account]])</f>
        <v>Servicios Alimenticios Elma</v>
      </c>
      <c r="H4253" s="1"/>
    </row>
    <row r="4254" spans="1:8" x14ac:dyDescent="0.35">
      <c r="A4254" s="21"/>
      <c r="B4254" t="s">
        <v>121</v>
      </c>
      <c r="C4254" t="s">
        <v>6</v>
      </c>
      <c r="D4254" t="s">
        <v>2292</v>
      </c>
      <c r="F4254" s="1">
        <v>45834</v>
      </c>
      <c r="G4254" t="str">
        <f>IF(Table3[[#This Row],[Top Parent Account]]="",Table3[[#This Row],[Account Legal Name]],Table3[[#This Row],[Top Parent Account]])</f>
        <v>Silos San Rafael</v>
      </c>
      <c r="H4254" s="1"/>
    </row>
    <row r="4255" spans="1:8" x14ac:dyDescent="0.35">
      <c r="A4255" s="21"/>
      <c r="B4255" t="s">
        <v>969</v>
      </c>
      <c r="C4255" t="s">
        <v>6</v>
      </c>
      <c r="D4255" t="s">
        <v>2539</v>
      </c>
      <c r="F4255" s="1">
        <v>45834</v>
      </c>
      <c r="G4255" t="str">
        <f>IF(Table3[[#This Row],[Top Parent Account]]="",Table3[[#This Row],[Account Legal Name]],Table3[[#This Row],[Top Parent Account]])</f>
        <v>Aristeo de Jesús Muñoz Candia</v>
      </c>
      <c r="H4255" s="1"/>
    </row>
    <row r="4256" spans="1:8" x14ac:dyDescent="0.35">
      <c r="A4256" s="21"/>
      <c r="B4256" t="s">
        <v>970</v>
      </c>
      <c r="C4256" t="s">
        <v>6</v>
      </c>
      <c r="D4256" t="s">
        <v>200</v>
      </c>
      <c r="F4256" s="1">
        <v>45834</v>
      </c>
      <c r="G4256" t="str">
        <f>IF(Table3[[#This Row],[Top Parent Account]]="",Table3[[#This Row],[Account Legal Name]],Table3[[#This Row],[Top Parent Account]])</f>
        <v>Grupo Industrial Summa</v>
      </c>
      <c r="H4256" s="1"/>
    </row>
    <row r="4257" spans="1:8" x14ac:dyDescent="0.35">
      <c r="A4257" s="21"/>
      <c r="B4257" t="s">
        <v>37</v>
      </c>
      <c r="C4257" t="s">
        <v>6</v>
      </c>
      <c r="D4257" t="s">
        <v>2584</v>
      </c>
      <c r="F4257" s="1">
        <v>45834</v>
      </c>
      <c r="G4257" t="str">
        <f>IF(Table3[[#This Row],[Top Parent Account]]="",Table3[[#This Row],[Account Legal Name]],Table3[[#This Row],[Top Parent Account]])</f>
        <v>HERSON CONSTRUCCIONES</v>
      </c>
      <c r="H4257" s="1"/>
    </row>
    <row r="4258" spans="1:8" x14ac:dyDescent="0.35">
      <c r="A4258" s="21"/>
      <c r="B4258" t="s">
        <v>70</v>
      </c>
      <c r="C4258" t="s">
        <v>6</v>
      </c>
      <c r="D4258" t="s">
        <v>447</v>
      </c>
      <c r="F4258" s="1">
        <v>45834</v>
      </c>
      <c r="G4258" t="str">
        <f>IF(Table3[[#This Row],[Top Parent Account]]="",Table3[[#This Row],[Account Legal Name]],Table3[[#This Row],[Top Parent Account]])</f>
        <v>Intermet</v>
      </c>
      <c r="H4258" s="1"/>
    </row>
    <row r="4259" spans="1:8" x14ac:dyDescent="0.35">
      <c r="A4259" s="21"/>
      <c r="B4259" t="s">
        <v>88</v>
      </c>
      <c r="C4259" t="s">
        <v>6</v>
      </c>
      <c r="D4259" t="s">
        <v>2541</v>
      </c>
      <c r="F4259" s="1">
        <v>45834</v>
      </c>
      <c r="G4259" t="str">
        <f>IF(Table3[[#This Row],[Top Parent Account]]="",Table3[[#This Row],[Account Legal Name]],Table3[[#This Row],[Top Parent Account]])</f>
        <v>SOLUCIONES ENLACE XXI</v>
      </c>
      <c r="H4259" s="1"/>
    </row>
    <row r="4260" spans="1:8" x14ac:dyDescent="0.35">
      <c r="A4260" s="21"/>
      <c r="B4260" t="s">
        <v>12</v>
      </c>
      <c r="C4260" t="s">
        <v>6</v>
      </c>
      <c r="D4260" t="s">
        <v>2542</v>
      </c>
      <c r="F4260" s="1">
        <v>45834</v>
      </c>
      <c r="G4260" t="str">
        <f>IF(Table3[[#This Row],[Top Parent Account]]="",Table3[[#This Row],[Account Legal Name]],Table3[[#This Row],[Top Parent Account]])</f>
        <v>Oswaldo Ancona Ricalde</v>
      </c>
      <c r="H4260" s="1"/>
    </row>
    <row r="4261" spans="1:8" x14ac:dyDescent="0.35">
      <c r="A4261" s="21"/>
      <c r="B4261" t="s">
        <v>932</v>
      </c>
      <c r="C4261" t="s">
        <v>2586</v>
      </c>
      <c r="D4261" t="s">
        <v>2587</v>
      </c>
      <c r="F4261" s="1">
        <v>45834</v>
      </c>
      <c r="G4261" t="str">
        <f>IF(Table3[[#This Row],[Top Parent Account]]="",Table3[[#This Row],[Account Legal Name]],Table3[[#This Row],[Top Parent Account]])</f>
        <v>SERVICIO MADELL</v>
      </c>
      <c r="H4261" s="1"/>
    </row>
    <row r="4262" spans="1:8" x14ac:dyDescent="0.35">
      <c r="A4262" s="21"/>
      <c r="B4262" t="s">
        <v>32</v>
      </c>
      <c r="C4262" t="s">
        <v>6</v>
      </c>
      <c r="D4262" t="s">
        <v>2588</v>
      </c>
      <c r="F4262" s="1">
        <v>45834</v>
      </c>
      <c r="G4262" t="str">
        <f>IF(Table3[[#This Row],[Top Parent Account]]="",Table3[[#This Row],[Account Legal Name]],Table3[[#This Row],[Top Parent Account]])</f>
        <v>Transportes Nacionales Alfra</v>
      </c>
      <c r="H4262" s="1"/>
    </row>
    <row r="4263" spans="1:8" x14ac:dyDescent="0.35">
      <c r="A4263" s="21"/>
      <c r="B4263" t="s">
        <v>925</v>
      </c>
      <c r="C4263" t="s">
        <v>6</v>
      </c>
      <c r="D4263" t="s">
        <v>2589</v>
      </c>
      <c r="F4263" s="1">
        <v>45834</v>
      </c>
      <c r="G4263" t="str">
        <f>IF(Table3[[#This Row],[Top Parent Account]]="",Table3[[#This Row],[Account Legal Name]],Table3[[#This Row],[Top Parent Account]])</f>
        <v>Sanirent de México</v>
      </c>
      <c r="H4263" s="1"/>
    </row>
    <row r="4264" spans="1:8" x14ac:dyDescent="0.35">
      <c r="A4264" s="21"/>
      <c r="B4264" t="s">
        <v>70</v>
      </c>
      <c r="C4264" t="s">
        <v>6</v>
      </c>
      <c r="D4264" t="s">
        <v>2304</v>
      </c>
      <c r="F4264" s="1">
        <v>45834</v>
      </c>
      <c r="G4264" t="str">
        <f>IF(Table3[[#This Row],[Top Parent Account]]="",Table3[[#This Row],[Account Legal Name]],Table3[[#This Row],[Top Parent Account]])</f>
        <v>Centro Oncologico Privado</v>
      </c>
      <c r="H4264" s="1"/>
    </row>
    <row r="4265" spans="1:8" x14ac:dyDescent="0.35">
      <c r="A4265" s="21"/>
      <c r="B4265" t="s">
        <v>18</v>
      </c>
      <c r="C4265" t="s">
        <v>6</v>
      </c>
      <c r="D4265" t="s">
        <v>2543</v>
      </c>
      <c r="F4265" s="1">
        <v>45834</v>
      </c>
      <c r="G4265" t="str">
        <f>IF(Table3[[#This Row],[Top Parent Account]]="",Table3[[#This Row],[Account Legal Name]],Table3[[#This Row],[Top Parent Account]])</f>
        <v>Buho Media Shop</v>
      </c>
      <c r="H4265" s="1"/>
    </row>
    <row r="4266" spans="1:8" x14ac:dyDescent="0.35">
      <c r="A4266" s="21"/>
      <c r="B4266" t="s">
        <v>39</v>
      </c>
      <c r="C4266" t="s">
        <v>945</v>
      </c>
      <c r="D4266" t="s">
        <v>2228</v>
      </c>
      <c r="F4266" s="1">
        <v>45834</v>
      </c>
      <c r="G4266" t="str">
        <f>IF(Table3[[#This Row],[Top Parent Account]]="",Table3[[#This Row],[Account Legal Name]],Table3[[#This Row],[Top Parent Account]])</f>
        <v>G Y S Marketing</v>
      </c>
      <c r="H4266" s="1"/>
    </row>
    <row r="4267" spans="1:8" x14ac:dyDescent="0.35">
      <c r="A4267" s="21"/>
      <c r="B4267" t="s">
        <v>1643</v>
      </c>
      <c r="C4267" t="s">
        <v>6</v>
      </c>
      <c r="D4267" t="s">
        <v>807</v>
      </c>
      <c r="F4267" s="1">
        <v>45834</v>
      </c>
      <c r="G4267" t="str">
        <f>IF(Table3[[#This Row],[Top Parent Account]]="",Table3[[#This Row],[Account Legal Name]],Table3[[#This Row],[Top Parent Account]])</f>
        <v>Papalotes Felizardo Elizondo Guajardo</v>
      </c>
      <c r="H4267" s="1"/>
    </row>
    <row r="4268" spans="1:8" x14ac:dyDescent="0.35">
      <c r="A4268" s="21"/>
      <c r="B4268" t="s">
        <v>27</v>
      </c>
      <c r="C4268" t="s">
        <v>22</v>
      </c>
      <c r="D4268" t="s">
        <v>438</v>
      </c>
      <c r="F4268" s="1">
        <v>45834</v>
      </c>
      <c r="G4268" t="str">
        <f>IF(Table3[[#This Row],[Top Parent Account]]="",Table3[[#This Row],[Account Legal Name]],Table3[[#This Row],[Top Parent Account]])</f>
        <v>Arbomex</v>
      </c>
      <c r="H4268" s="1"/>
    </row>
    <row r="4269" spans="1:8" x14ac:dyDescent="0.35">
      <c r="A4269" s="21"/>
      <c r="B4269" t="s">
        <v>14</v>
      </c>
      <c r="C4269" t="s">
        <v>6</v>
      </c>
      <c r="D4269" t="s">
        <v>2590</v>
      </c>
      <c r="F4269" s="1">
        <v>45833</v>
      </c>
      <c r="G4269" t="str">
        <f>IF(Table3[[#This Row],[Top Parent Account]]="",Table3[[#This Row],[Account Legal Name]],Table3[[#This Row],[Top Parent Account]])</f>
        <v>Gibanibb</v>
      </c>
      <c r="H4269" s="1"/>
    </row>
    <row r="4270" spans="1:8" x14ac:dyDescent="0.35">
      <c r="A4270" s="21"/>
      <c r="B4270" t="s">
        <v>27</v>
      </c>
      <c r="C4270" t="s">
        <v>6</v>
      </c>
      <c r="D4270" t="s">
        <v>500</v>
      </c>
      <c r="F4270" s="1">
        <v>45833</v>
      </c>
      <c r="G4270" t="str">
        <f>IF(Table3[[#This Row],[Top Parent Account]]="",Table3[[#This Row],[Account Legal Name]],Table3[[#This Row],[Top Parent Account]])</f>
        <v>Cementos del Bajio</v>
      </c>
      <c r="H4270" s="1"/>
    </row>
    <row r="4271" spans="1:8" x14ac:dyDescent="0.35">
      <c r="A4271" s="21"/>
      <c r="B4271" t="s">
        <v>14</v>
      </c>
      <c r="C4271" t="s">
        <v>6</v>
      </c>
      <c r="D4271" t="s">
        <v>2047</v>
      </c>
      <c r="F4271" s="1">
        <v>45833</v>
      </c>
      <c r="G4271" t="str">
        <f>IF(Table3[[#This Row],[Top Parent Account]]="",Table3[[#This Row],[Account Legal Name]],Table3[[#This Row],[Top Parent Account]])</f>
        <v>Grupo Aldaramiz</v>
      </c>
      <c r="H4271" s="1"/>
    </row>
    <row r="4272" spans="1:8" x14ac:dyDescent="0.35">
      <c r="A4272" s="21"/>
      <c r="B4272" t="s">
        <v>39</v>
      </c>
      <c r="C4272" t="s">
        <v>945</v>
      </c>
      <c r="D4272" t="s">
        <v>2544</v>
      </c>
      <c r="F4272" s="1">
        <v>45833</v>
      </c>
      <c r="G4272" t="str">
        <f>IF(Table3[[#This Row],[Top Parent Account]]="",Table3[[#This Row],[Account Legal Name]],Table3[[#This Row],[Top Parent Account]])</f>
        <v>Ganadera El Setenta</v>
      </c>
      <c r="H4272" s="1"/>
    </row>
    <row r="4273" spans="1:8" x14ac:dyDescent="0.35">
      <c r="A4273" s="21"/>
      <c r="B4273" t="s">
        <v>969</v>
      </c>
      <c r="C4273" t="s">
        <v>6</v>
      </c>
      <c r="D4273" t="s">
        <v>2591</v>
      </c>
      <c r="F4273" s="1">
        <v>45833</v>
      </c>
      <c r="G4273" t="str">
        <f>IF(Table3[[#This Row],[Top Parent Account]]="",Table3[[#This Row],[Account Legal Name]],Table3[[#This Row],[Top Parent Account]])</f>
        <v>OFRUT</v>
      </c>
      <c r="H4273" s="1"/>
    </row>
    <row r="4274" spans="1:8" x14ac:dyDescent="0.35">
      <c r="A4274" s="21"/>
      <c r="B4274" t="s">
        <v>8</v>
      </c>
      <c r="C4274" t="s">
        <v>6</v>
      </c>
      <c r="D4274" t="s">
        <v>2311</v>
      </c>
      <c r="F4274" s="1">
        <v>45833</v>
      </c>
      <c r="G4274" t="str">
        <f>IF(Table3[[#This Row],[Top Parent Account]]="",Table3[[#This Row],[Account Legal Name]],Table3[[#This Row],[Top Parent Account]])</f>
        <v>CIA DE MINERALES AVE FENIX</v>
      </c>
      <c r="H4274" s="1"/>
    </row>
    <row r="4275" spans="1:8" x14ac:dyDescent="0.35">
      <c r="A4275" s="21"/>
      <c r="B4275" t="s">
        <v>84</v>
      </c>
      <c r="C4275" t="s">
        <v>428</v>
      </c>
      <c r="D4275" t="s">
        <v>795</v>
      </c>
      <c r="F4275" s="1">
        <v>45833</v>
      </c>
      <c r="G4275" t="str">
        <f>IF(Table3[[#This Row],[Top Parent Account]]="",Table3[[#This Row],[Account Legal Name]],Table3[[#This Row],[Top Parent Account]])</f>
        <v>Hari Masa</v>
      </c>
      <c r="H4275" s="1"/>
    </row>
    <row r="4276" spans="1:8" x14ac:dyDescent="0.35">
      <c r="A4276" s="21"/>
      <c r="B4276" t="s">
        <v>21</v>
      </c>
      <c r="C4276" t="s">
        <v>6</v>
      </c>
      <c r="D4276" t="s">
        <v>2545</v>
      </c>
      <c r="F4276" s="1">
        <v>45833</v>
      </c>
      <c r="G4276" t="str">
        <f>IF(Table3[[#This Row],[Top Parent Account]]="",Table3[[#This Row],[Account Legal Name]],Table3[[#This Row],[Top Parent Account]])</f>
        <v>Grúas Tuxpam</v>
      </c>
      <c r="H4276" s="1"/>
    </row>
    <row r="4277" spans="1:8" x14ac:dyDescent="0.35">
      <c r="A4277" s="21"/>
      <c r="B4277" t="s">
        <v>925</v>
      </c>
      <c r="C4277" t="s">
        <v>6</v>
      </c>
      <c r="D4277" t="s">
        <v>2546</v>
      </c>
      <c r="F4277" s="1">
        <v>45833</v>
      </c>
      <c r="G4277" t="str">
        <f>IF(Table3[[#This Row],[Top Parent Account]]="",Table3[[#This Row],[Account Legal Name]],Table3[[#This Row],[Top Parent Account]])</f>
        <v>Forma Diseño Industrial</v>
      </c>
      <c r="H4277" s="1"/>
    </row>
    <row r="4278" spans="1:8" x14ac:dyDescent="0.35">
      <c r="A4278" s="21"/>
      <c r="B4278" t="s">
        <v>14</v>
      </c>
      <c r="C4278" t="s">
        <v>6</v>
      </c>
      <c r="D4278" t="s">
        <v>562</v>
      </c>
      <c r="F4278" s="1">
        <v>45833</v>
      </c>
      <c r="G4278" t="str">
        <f>IF(Table3[[#This Row],[Top Parent Account]]="",Table3[[#This Row],[Account Legal Name]],Table3[[#This Row],[Top Parent Account]])</f>
        <v>Translogistics L&amp;M De Zacatecas</v>
      </c>
      <c r="H4278" s="1"/>
    </row>
    <row r="4279" spans="1:8" x14ac:dyDescent="0.35">
      <c r="A4279" s="21"/>
      <c r="B4279" t="s">
        <v>1511</v>
      </c>
      <c r="C4279" t="s">
        <v>6</v>
      </c>
      <c r="D4279" t="s">
        <v>2592</v>
      </c>
      <c r="F4279" s="1">
        <v>45833</v>
      </c>
      <c r="G4279" t="str">
        <f>IF(Table3[[#This Row],[Top Parent Account]]="",Table3[[#This Row],[Account Legal Name]],Table3[[#This Row],[Top Parent Account]])</f>
        <v>AMD PLASTICS DE MEXICO</v>
      </c>
      <c r="H4279" s="1"/>
    </row>
    <row r="4280" spans="1:8" x14ac:dyDescent="0.35">
      <c r="A4280" s="21"/>
      <c r="B4280" t="s">
        <v>77</v>
      </c>
      <c r="C4280" t="s">
        <v>6</v>
      </c>
      <c r="D4280" t="s">
        <v>2547</v>
      </c>
      <c r="F4280" s="1">
        <v>45833</v>
      </c>
      <c r="G4280" t="str">
        <f>IF(Table3[[#This Row],[Top Parent Account]]="",Table3[[#This Row],[Account Legal Name]],Table3[[#This Row],[Top Parent Account]])</f>
        <v>PLASTIC INNOVATION DE CHIHUAHUA</v>
      </c>
      <c r="H4280" s="1"/>
    </row>
    <row r="4281" spans="1:8" x14ac:dyDescent="0.35">
      <c r="A4281" s="21"/>
      <c r="B4281" t="s">
        <v>25</v>
      </c>
      <c r="C4281" t="s">
        <v>6</v>
      </c>
      <c r="D4281" t="s">
        <v>3440</v>
      </c>
      <c r="F4281" s="1">
        <v>45833</v>
      </c>
      <c r="G4281" t="str">
        <f>IF(Table3[[#This Row],[Top Parent Account]]="",Table3[[#This Row],[Account Legal Name]],Table3[[#This Row],[Top Parent Account]])</f>
        <v>MAQUINARIA Y AGROTECNOLOGIA DEL CENTRO-SUR</v>
      </c>
      <c r="H4281" s="1"/>
    </row>
    <row r="4282" spans="1:8" x14ac:dyDescent="0.35">
      <c r="A4282" s="21"/>
      <c r="B4282" t="s">
        <v>1511</v>
      </c>
      <c r="C4282" t="s">
        <v>22</v>
      </c>
      <c r="D4282" t="s">
        <v>439</v>
      </c>
      <c r="F4282" s="1">
        <v>45833</v>
      </c>
      <c r="G4282" t="str">
        <f>IF(Table3[[#This Row],[Top Parent Account]]="",Table3[[#This Row],[Account Legal Name]],Table3[[#This Row],[Top Parent Account]])</f>
        <v>Copamex</v>
      </c>
      <c r="H4282" s="1"/>
    </row>
    <row r="4283" spans="1:8" x14ac:dyDescent="0.35">
      <c r="A4283" s="21"/>
      <c r="B4283" t="s">
        <v>25</v>
      </c>
      <c r="C4283" t="s">
        <v>6</v>
      </c>
      <c r="D4283" t="s">
        <v>2136</v>
      </c>
      <c r="F4283" s="1">
        <v>45833</v>
      </c>
      <c r="G4283" t="str">
        <f>IF(Table3[[#This Row],[Top Parent Account]]="",Table3[[#This Row],[Account Legal Name]],Table3[[#This Row],[Top Parent Account]])</f>
        <v>GRUINDAG INTERNATIONAL</v>
      </c>
      <c r="H4283" s="1"/>
    </row>
    <row r="4284" spans="1:8" x14ac:dyDescent="0.35">
      <c r="A4284" s="21"/>
      <c r="B4284" t="s">
        <v>169</v>
      </c>
      <c r="C4284" t="s">
        <v>6</v>
      </c>
      <c r="D4284" t="s">
        <v>2315</v>
      </c>
      <c r="F4284" s="1">
        <v>45833</v>
      </c>
      <c r="G4284" t="str">
        <f>IF(Table3[[#This Row],[Top Parent Account]]="",Table3[[#This Row],[Account Legal Name]],Table3[[#This Row],[Top Parent Account]])</f>
        <v>HANGCHA MEXICO</v>
      </c>
      <c r="H4284" s="1"/>
    </row>
    <row r="4285" spans="1:8" x14ac:dyDescent="0.35">
      <c r="A4285" s="21"/>
      <c r="B4285" t="s">
        <v>375</v>
      </c>
      <c r="C4285" t="s">
        <v>6</v>
      </c>
      <c r="D4285" t="s">
        <v>1426</v>
      </c>
      <c r="F4285" s="1">
        <v>45833</v>
      </c>
      <c r="G4285" t="str">
        <f>IF(Table3[[#This Row],[Top Parent Account]]="",Table3[[#This Row],[Account Legal Name]],Table3[[#This Row],[Top Parent Account]])</f>
        <v>Silodisa Servicio Integral De Logística y Distribución</v>
      </c>
      <c r="H4285" s="1"/>
    </row>
    <row r="4286" spans="1:8" x14ac:dyDescent="0.35">
      <c r="A4286" s="21"/>
      <c r="B4286" t="s">
        <v>39</v>
      </c>
      <c r="C4286" t="s">
        <v>2548</v>
      </c>
      <c r="D4286" t="s">
        <v>1092</v>
      </c>
      <c r="F4286" s="1">
        <v>45833</v>
      </c>
      <c r="G4286" t="str">
        <f>IF(Table3[[#This Row],[Top Parent Account]]="",Table3[[#This Row],[Account Legal Name]],Table3[[#This Row],[Top Parent Account]])</f>
        <v>Peal México</v>
      </c>
      <c r="H4286" s="1"/>
    </row>
    <row r="4287" spans="1:8" x14ac:dyDescent="0.35">
      <c r="A4287" s="21"/>
      <c r="B4287" t="s">
        <v>14</v>
      </c>
      <c r="C4287" t="s">
        <v>6</v>
      </c>
      <c r="D4287" t="s">
        <v>728</v>
      </c>
      <c r="F4287" s="1">
        <v>45833</v>
      </c>
      <c r="G4287" t="str">
        <f>IF(Table3[[#This Row],[Top Parent Account]]="",Table3[[#This Row],[Account Legal Name]],Table3[[#This Row],[Top Parent Account]])</f>
        <v>Keymax Comercializadora</v>
      </c>
      <c r="H4287" s="1"/>
    </row>
    <row r="4288" spans="1:8" x14ac:dyDescent="0.35">
      <c r="A4288" s="21"/>
      <c r="B4288" t="s">
        <v>78</v>
      </c>
      <c r="C4288" t="s">
        <v>6</v>
      </c>
      <c r="D4288" t="s">
        <v>2593</v>
      </c>
      <c r="F4288" s="1">
        <v>45833</v>
      </c>
      <c r="G4288" t="str">
        <f>IF(Table3[[#This Row],[Top Parent Account]]="",Table3[[#This Row],[Account Legal Name]],Table3[[#This Row],[Top Parent Account]])</f>
        <v>Produce Acort</v>
      </c>
      <c r="H4288" s="1"/>
    </row>
    <row r="4289" spans="1:8" x14ac:dyDescent="0.35">
      <c r="A4289" s="21"/>
      <c r="B4289" t="s">
        <v>7</v>
      </c>
      <c r="C4289" t="s">
        <v>6</v>
      </c>
      <c r="D4289" t="s">
        <v>2651</v>
      </c>
      <c r="F4289" s="1">
        <v>45833</v>
      </c>
      <c r="G4289" t="str">
        <f>IF(Table3[[#This Row],[Top Parent Account]]="",Table3[[#This Row],[Account Legal Name]],Table3[[#This Row],[Top Parent Account]])</f>
        <v>Christus Muguerza Monterrey</v>
      </c>
      <c r="H4289" s="1"/>
    </row>
    <row r="4290" spans="1:8" x14ac:dyDescent="0.35">
      <c r="A4290" s="21"/>
      <c r="B4290" t="s">
        <v>169</v>
      </c>
      <c r="C4290" t="s">
        <v>6</v>
      </c>
      <c r="D4290" t="s">
        <v>616</v>
      </c>
      <c r="F4290" s="1">
        <v>45833</v>
      </c>
      <c r="G4290" t="str">
        <f>IF(Table3[[#This Row],[Top Parent Account]]="",Table3[[#This Row],[Account Legal Name]],Table3[[#This Row],[Top Parent Account]])</f>
        <v>Absara Cosmetics</v>
      </c>
      <c r="H4290" s="1"/>
    </row>
    <row r="4291" spans="1:8" x14ac:dyDescent="0.35">
      <c r="A4291" s="21"/>
      <c r="B4291" t="s">
        <v>70</v>
      </c>
      <c r="C4291" t="s">
        <v>6</v>
      </c>
      <c r="D4291" t="s">
        <v>1100</v>
      </c>
      <c r="E4291" t="s">
        <v>691</v>
      </c>
      <c r="F4291" s="1">
        <v>45833</v>
      </c>
      <c r="G4291" t="str">
        <f>IF(Table3[[#This Row],[Top Parent Account]]="",Table3[[#This Row],[Account Legal Name]],Table3[[#This Row],[Top Parent Account]])</f>
        <v>Medivida</v>
      </c>
      <c r="H4291" s="1"/>
    </row>
    <row r="4292" spans="1:8" x14ac:dyDescent="0.35">
      <c r="A4292" s="21"/>
      <c r="B4292" t="s">
        <v>989</v>
      </c>
      <c r="C4292" t="s">
        <v>6</v>
      </c>
      <c r="D4292" t="s">
        <v>2549</v>
      </c>
      <c r="F4292" s="1">
        <v>45833</v>
      </c>
      <c r="G4292" t="str">
        <f>IF(Table3[[#This Row],[Top Parent Account]]="",Table3[[#This Row],[Account Legal Name]],Table3[[#This Row],[Top Parent Account]])</f>
        <v>ROSCH TRANSPORTE</v>
      </c>
      <c r="H4292" s="1"/>
    </row>
    <row r="4293" spans="1:8" x14ac:dyDescent="0.35">
      <c r="A4293" s="21"/>
      <c r="B4293" t="s">
        <v>26</v>
      </c>
      <c r="C4293" t="s">
        <v>6</v>
      </c>
      <c r="D4293" t="s">
        <v>393</v>
      </c>
      <c r="F4293" s="1">
        <v>45833</v>
      </c>
      <c r="G4293" t="str">
        <f>IF(Table3[[#This Row],[Top Parent Account]]="",Table3[[#This Row],[Account Legal Name]],Table3[[#This Row],[Top Parent Account]])</f>
        <v>Molino La Rosaleda</v>
      </c>
      <c r="H4293" s="1"/>
    </row>
    <row r="4294" spans="1:8" x14ac:dyDescent="0.35">
      <c r="A4294" s="21"/>
      <c r="B4294" t="s">
        <v>26</v>
      </c>
      <c r="C4294" t="s">
        <v>6</v>
      </c>
      <c r="D4294" t="s">
        <v>398</v>
      </c>
      <c r="F4294" s="1">
        <v>45833</v>
      </c>
      <c r="G4294" t="str">
        <f>IF(Table3[[#This Row],[Top Parent Account]]="",Table3[[#This Row],[Account Legal Name]],Table3[[#This Row],[Top Parent Account]])</f>
        <v>Almacenes Refrigerados Consolidados</v>
      </c>
      <c r="H4294" s="1"/>
    </row>
    <row r="4295" spans="1:8" x14ac:dyDescent="0.35">
      <c r="A4295" s="21"/>
      <c r="B4295" t="s">
        <v>1899</v>
      </c>
      <c r="C4295" t="s">
        <v>6</v>
      </c>
      <c r="D4295" t="s">
        <v>2550</v>
      </c>
      <c r="F4295" s="1">
        <v>45833</v>
      </c>
      <c r="G4295" t="str">
        <f>IF(Table3[[#This Row],[Top Parent Account]]="",Table3[[#This Row],[Account Legal Name]],Table3[[#This Row],[Top Parent Account]])</f>
        <v>Kentho Química De Monterrey</v>
      </c>
      <c r="H4295" s="1"/>
    </row>
    <row r="4296" spans="1:8" x14ac:dyDescent="0.35">
      <c r="A4296" s="21"/>
      <c r="B4296" t="s">
        <v>121</v>
      </c>
      <c r="C4296" t="s">
        <v>6</v>
      </c>
      <c r="D4296" t="s">
        <v>184</v>
      </c>
      <c r="F4296" s="1">
        <v>45833</v>
      </c>
      <c r="G4296" t="str">
        <f>IF(Table3[[#This Row],[Top Parent Account]]="",Table3[[#This Row],[Account Legal Name]],Table3[[#This Row],[Top Parent Account]])</f>
        <v>Galgar Construcciones</v>
      </c>
      <c r="H4296" s="1"/>
    </row>
    <row r="4297" spans="1:8" x14ac:dyDescent="0.35">
      <c r="A4297" s="21"/>
      <c r="B4297" t="s">
        <v>27</v>
      </c>
      <c r="C4297" t="s">
        <v>6</v>
      </c>
      <c r="D4297" t="s">
        <v>2736</v>
      </c>
      <c r="E4297" t="s">
        <v>1298</v>
      </c>
      <c r="F4297" s="1">
        <v>45833</v>
      </c>
      <c r="G4297" t="str">
        <f>IF(Table3[[#This Row],[Top Parent Account]]="",Table3[[#This Row],[Account Legal Name]],Table3[[#This Row],[Top Parent Account]])</f>
        <v>Obras y Terracerías González</v>
      </c>
      <c r="H4297" s="1"/>
    </row>
    <row r="4298" spans="1:8" x14ac:dyDescent="0.35">
      <c r="A4298" s="21"/>
      <c r="B4298" t="s">
        <v>39</v>
      </c>
      <c r="C4298" t="s">
        <v>57</v>
      </c>
      <c r="D4298" t="s">
        <v>2551</v>
      </c>
      <c r="F4298" s="1">
        <v>45833</v>
      </c>
      <c r="G4298" t="str">
        <f>IF(Table3[[#This Row],[Top Parent Account]]="",Table3[[#This Row],[Account Legal Name]],Table3[[#This Row],[Top Parent Account]])</f>
        <v>Castesa</v>
      </c>
      <c r="H4298" s="1"/>
    </row>
    <row r="4299" spans="1:8" x14ac:dyDescent="0.35">
      <c r="A4299" s="21"/>
      <c r="B4299" t="s">
        <v>1643</v>
      </c>
      <c r="C4299" t="s">
        <v>6</v>
      </c>
      <c r="D4299" t="s">
        <v>2603</v>
      </c>
      <c r="F4299" s="1">
        <v>45833</v>
      </c>
      <c r="G4299" t="str">
        <f>IF(Table3[[#This Row],[Top Parent Account]]="",Table3[[#This Row],[Account Legal Name]],Table3[[#This Row],[Top Parent Account]])</f>
        <v>Elmet</v>
      </c>
      <c r="H4299" s="1"/>
    </row>
    <row r="4300" spans="1:8" x14ac:dyDescent="0.35">
      <c r="A4300" s="21"/>
      <c r="B4300" t="s">
        <v>207</v>
      </c>
      <c r="C4300" t="s">
        <v>6</v>
      </c>
      <c r="D4300" t="s">
        <v>2594</v>
      </c>
      <c r="F4300" s="1">
        <v>45833</v>
      </c>
      <c r="G4300" t="str">
        <f>IF(Table3[[#This Row],[Top Parent Account]]="",Table3[[#This Row],[Account Legal Name]],Table3[[#This Row],[Top Parent Account]])</f>
        <v>Chef Mart</v>
      </c>
      <c r="H4300" s="1"/>
    </row>
    <row r="4301" spans="1:8" x14ac:dyDescent="0.35">
      <c r="A4301" s="21"/>
      <c r="B4301" t="s">
        <v>26</v>
      </c>
      <c r="C4301" t="s">
        <v>6</v>
      </c>
      <c r="D4301" t="s">
        <v>534</v>
      </c>
      <c r="F4301" s="1">
        <v>45833</v>
      </c>
      <c r="G4301" t="str">
        <f>IF(Table3[[#This Row],[Top Parent Account]]="",Table3[[#This Row],[Account Legal Name]],Table3[[#This Row],[Top Parent Account]])</f>
        <v>Dragados y Urbanizaciones Siglo 21</v>
      </c>
      <c r="H4301" s="1"/>
    </row>
    <row r="4302" spans="1:8" x14ac:dyDescent="0.35">
      <c r="A4302" s="21"/>
      <c r="B4302" t="s">
        <v>1899</v>
      </c>
      <c r="C4302" t="s">
        <v>6</v>
      </c>
      <c r="D4302" t="s">
        <v>2500</v>
      </c>
      <c r="F4302" s="1">
        <v>45833</v>
      </c>
      <c r="G4302" t="str">
        <f>IF(Table3[[#This Row],[Top Parent Account]]="",Table3[[#This Row],[Account Legal Name]],Table3[[#This Row],[Top Parent Account]])</f>
        <v>VIDRIO BISEL</v>
      </c>
      <c r="H4302" s="1"/>
    </row>
    <row r="4303" spans="1:8" x14ac:dyDescent="0.35">
      <c r="A4303" s="21"/>
      <c r="B4303" t="s">
        <v>25</v>
      </c>
      <c r="C4303" t="s">
        <v>6</v>
      </c>
      <c r="D4303" t="s">
        <v>1183</v>
      </c>
      <c r="F4303" s="1">
        <v>45833</v>
      </c>
      <c r="G4303" t="str">
        <f>IF(Table3[[#This Row],[Top Parent Account]]="",Table3[[#This Row],[Account Legal Name]],Table3[[#This Row],[Top Parent Account]])</f>
        <v>Maquinaria y Tractores de Morelos</v>
      </c>
      <c r="H4303" s="1"/>
    </row>
    <row r="4304" spans="1:8" x14ac:dyDescent="0.35">
      <c r="A4304" s="21"/>
      <c r="B4304" t="s">
        <v>26</v>
      </c>
      <c r="C4304" t="s">
        <v>6</v>
      </c>
      <c r="D4304" t="s">
        <v>437</v>
      </c>
      <c r="F4304" s="1">
        <v>45833</v>
      </c>
      <c r="G4304" t="str">
        <f>IF(Table3[[#This Row],[Top Parent Account]]="",Table3[[#This Row],[Account Legal Name]],Table3[[#This Row],[Top Parent Account]])</f>
        <v>Industrias Cazel</v>
      </c>
      <c r="H4304" s="1"/>
    </row>
    <row r="4305" spans="1:8" x14ac:dyDescent="0.35">
      <c r="A4305" s="21"/>
      <c r="B4305" t="s">
        <v>207</v>
      </c>
      <c r="C4305" t="s">
        <v>6</v>
      </c>
      <c r="D4305" t="s">
        <v>2552</v>
      </c>
      <c r="F4305" s="1">
        <v>45832</v>
      </c>
      <c r="G4305" t="str">
        <f>IF(Table3[[#This Row],[Top Parent Account]]="",Table3[[#This Row],[Account Legal Name]],Table3[[#This Row],[Top Parent Account]])</f>
        <v>Brudden de México</v>
      </c>
      <c r="H4305" s="1"/>
    </row>
    <row r="4306" spans="1:8" x14ac:dyDescent="0.35">
      <c r="A4306" s="21"/>
      <c r="B4306" t="s">
        <v>39</v>
      </c>
      <c r="C4306" t="s">
        <v>2576</v>
      </c>
      <c r="D4306" t="s">
        <v>2553</v>
      </c>
      <c r="F4306" s="1">
        <v>45832</v>
      </c>
      <c r="G4306" t="str">
        <f>IF(Table3[[#This Row],[Top Parent Account]]="",Table3[[#This Row],[Account Legal Name]],Table3[[#This Row],[Top Parent Account]])</f>
        <v>Manufacturas PITIC</v>
      </c>
      <c r="H4306" s="1"/>
    </row>
    <row r="4307" spans="1:8" x14ac:dyDescent="0.35">
      <c r="A4307" s="21"/>
      <c r="B4307" t="s">
        <v>208</v>
      </c>
      <c r="C4307" t="s">
        <v>6</v>
      </c>
      <c r="D4307" t="s">
        <v>2273</v>
      </c>
      <c r="F4307" s="1">
        <v>45832</v>
      </c>
      <c r="G4307" t="str">
        <f>IF(Table3[[#This Row],[Top Parent Account]]="",Table3[[#This Row],[Account Legal Name]],Table3[[#This Row],[Top Parent Account]])</f>
        <v>Medidores Industriales y Médicos</v>
      </c>
      <c r="H4307" s="1"/>
    </row>
    <row r="4308" spans="1:8" x14ac:dyDescent="0.35">
      <c r="A4308" s="21"/>
      <c r="B4308" t="s">
        <v>989</v>
      </c>
      <c r="C4308" t="s">
        <v>6</v>
      </c>
      <c r="D4308" t="s">
        <v>2595</v>
      </c>
      <c r="F4308" s="1">
        <v>45832</v>
      </c>
      <c r="G4308" t="str">
        <f>IF(Table3[[#This Row],[Top Parent Account]]="",Table3[[#This Row],[Account Legal Name]],Table3[[#This Row],[Top Parent Account]])</f>
        <v>ST F TECNOLOGY SAS</v>
      </c>
      <c r="H4308" s="1"/>
    </row>
    <row r="4309" spans="1:8" x14ac:dyDescent="0.35">
      <c r="A4309" s="21"/>
      <c r="B4309" t="s">
        <v>32</v>
      </c>
      <c r="C4309" t="s">
        <v>6</v>
      </c>
      <c r="D4309" t="s">
        <v>2596</v>
      </c>
      <c r="F4309" s="1">
        <v>45832</v>
      </c>
      <c r="G4309" t="str">
        <f>IF(Table3[[#This Row],[Top Parent Account]]="",Table3[[#This Row],[Account Legal Name]],Table3[[#This Row],[Top Parent Account]])</f>
        <v>Emulsiones y Pavimentos del Pacífico</v>
      </c>
      <c r="H4309" s="1"/>
    </row>
    <row r="4310" spans="1:8" x14ac:dyDescent="0.35">
      <c r="A4310" s="21"/>
      <c r="B4310" t="s">
        <v>39</v>
      </c>
      <c r="C4310" t="s">
        <v>2597</v>
      </c>
      <c r="D4310" t="s">
        <v>2349</v>
      </c>
      <c r="F4310" s="1">
        <v>45832</v>
      </c>
      <c r="G4310" t="str">
        <f>IF(Table3[[#This Row],[Top Parent Account]]="",Table3[[#This Row],[Account Legal Name]],Table3[[#This Row],[Top Parent Account]])</f>
        <v>QM Comercializadora</v>
      </c>
      <c r="H4310" s="1"/>
    </row>
    <row r="4311" spans="1:8" x14ac:dyDescent="0.35">
      <c r="A4311" s="21"/>
      <c r="B4311" t="s">
        <v>280</v>
      </c>
      <c r="C4311" t="s">
        <v>6</v>
      </c>
      <c r="D4311" t="s">
        <v>2554</v>
      </c>
      <c r="F4311" s="1">
        <v>45832</v>
      </c>
      <c r="G4311" t="str">
        <f>IF(Table3[[#This Row],[Top Parent Account]]="",Table3[[#This Row],[Account Legal Name]],Table3[[#This Row],[Top Parent Account]])</f>
        <v>Almacenadora Jalisciense</v>
      </c>
      <c r="H4311" s="1"/>
    </row>
    <row r="4312" spans="1:8" x14ac:dyDescent="0.35">
      <c r="A4312" s="21"/>
      <c r="B4312" t="s">
        <v>70</v>
      </c>
      <c r="C4312" t="s">
        <v>22</v>
      </c>
      <c r="D4312" t="s">
        <v>434</v>
      </c>
      <c r="F4312" s="1">
        <v>45832</v>
      </c>
      <c r="G4312" t="str">
        <f>IF(Table3[[#This Row],[Top Parent Account]]="",Table3[[#This Row],[Account Legal Name]],Table3[[#This Row],[Top Parent Account]])</f>
        <v>Electrónica y Medicina</v>
      </c>
      <c r="H4312" s="1"/>
    </row>
    <row r="4313" spans="1:8" x14ac:dyDescent="0.35">
      <c r="A4313" s="21"/>
      <c r="B4313" t="s">
        <v>207</v>
      </c>
      <c r="C4313" t="s">
        <v>6</v>
      </c>
      <c r="D4313" t="s">
        <v>2555</v>
      </c>
      <c r="F4313" s="1">
        <v>45832</v>
      </c>
      <c r="G4313" t="str">
        <f>IF(Table3[[#This Row],[Top Parent Account]]="",Table3[[#This Row],[Account Legal Name]],Table3[[#This Row],[Top Parent Account]])</f>
        <v>H2G Soluciones</v>
      </c>
      <c r="H4313" s="1"/>
    </row>
    <row r="4314" spans="1:8" x14ac:dyDescent="0.35">
      <c r="A4314" s="21"/>
      <c r="B4314" t="s">
        <v>14</v>
      </c>
      <c r="C4314" t="s">
        <v>6</v>
      </c>
      <c r="D4314" t="s">
        <v>872</v>
      </c>
      <c r="F4314" s="1">
        <v>45832</v>
      </c>
      <c r="G4314" t="str">
        <f>IF(Table3[[#This Row],[Top Parent Account]]="",Table3[[#This Row],[Account Legal Name]],Table3[[#This Row],[Top Parent Account]])</f>
        <v>Fastpack Industrial</v>
      </c>
      <c r="H4314" s="1"/>
    </row>
    <row r="4315" spans="1:8" x14ac:dyDescent="0.35">
      <c r="A4315" s="21"/>
      <c r="B4315" t="s">
        <v>77</v>
      </c>
      <c r="C4315" t="s">
        <v>6</v>
      </c>
      <c r="D4315" t="s">
        <v>927</v>
      </c>
      <c r="F4315" s="1">
        <v>45832</v>
      </c>
      <c r="G4315" t="str">
        <f>IF(Table3[[#This Row],[Top Parent Account]]="",Table3[[#This Row],[Account Legal Name]],Table3[[#This Row],[Top Parent Account]])</f>
        <v>SOLUCIONES ENERGÉTICAS JEA</v>
      </c>
      <c r="H4315" s="1"/>
    </row>
    <row r="4316" spans="1:8" x14ac:dyDescent="0.35">
      <c r="A4316" s="21"/>
      <c r="B4316" t="s">
        <v>10</v>
      </c>
      <c r="C4316" t="s">
        <v>6</v>
      </c>
      <c r="D4316" t="s">
        <v>2556</v>
      </c>
      <c r="F4316" s="1">
        <v>45832</v>
      </c>
      <c r="G4316" t="str">
        <f>IF(Table3[[#This Row],[Top Parent Account]]="",Table3[[#This Row],[Account Legal Name]],Table3[[#This Row],[Top Parent Account]])</f>
        <v>La Ruta Del Sol</v>
      </c>
      <c r="H4316" s="1"/>
    </row>
    <row r="4317" spans="1:8" x14ac:dyDescent="0.35">
      <c r="A4317" s="21"/>
      <c r="B4317" t="s">
        <v>116</v>
      </c>
      <c r="C4317" t="s">
        <v>6</v>
      </c>
      <c r="D4317" t="s">
        <v>2557</v>
      </c>
      <c r="F4317" s="1">
        <v>45832</v>
      </c>
      <c r="G4317" t="str">
        <f>IF(Table3[[#This Row],[Top Parent Account]]="",Table3[[#This Row],[Account Legal Name]],Table3[[#This Row],[Top Parent Account]])</f>
        <v>Moldeos Especializados</v>
      </c>
      <c r="H4317" s="1"/>
    </row>
    <row r="4318" spans="1:8" x14ac:dyDescent="0.35">
      <c r="A4318" s="21"/>
      <c r="B4318" t="s">
        <v>70</v>
      </c>
      <c r="C4318" t="s">
        <v>22</v>
      </c>
      <c r="D4318" t="s">
        <v>283</v>
      </c>
      <c r="F4318" s="1">
        <v>45832</v>
      </c>
      <c r="G4318" t="str">
        <f>IF(Table3[[#This Row],[Top Parent Account]]="",Table3[[#This Row],[Account Legal Name]],Table3[[#This Row],[Top Parent Account]])</f>
        <v>Tecnologia Spine</v>
      </c>
      <c r="H4318" s="1"/>
    </row>
    <row r="4319" spans="1:8" x14ac:dyDescent="0.35">
      <c r="A4319" s="21"/>
      <c r="B4319" t="s">
        <v>39</v>
      </c>
      <c r="C4319" t="s">
        <v>945</v>
      </c>
      <c r="D4319" t="s">
        <v>2558</v>
      </c>
      <c r="F4319" s="1">
        <v>45832</v>
      </c>
      <c r="G4319" t="str">
        <f>IF(Table3[[#This Row],[Top Parent Account]]="",Table3[[#This Row],[Account Legal Name]],Table3[[#This Row],[Top Parent Account]])</f>
        <v>Grupo Construcciones Planificadas</v>
      </c>
      <c r="H4319" s="1"/>
    </row>
    <row r="4320" spans="1:8" x14ac:dyDescent="0.35">
      <c r="A4320" s="21"/>
      <c r="B4320" t="s">
        <v>970</v>
      </c>
      <c r="C4320" t="s">
        <v>6</v>
      </c>
      <c r="D4320" t="s">
        <v>307</v>
      </c>
      <c r="F4320" s="1">
        <v>45832</v>
      </c>
      <c r="G4320" t="str">
        <f>IF(Table3[[#This Row],[Top Parent Account]]="",Table3[[#This Row],[Account Legal Name]],Table3[[#This Row],[Top Parent Account]])</f>
        <v>Thor Urbana</v>
      </c>
      <c r="H4320" s="1"/>
    </row>
    <row r="4321" spans="1:8" x14ac:dyDescent="0.35">
      <c r="A4321" s="21"/>
      <c r="B4321" t="s">
        <v>1006</v>
      </c>
      <c r="C4321" t="s">
        <v>6</v>
      </c>
      <c r="D4321" t="s">
        <v>2604</v>
      </c>
      <c r="F4321" s="1">
        <v>45832</v>
      </c>
      <c r="G4321" t="str">
        <f>IF(Table3[[#This Row],[Top Parent Account]]="",Table3[[#This Row],[Account Legal Name]],Table3[[#This Row],[Top Parent Account]])</f>
        <v>DE POLIESTIRENO</v>
      </c>
      <c r="H4321" s="1"/>
    </row>
    <row r="4322" spans="1:8" x14ac:dyDescent="0.35">
      <c r="A4322" s="21"/>
      <c r="B4322" t="s">
        <v>1511</v>
      </c>
      <c r="C4322" t="s">
        <v>22</v>
      </c>
      <c r="D4322" t="s">
        <v>1663</v>
      </c>
      <c r="F4322" s="1">
        <v>45832</v>
      </c>
      <c r="G4322" t="str">
        <f>IF(Table3[[#This Row],[Top Parent Account]]="",Table3[[#This Row],[Account Legal Name]],Table3[[#This Row],[Top Parent Account]])</f>
        <v>Grote Industries de México</v>
      </c>
      <c r="H4322" s="1"/>
    </row>
    <row r="4323" spans="1:8" x14ac:dyDescent="0.35">
      <c r="A4323" s="21"/>
      <c r="B4323" t="s">
        <v>84</v>
      </c>
      <c r="C4323" t="s">
        <v>49</v>
      </c>
      <c r="D4323" t="s">
        <v>750</v>
      </c>
      <c r="F4323" s="1">
        <v>45832</v>
      </c>
      <c r="G4323" t="str">
        <f>IF(Table3[[#This Row],[Top Parent Account]]="",Table3[[#This Row],[Account Legal Name]],Table3[[#This Row],[Top Parent Account]])</f>
        <v>Aleaciones y Metales Industriales de Saltillo</v>
      </c>
      <c r="H4323" s="1"/>
    </row>
    <row r="4324" spans="1:8" x14ac:dyDescent="0.35">
      <c r="A4324" s="21"/>
      <c r="B4324" t="s">
        <v>43</v>
      </c>
      <c r="C4324" t="s">
        <v>22</v>
      </c>
      <c r="D4324" t="s">
        <v>1008</v>
      </c>
      <c r="F4324" s="1">
        <v>45832</v>
      </c>
      <c r="G4324" t="str">
        <f>IF(Table3[[#This Row],[Top Parent Account]]="",Table3[[#This Row],[Account Legal Name]],Table3[[#This Row],[Top Parent Account]])</f>
        <v>Laboratorios Vanquish</v>
      </c>
      <c r="H4324" s="1"/>
    </row>
    <row r="4325" spans="1:8" x14ac:dyDescent="0.35">
      <c r="A4325" s="21"/>
      <c r="B4325" t="s">
        <v>989</v>
      </c>
      <c r="C4325" t="s">
        <v>6</v>
      </c>
      <c r="D4325" t="s">
        <v>1123</v>
      </c>
      <c r="F4325" s="1">
        <v>45832</v>
      </c>
      <c r="G4325" t="str">
        <f>IF(Table3[[#This Row],[Top Parent Account]]="",Table3[[#This Row],[Account Legal Name]],Table3[[#This Row],[Top Parent Account]])</f>
        <v>Exel Servigrafica</v>
      </c>
      <c r="H4325" s="1"/>
    </row>
    <row r="4326" spans="1:8" x14ac:dyDescent="0.35">
      <c r="A4326" s="21"/>
      <c r="B4326" t="s">
        <v>989</v>
      </c>
      <c r="C4326" t="s">
        <v>6</v>
      </c>
      <c r="D4326" t="s">
        <v>1847</v>
      </c>
      <c r="F4326" s="1">
        <v>45832</v>
      </c>
      <c r="G4326" t="str">
        <f>IF(Table3[[#This Row],[Top Parent Account]]="",Table3[[#This Row],[Account Legal Name]],Table3[[#This Row],[Top Parent Account]])</f>
        <v>China Depot</v>
      </c>
      <c r="H4326" s="1"/>
    </row>
    <row r="4327" spans="1:8" x14ac:dyDescent="0.35">
      <c r="A4327" s="21"/>
      <c r="B4327" t="s">
        <v>989</v>
      </c>
      <c r="C4327" t="s">
        <v>6</v>
      </c>
      <c r="D4327" t="s">
        <v>2148</v>
      </c>
      <c r="F4327" s="1">
        <v>45832</v>
      </c>
      <c r="G4327" t="str">
        <f>IF(Table3[[#This Row],[Top Parent Account]]="",Table3[[#This Row],[Account Legal Name]],Table3[[#This Row],[Top Parent Account]])</f>
        <v>Alimentos Naturales Rancho Viejo</v>
      </c>
      <c r="H4327" s="1"/>
    </row>
    <row r="4328" spans="1:8" x14ac:dyDescent="0.35">
      <c r="A4328" s="21"/>
      <c r="B4328" t="s">
        <v>989</v>
      </c>
      <c r="C4328" t="s">
        <v>6</v>
      </c>
      <c r="D4328" t="s">
        <v>2351</v>
      </c>
      <c r="F4328" s="1">
        <v>45832</v>
      </c>
      <c r="G4328" t="str">
        <f>IF(Table3[[#This Row],[Top Parent Account]]="",Table3[[#This Row],[Account Legal Name]],Table3[[#This Row],[Top Parent Account]])</f>
        <v>Tubos y Depresibles Mexicanos</v>
      </c>
      <c r="H4328" s="1"/>
    </row>
    <row r="4329" spans="1:8" x14ac:dyDescent="0.35">
      <c r="A4329" s="21"/>
      <c r="B4329" t="s">
        <v>121</v>
      </c>
      <c r="C4329" t="s">
        <v>6</v>
      </c>
      <c r="D4329" t="s">
        <v>1807</v>
      </c>
      <c r="F4329" s="1">
        <v>45832</v>
      </c>
      <c r="G4329" t="str">
        <f>IF(Table3[[#This Row],[Top Parent Account]]="",Table3[[#This Row],[Account Legal Name]],Table3[[#This Row],[Top Parent Account]])</f>
        <v>comercializadora de perfumes originales</v>
      </c>
      <c r="H4329" s="1"/>
    </row>
    <row r="4330" spans="1:8" x14ac:dyDescent="0.35">
      <c r="A4330" s="21"/>
      <c r="B4330" t="s">
        <v>1031</v>
      </c>
      <c r="C4330" t="s">
        <v>6</v>
      </c>
      <c r="D4330" t="s">
        <v>2559</v>
      </c>
      <c r="F4330" s="1">
        <v>45832</v>
      </c>
      <c r="G4330" t="str">
        <f>IF(Table3[[#This Row],[Top Parent Account]]="",Table3[[#This Row],[Account Legal Name]],Table3[[#This Row],[Top Parent Account]])</f>
        <v>Balper Toluca</v>
      </c>
      <c r="H4330" s="1"/>
    </row>
    <row r="4331" spans="1:8" x14ac:dyDescent="0.35">
      <c r="A4331" s="21"/>
      <c r="B4331" t="s">
        <v>114</v>
      </c>
      <c r="C4331" t="s">
        <v>6</v>
      </c>
      <c r="D4331" t="s">
        <v>2560</v>
      </c>
      <c r="E4331" t="s">
        <v>222</v>
      </c>
      <c r="F4331" s="1">
        <v>45832</v>
      </c>
      <c r="G4331" t="str">
        <f>IF(Table3[[#This Row],[Top Parent Account]]="",Table3[[#This Row],[Account Legal Name]],Table3[[#This Row],[Top Parent Account]])</f>
        <v>Vensi Ventajas En Servicios Integrales</v>
      </c>
      <c r="H4331" s="1"/>
    </row>
    <row r="4332" spans="1:8" x14ac:dyDescent="0.35">
      <c r="A4332" s="21"/>
      <c r="B4332" t="s">
        <v>39</v>
      </c>
      <c r="C4332" t="s">
        <v>945</v>
      </c>
      <c r="D4332" t="s">
        <v>417</v>
      </c>
      <c r="E4332" t="s">
        <v>2004</v>
      </c>
      <c r="F4332" s="1">
        <v>45832</v>
      </c>
      <c r="G4332" t="str">
        <f>IF(Table3[[#This Row],[Top Parent Account]]="",Table3[[#This Row],[Account Legal Name]],Table3[[#This Row],[Top Parent Account]])</f>
        <v>Mobinsa</v>
      </c>
      <c r="H4332" s="1"/>
    </row>
    <row r="4333" spans="1:8" x14ac:dyDescent="0.35">
      <c r="A4333" s="21"/>
      <c r="B4333" t="s">
        <v>207</v>
      </c>
      <c r="C4333" t="s">
        <v>22</v>
      </c>
      <c r="D4333" t="s">
        <v>889</v>
      </c>
      <c r="F4333" s="1">
        <v>45832</v>
      </c>
      <c r="G4333" t="str">
        <f>IF(Table3[[#This Row],[Top Parent Account]]="",Table3[[#This Row],[Account Legal Name]],Table3[[#This Row],[Top Parent Account]])</f>
        <v>Servicios Integrales Alhec</v>
      </c>
      <c r="H4333" s="1"/>
    </row>
    <row r="4334" spans="1:8" x14ac:dyDescent="0.35">
      <c r="A4334" s="21"/>
      <c r="B4334" t="s">
        <v>121</v>
      </c>
      <c r="C4334" t="s">
        <v>6</v>
      </c>
      <c r="D4334" t="s">
        <v>792</v>
      </c>
      <c r="F4334" s="1">
        <v>45832</v>
      </c>
      <c r="G4334" t="str">
        <f>IF(Table3[[#This Row],[Top Parent Account]]="",Table3[[#This Row],[Account Legal Name]],Table3[[#This Row],[Top Parent Account]])</f>
        <v>FERBA TECNOLOGIA</v>
      </c>
      <c r="H4334" s="1"/>
    </row>
    <row r="4335" spans="1:8" x14ac:dyDescent="0.35">
      <c r="A4335" s="21"/>
      <c r="B4335" t="s">
        <v>12</v>
      </c>
      <c r="C4335" t="s">
        <v>6</v>
      </c>
      <c r="D4335" t="s">
        <v>2561</v>
      </c>
      <c r="E4335" t="s">
        <v>2562</v>
      </c>
      <c r="F4335" s="1">
        <v>45831</v>
      </c>
      <c r="G4335" t="str">
        <f>IF(Table3[[#This Row],[Top Parent Account]]="",Table3[[#This Row],[Account Legal Name]],Table3[[#This Row],[Top Parent Account]])</f>
        <v>Match Corporate Group</v>
      </c>
      <c r="H4335" s="1"/>
    </row>
    <row r="4336" spans="1:8" x14ac:dyDescent="0.35">
      <c r="A4336" s="21"/>
      <c r="B4336" t="s">
        <v>78</v>
      </c>
      <c r="C4336" t="s">
        <v>6</v>
      </c>
      <c r="D4336" t="s">
        <v>2517</v>
      </c>
      <c r="F4336" s="1">
        <v>45831</v>
      </c>
      <c r="G4336" t="str">
        <f>IF(Table3[[#This Row],[Top Parent Account]]="",Table3[[#This Row],[Account Legal Name]],Table3[[#This Row],[Top Parent Account]])</f>
        <v>ACMI MEXICO</v>
      </c>
      <c r="H4336" s="1"/>
    </row>
    <row r="4337" spans="1:8" x14ac:dyDescent="0.35">
      <c r="A4337" s="21"/>
      <c r="B4337" t="s">
        <v>88</v>
      </c>
      <c r="C4337" t="s">
        <v>6</v>
      </c>
      <c r="D4337" t="s">
        <v>2737</v>
      </c>
      <c r="F4337" s="1">
        <v>45831</v>
      </c>
      <c r="G4337" t="str">
        <f>IF(Table3[[#This Row],[Top Parent Account]]="",Table3[[#This Row],[Account Legal Name]],Table3[[#This Row],[Top Parent Account]])</f>
        <v>Quinta Gabilondo</v>
      </c>
      <c r="H4337" s="1"/>
    </row>
    <row r="4338" spans="1:8" x14ac:dyDescent="0.35">
      <c r="A4338" s="21"/>
      <c r="B4338" t="s">
        <v>2309</v>
      </c>
      <c r="C4338" t="s">
        <v>1150</v>
      </c>
      <c r="D4338" t="s">
        <v>2652</v>
      </c>
      <c r="F4338" s="1">
        <v>45831</v>
      </c>
      <c r="G4338" t="str">
        <f>IF(Table3[[#This Row],[Top Parent Account]]="",Table3[[#This Row],[Account Legal Name]],Table3[[#This Row],[Top Parent Account]])</f>
        <v>Industrias Entry</v>
      </c>
      <c r="H4338" s="1"/>
    </row>
    <row r="4339" spans="1:8" x14ac:dyDescent="0.35">
      <c r="A4339" s="21"/>
      <c r="B4339" t="s">
        <v>12</v>
      </c>
      <c r="C4339" t="s">
        <v>6</v>
      </c>
      <c r="D4339" t="s">
        <v>704</v>
      </c>
      <c r="F4339" s="1">
        <v>45831</v>
      </c>
      <c r="G4339" t="str">
        <f>IF(Table3[[#This Row],[Top Parent Account]]="",Table3[[#This Row],[Account Legal Name]],Table3[[#This Row],[Top Parent Account]])</f>
        <v>CICLO CORPORATIVO</v>
      </c>
      <c r="H4339" s="1"/>
    </row>
    <row r="4340" spans="1:8" x14ac:dyDescent="0.35">
      <c r="A4340" s="21"/>
      <c r="B4340" t="s">
        <v>14</v>
      </c>
      <c r="C4340" t="s">
        <v>6</v>
      </c>
      <c r="D4340" t="s">
        <v>736</v>
      </c>
      <c r="E4340" t="s">
        <v>724</v>
      </c>
      <c r="F4340" s="1">
        <v>45831</v>
      </c>
      <c r="G4340" t="str">
        <f>IF(Table3[[#This Row],[Top Parent Account]]="",Table3[[#This Row],[Account Legal Name]],Table3[[#This Row],[Top Parent Account]])</f>
        <v>Berries Paradise</v>
      </c>
      <c r="H4340" s="1"/>
    </row>
    <row r="4341" spans="1:8" x14ac:dyDescent="0.35">
      <c r="A4341" s="21"/>
      <c r="B4341" t="s">
        <v>70</v>
      </c>
      <c r="C4341" t="s">
        <v>22</v>
      </c>
      <c r="D4341" t="s">
        <v>203</v>
      </c>
      <c r="F4341" s="1">
        <v>45831</v>
      </c>
      <c r="G4341" t="str">
        <f>IF(Table3[[#This Row],[Top Parent Account]]="",Table3[[#This Row],[Account Legal Name]],Table3[[#This Row],[Top Parent Account]])</f>
        <v>Fundación De Asistencia Privada Conde De Valenciana</v>
      </c>
      <c r="H4341" s="1"/>
    </row>
    <row r="4342" spans="1:8" x14ac:dyDescent="0.35">
      <c r="A4342" s="21"/>
      <c r="B4342" t="s">
        <v>1511</v>
      </c>
      <c r="C4342" t="s">
        <v>22</v>
      </c>
      <c r="D4342" t="s">
        <v>1913</v>
      </c>
      <c r="F4342" s="1">
        <v>45831</v>
      </c>
      <c r="G4342" t="str">
        <f>IF(Table3[[#This Row],[Top Parent Account]]="",Table3[[#This Row],[Account Legal Name]],Table3[[#This Row],[Top Parent Account]])</f>
        <v>SALERI MEXICO</v>
      </c>
      <c r="H4342" s="1"/>
    </row>
    <row r="4343" spans="1:8" x14ac:dyDescent="0.35">
      <c r="A4343" s="21"/>
      <c r="B4343" t="s">
        <v>11</v>
      </c>
      <c r="C4343" t="s">
        <v>6</v>
      </c>
      <c r="D4343" t="s">
        <v>2563</v>
      </c>
      <c r="F4343" s="1">
        <v>45831</v>
      </c>
      <c r="G4343" t="str">
        <f>IF(Table3[[#This Row],[Top Parent Account]]="",Table3[[#This Row],[Account Legal Name]],Table3[[#This Row],[Top Parent Account]])</f>
        <v>IMARCO</v>
      </c>
      <c r="H4343" s="1"/>
    </row>
    <row r="4344" spans="1:8" x14ac:dyDescent="0.35">
      <c r="A4344" s="21"/>
      <c r="B4344" t="s">
        <v>78</v>
      </c>
      <c r="C4344" t="s">
        <v>6</v>
      </c>
      <c r="D4344" t="s">
        <v>2416</v>
      </c>
      <c r="F4344" s="1">
        <v>45831</v>
      </c>
      <c r="G4344" t="str">
        <f>IF(Table3[[#This Row],[Top Parent Account]]="",Table3[[#This Row],[Account Legal Name]],Table3[[#This Row],[Top Parent Account]])</f>
        <v>Grupo AP Alerta</v>
      </c>
      <c r="H4344" s="1"/>
    </row>
    <row r="4345" spans="1:8" x14ac:dyDescent="0.35">
      <c r="A4345" s="21"/>
      <c r="B4345" t="s">
        <v>932</v>
      </c>
      <c r="C4345" t="s">
        <v>2564</v>
      </c>
      <c r="D4345" t="s">
        <v>1009</v>
      </c>
      <c r="F4345" s="1">
        <v>45831</v>
      </c>
      <c r="G4345" t="str">
        <f>IF(Table3[[#This Row],[Top Parent Account]]="",Table3[[#This Row],[Account Legal Name]],Table3[[#This Row],[Top Parent Account]])</f>
        <v>Sodequim</v>
      </c>
      <c r="H4345" s="1"/>
    </row>
    <row r="4346" spans="1:8" x14ac:dyDescent="0.35">
      <c r="A4346" s="21"/>
      <c r="B4346" t="s">
        <v>989</v>
      </c>
      <c r="C4346" t="s">
        <v>6</v>
      </c>
      <c r="D4346" t="s">
        <v>2565</v>
      </c>
      <c r="F4346" s="1">
        <v>45831</v>
      </c>
      <c r="G4346" t="str">
        <f>IF(Table3[[#This Row],[Top Parent Account]]="",Table3[[#This Row],[Account Legal Name]],Table3[[#This Row],[Top Parent Account]])</f>
        <v>Ricoh Mexicana</v>
      </c>
      <c r="H4346" s="1"/>
    </row>
    <row r="4347" spans="1:8" x14ac:dyDescent="0.35">
      <c r="A4347" s="21"/>
      <c r="B4347" t="s">
        <v>7</v>
      </c>
      <c r="C4347" t="s">
        <v>6</v>
      </c>
      <c r="D4347" t="s">
        <v>2598</v>
      </c>
      <c r="F4347" s="1">
        <v>45831</v>
      </c>
      <c r="G4347" t="str">
        <f>IF(Table3[[#This Row],[Top Parent Account]]="",Table3[[#This Row],[Account Legal Name]],Table3[[#This Row],[Top Parent Account]])</f>
        <v>Agropecuaria Cadena Hnos</v>
      </c>
      <c r="H4347" s="1"/>
    </row>
    <row r="4348" spans="1:8" x14ac:dyDescent="0.35">
      <c r="A4348" s="21"/>
      <c r="B4348" t="s">
        <v>925</v>
      </c>
      <c r="C4348" t="s">
        <v>6</v>
      </c>
      <c r="D4348" t="s">
        <v>2344</v>
      </c>
      <c r="F4348" s="1">
        <v>45831</v>
      </c>
      <c r="G4348" t="str">
        <f>IF(Table3[[#This Row],[Top Parent Account]]="",Table3[[#This Row],[Account Legal Name]],Table3[[#This Row],[Top Parent Account]])</f>
        <v>Comercial Ferbera</v>
      </c>
      <c r="H4348" s="1"/>
    </row>
    <row r="4349" spans="1:8" x14ac:dyDescent="0.35">
      <c r="A4349" s="21"/>
      <c r="B4349" t="s">
        <v>24</v>
      </c>
      <c r="C4349" t="s">
        <v>6</v>
      </c>
      <c r="D4349" t="s">
        <v>2566</v>
      </c>
      <c r="F4349" s="1">
        <v>45831</v>
      </c>
      <c r="G4349" t="str">
        <f>IF(Table3[[#This Row],[Top Parent Account]]="",Table3[[#This Row],[Account Legal Name]],Table3[[#This Row],[Top Parent Account]])</f>
        <v>Constructora y Arrendadora López</v>
      </c>
      <c r="H4349" s="1"/>
    </row>
    <row r="4350" spans="1:8" x14ac:dyDescent="0.35">
      <c r="A4350" s="21"/>
      <c r="B4350" t="s">
        <v>77</v>
      </c>
      <c r="C4350" t="s">
        <v>22</v>
      </c>
      <c r="D4350" t="s">
        <v>2519</v>
      </c>
      <c r="F4350" s="1">
        <v>45828</v>
      </c>
      <c r="G4350" t="str">
        <f>IF(Table3[[#This Row],[Top Parent Account]]="",Table3[[#This Row],[Account Legal Name]],Table3[[#This Row],[Top Parent Account]])</f>
        <v>Epóxicos y Pintura Industrial</v>
      </c>
      <c r="H4350" s="1"/>
    </row>
    <row r="4351" spans="1:8" x14ac:dyDescent="0.35">
      <c r="A4351" s="21"/>
      <c r="B4351" t="s">
        <v>28</v>
      </c>
      <c r="C4351" t="s">
        <v>6</v>
      </c>
      <c r="D4351" t="s">
        <v>2738</v>
      </c>
      <c r="F4351" s="1">
        <v>45828</v>
      </c>
      <c r="G4351" t="str">
        <f>IF(Table3[[#This Row],[Top Parent Account]]="",Table3[[#This Row],[Account Legal Name]],Table3[[#This Row],[Top Parent Account]])</f>
        <v>M25 INTERNATIONAL TECH</v>
      </c>
      <c r="H4351" s="1"/>
    </row>
    <row r="4352" spans="1:8" x14ac:dyDescent="0.35">
      <c r="A4352" s="21"/>
      <c r="B4352" t="s">
        <v>28</v>
      </c>
      <c r="C4352" t="s">
        <v>6</v>
      </c>
      <c r="D4352" t="s">
        <v>2739</v>
      </c>
      <c r="F4352" s="1">
        <v>45828</v>
      </c>
      <c r="G4352" t="str">
        <f>IF(Table3[[#This Row],[Top Parent Account]]="",Table3[[#This Row],[Account Legal Name]],Table3[[#This Row],[Top Parent Account]])</f>
        <v>Productos Loneg</v>
      </c>
      <c r="H4352" s="1"/>
    </row>
    <row r="4353" spans="1:8" x14ac:dyDescent="0.35">
      <c r="A4353" s="21"/>
      <c r="B4353" t="s">
        <v>589</v>
      </c>
      <c r="C4353" t="s">
        <v>6</v>
      </c>
      <c r="D4353" t="s">
        <v>2520</v>
      </c>
      <c r="F4353" s="1">
        <v>45828</v>
      </c>
      <c r="G4353" t="str">
        <f>IF(Table3[[#This Row],[Top Parent Account]]="",Table3[[#This Row],[Account Legal Name]],Table3[[#This Row],[Top Parent Account]])</f>
        <v>Tarimex Empaques</v>
      </c>
      <c r="H4353" s="1"/>
    </row>
    <row r="4354" spans="1:8" x14ac:dyDescent="0.35">
      <c r="A4354" s="21"/>
      <c r="B4354" t="s">
        <v>589</v>
      </c>
      <c r="C4354" t="s">
        <v>6</v>
      </c>
      <c r="D4354" t="s">
        <v>2521</v>
      </c>
      <c r="F4354" s="1">
        <v>45828</v>
      </c>
      <c r="G4354" t="str">
        <f>IF(Table3[[#This Row],[Top Parent Account]]="",Table3[[#This Row],[Account Legal Name]],Table3[[#This Row],[Top Parent Account]])</f>
        <v>Transportes alamo</v>
      </c>
      <c r="H4354" s="1"/>
    </row>
    <row r="4355" spans="1:8" x14ac:dyDescent="0.35">
      <c r="A4355" s="21"/>
      <c r="B4355" t="s">
        <v>10</v>
      </c>
      <c r="C4355" t="s">
        <v>6</v>
      </c>
      <c r="D4355" t="s">
        <v>269</v>
      </c>
      <c r="F4355" s="1">
        <v>45828</v>
      </c>
      <c r="G4355" t="str">
        <f>IF(Table3[[#This Row],[Top Parent Account]]="",Table3[[#This Row],[Account Legal Name]],Table3[[#This Row],[Top Parent Account]])</f>
        <v>Grupo Logístico de la Cuenca del Pacífico</v>
      </c>
      <c r="H4355" s="1"/>
    </row>
    <row r="4356" spans="1:8" x14ac:dyDescent="0.35">
      <c r="A4356" s="21"/>
      <c r="B4356" t="s">
        <v>28</v>
      </c>
      <c r="C4356" t="s">
        <v>6</v>
      </c>
      <c r="D4356" t="s">
        <v>985</v>
      </c>
      <c r="F4356" s="1">
        <v>45828</v>
      </c>
      <c r="G4356" t="str">
        <f>IF(Table3[[#This Row],[Top Parent Account]]="",Table3[[#This Row],[Account Legal Name]],Table3[[#This Row],[Top Parent Account]])</f>
        <v>Ikano Group</v>
      </c>
      <c r="H4356" s="1"/>
    </row>
    <row r="4357" spans="1:8" x14ac:dyDescent="0.35">
      <c r="A4357" s="21"/>
      <c r="B4357" t="s">
        <v>2309</v>
      </c>
      <c r="C4357" t="s">
        <v>22</v>
      </c>
      <c r="D4357" t="s">
        <v>2522</v>
      </c>
      <c r="F4357" s="1">
        <v>45828</v>
      </c>
      <c r="G4357" t="str">
        <f>IF(Table3[[#This Row],[Top Parent Account]]="",Table3[[#This Row],[Account Legal Name]],Table3[[#This Row],[Top Parent Account]])</f>
        <v>Wyn de México Productos Químicos</v>
      </c>
      <c r="H4357" s="1"/>
    </row>
    <row r="4358" spans="1:8" x14ac:dyDescent="0.35">
      <c r="A4358" s="21"/>
      <c r="B4358" t="s">
        <v>56</v>
      </c>
      <c r="C4358" t="s">
        <v>6</v>
      </c>
      <c r="D4358" t="s">
        <v>452</v>
      </c>
      <c r="F4358" s="1">
        <v>45828</v>
      </c>
      <c r="G4358" t="str">
        <f>IF(Table3[[#This Row],[Top Parent Account]]="",Table3[[#This Row],[Account Legal Name]],Table3[[#This Row],[Top Parent Account]])</f>
        <v>Tiendas Tres B</v>
      </c>
      <c r="H4358" s="1"/>
    </row>
    <row r="4359" spans="1:8" x14ac:dyDescent="0.35">
      <c r="A4359" s="21"/>
      <c r="B4359" t="s">
        <v>375</v>
      </c>
      <c r="C4359" t="s">
        <v>6</v>
      </c>
      <c r="D4359" t="s">
        <v>1426</v>
      </c>
      <c r="F4359" s="1">
        <v>45828</v>
      </c>
      <c r="G4359" t="str">
        <f>IF(Table3[[#This Row],[Top Parent Account]]="",Table3[[#This Row],[Account Legal Name]],Table3[[#This Row],[Top Parent Account]])</f>
        <v>Silodisa Servicio Integral De Logística y Distribución</v>
      </c>
      <c r="H4359" s="1"/>
    </row>
    <row r="4360" spans="1:8" x14ac:dyDescent="0.35">
      <c r="A4360" s="21"/>
      <c r="B4360" t="s">
        <v>1643</v>
      </c>
      <c r="C4360" t="s">
        <v>22</v>
      </c>
      <c r="D4360" t="s">
        <v>1771</v>
      </c>
      <c r="F4360" s="1">
        <v>45828</v>
      </c>
      <c r="G4360" t="str">
        <f>IF(Table3[[#This Row],[Top Parent Account]]="",Table3[[#This Row],[Account Legal Name]],Table3[[#This Row],[Top Parent Account]])</f>
        <v>Fortacero</v>
      </c>
      <c r="H4360" s="1"/>
    </row>
    <row r="4361" spans="1:8" x14ac:dyDescent="0.35">
      <c r="A4361" s="21"/>
      <c r="B4361" t="s">
        <v>1643</v>
      </c>
      <c r="C4361" t="s">
        <v>6</v>
      </c>
      <c r="D4361" t="s">
        <v>1647</v>
      </c>
      <c r="F4361" s="1">
        <v>45828</v>
      </c>
      <c r="G4361" t="str">
        <f>IF(Table3[[#This Row],[Top Parent Account]]="",Table3[[#This Row],[Account Legal Name]],Table3[[#This Row],[Top Parent Account]])</f>
        <v>Fundicion Aguilas</v>
      </c>
      <c r="H4361" s="1"/>
    </row>
    <row r="4362" spans="1:8" x14ac:dyDescent="0.35">
      <c r="A4362" s="21"/>
      <c r="B4362" t="s">
        <v>12</v>
      </c>
      <c r="C4362" t="s">
        <v>6</v>
      </c>
      <c r="D4362" t="s">
        <v>2504</v>
      </c>
      <c r="F4362" s="1">
        <v>45828</v>
      </c>
      <c r="G4362" t="str">
        <f>IF(Table3[[#This Row],[Top Parent Account]]="",Table3[[#This Row],[Account Legal Name]],Table3[[#This Row],[Top Parent Account]])</f>
        <v>Productora y comercializadora Jem</v>
      </c>
      <c r="H4362" s="1"/>
    </row>
    <row r="4363" spans="1:8" x14ac:dyDescent="0.35">
      <c r="A4363" s="21"/>
      <c r="B4363" t="s">
        <v>121</v>
      </c>
      <c r="C4363" t="s">
        <v>6</v>
      </c>
      <c r="D4363" t="s">
        <v>2366</v>
      </c>
      <c r="E4363" t="s">
        <v>781</v>
      </c>
      <c r="F4363" s="1">
        <v>45828</v>
      </c>
      <c r="G4363" t="str">
        <f>IF(Table3[[#This Row],[Top Parent Account]]="",Table3[[#This Row],[Account Legal Name]],Table3[[#This Row],[Top Parent Account]])</f>
        <v>Autotransportes Frigorificos</v>
      </c>
      <c r="H4363" s="1"/>
    </row>
    <row r="4364" spans="1:8" x14ac:dyDescent="0.35">
      <c r="A4364" s="21"/>
      <c r="B4364" t="s">
        <v>1643</v>
      </c>
      <c r="C4364" t="s">
        <v>6</v>
      </c>
      <c r="D4364" t="s">
        <v>2244</v>
      </c>
      <c r="F4364" s="1">
        <v>45828</v>
      </c>
      <c r="G4364" t="str">
        <f>IF(Table3[[#This Row],[Top Parent Account]]="",Table3[[#This Row],[Account Legal Name]],Table3[[#This Row],[Top Parent Account]])</f>
        <v>Mimsa</v>
      </c>
      <c r="H4364" s="1"/>
    </row>
    <row r="4365" spans="1:8" x14ac:dyDescent="0.35">
      <c r="A4365" s="21"/>
      <c r="B4365" t="s">
        <v>208</v>
      </c>
      <c r="C4365" t="s">
        <v>6</v>
      </c>
      <c r="D4365" t="s">
        <v>922</v>
      </c>
      <c r="F4365" s="1">
        <v>45828</v>
      </c>
      <c r="G4365" t="str">
        <f>IF(Table3[[#This Row],[Top Parent Account]]="",Table3[[#This Row],[Account Legal Name]],Table3[[#This Row],[Top Parent Account]])</f>
        <v>Autotransportes Dast</v>
      </c>
      <c r="H4365" s="1"/>
    </row>
    <row r="4366" spans="1:8" x14ac:dyDescent="0.35">
      <c r="A4366" s="21"/>
      <c r="B4366" t="s">
        <v>21</v>
      </c>
      <c r="C4366" t="s">
        <v>6</v>
      </c>
      <c r="D4366" t="s">
        <v>2523</v>
      </c>
      <c r="F4366" s="1">
        <v>45828</v>
      </c>
      <c r="G4366" t="str">
        <f>IF(Table3[[#This Row],[Top Parent Account]]="",Table3[[#This Row],[Account Legal Name]],Table3[[#This Row],[Top Parent Account]])</f>
        <v>Tracto Termos del Sureste</v>
      </c>
      <c r="H4366" s="1"/>
    </row>
    <row r="4367" spans="1:8" x14ac:dyDescent="0.35">
      <c r="A4367" s="21"/>
      <c r="B4367" t="s">
        <v>969</v>
      </c>
      <c r="C4367" t="s">
        <v>6</v>
      </c>
      <c r="D4367" t="s">
        <v>1924</v>
      </c>
      <c r="F4367" s="1">
        <v>45828</v>
      </c>
      <c r="G4367" t="str">
        <f>IF(Table3[[#This Row],[Top Parent Account]]="",Table3[[#This Row],[Account Legal Name]],Table3[[#This Row],[Top Parent Account]])</f>
        <v>Gluten y Almidones Industriales</v>
      </c>
      <c r="H4367" s="1"/>
    </row>
    <row r="4368" spans="1:8" x14ac:dyDescent="0.35">
      <c r="A4368" s="21"/>
      <c r="B4368" t="s">
        <v>375</v>
      </c>
      <c r="C4368" t="s">
        <v>6</v>
      </c>
      <c r="D4368" t="s">
        <v>1506</v>
      </c>
      <c r="F4368" s="1">
        <v>45828</v>
      </c>
      <c r="G4368" t="str">
        <f>IF(Table3[[#This Row],[Top Parent Account]]="",Table3[[#This Row],[Account Legal Name]],Table3[[#This Row],[Top Parent Account]])</f>
        <v>CGI Logistics</v>
      </c>
      <c r="H4368" s="1"/>
    </row>
    <row r="4369" spans="1:8" x14ac:dyDescent="0.35">
      <c r="A4369" s="21"/>
      <c r="B4369" t="s">
        <v>590</v>
      </c>
      <c r="C4369" t="s">
        <v>6</v>
      </c>
      <c r="D4369" t="s">
        <v>2505</v>
      </c>
      <c r="F4369" s="1">
        <v>45828</v>
      </c>
      <c r="G4369" t="str">
        <f>IF(Table3[[#This Row],[Top Parent Account]]="",Table3[[#This Row],[Account Legal Name]],Table3[[#This Row],[Top Parent Account]])</f>
        <v>Manufacturas Especializadas</v>
      </c>
      <c r="H4369" s="1"/>
    </row>
    <row r="4370" spans="1:8" x14ac:dyDescent="0.35">
      <c r="A4370" s="21"/>
      <c r="B4370" t="s">
        <v>77</v>
      </c>
      <c r="C4370" t="s">
        <v>6</v>
      </c>
      <c r="D4370" t="s">
        <v>366</v>
      </c>
      <c r="F4370" s="1">
        <v>45828</v>
      </c>
      <c r="G4370" t="str">
        <f>IF(Table3[[#This Row],[Top Parent Account]]="",Table3[[#This Row],[Account Legal Name]],Table3[[#This Row],[Top Parent Account]])</f>
        <v>Proesmma</v>
      </c>
      <c r="H4370" s="1"/>
    </row>
    <row r="4371" spans="1:8" x14ac:dyDescent="0.35">
      <c r="A4371" s="21"/>
      <c r="B4371" t="s">
        <v>38</v>
      </c>
      <c r="C4371" t="s">
        <v>6</v>
      </c>
      <c r="D4371" t="s">
        <v>513</v>
      </c>
      <c r="F4371" s="1">
        <v>45828</v>
      </c>
      <c r="G4371" t="str">
        <f>IF(Table3[[#This Row],[Top Parent Account]]="",Table3[[#This Row],[Account Legal Name]],Table3[[#This Row],[Top Parent Account]])</f>
        <v>Oleofinos</v>
      </c>
      <c r="H4371" s="1"/>
    </row>
    <row r="4372" spans="1:8" x14ac:dyDescent="0.35">
      <c r="A4372" s="21"/>
      <c r="B4372" t="s">
        <v>23</v>
      </c>
      <c r="C4372" t="s">
        <v>6</v>
      </c>
      <c r="D4372" t="s">
        <v>2506</v>
      </c>
      <c r="F4372" s="1">
        <v>45828</v>
      </c>
      <c r="G4372" t="str">
        <f>IF(Table3[[#This Row],[Top Parent Account]]="",Table3[[#This Row],[Account Legal Name]],Table3[[#This Row],[Top Parent Account]])</f>
        <v>Viñedos La Redonda</v>
      </c>
      <c r="H4372" s="1"/>
    </row>
    <row r="4373" spans="1:8" x14ac:dyDescent="0.35">
      <c r="A4373" s="21"/>
      <c r="B4373" t="s">
        <v>37</v>
      </c>
      <c r="C4373" t="s">
        <v>6</v>
      </c>
      <c r="D4373" t="s">
        <v>2524</v>
      </c>
      <c r="F4373" s="1">
        <v>45828</v>
      </c>
      <c r="G4373" t="str">
        <f>IF(Table3[[#This Row],[Top Parent Account]]="",Table3[[#This Row],[Account Legal Name]],Table3[[#This Row],[Top Parent Account]])</f>
        <v>GRUPO JOSE EDUARDO FIMBRES MURRIETA</v>
      </c>
      <c r="H4373" s="1"/>
    </row>
    <row r="4374" spans="1:8" x14ac:dyDescent="0.35">
      <c r="A4374" s="21"/>
      <c r="B4374" t="s">
        <v>84</v>
      </c>
      <c r="C4374" t="s">
        <v>2507</v>
      </c>
      <c r="D4374" t="s">
        <v>673</v>
      </c>
      <c r="F4374" s="1">
        <v>45828</v>
      </c>
      <c r="G4374" t="str">
        <f>IF(Table3[[#This Row],[Top Parent Account]]="",Table3[[#This Row],[Account Legal Name]],Table3[[#This Row],[Top Parent Account]])</f>
        <v>Grupo Esg</v>
      </c>
      <c r="H4374" s="1"/>
    </row>
    <row r="4375" spans="1:8" x14ac:dyDescent="0.35">
      <c r="A4375" s="21"/>
      <c r="B4375" t="s">
        <v>27</v>
      </c>
      <c r="C4375" t="s">
        <v>6</v>
      </c>
      <c r="D4375" t="s">
        <v>1285</v>
      </c>
      <c r="F4375" s="1">
        <v>45827</v>
      </c>
      <c r="G4375" t="str">
        <f>IF(Table3[[#This Row],[Top Parent Account]]="",Table3[[#This Row],[Account Legal Name]],Table3[[#This Row],[Top Parent Account]])</f>
        <v>Turismo Gargo</v>
      </c>
      <c r="H4375" s="1"/>
    </row>
    <row r="4376" spans="1:8" x14ac:dyDescent="0.35">
      <c r="A4376" s="21"/>
      <c r="B4376" t="s">
        <v>27</v>
      </c>
      <c r="C4376" t="s">
        <v>6</v>
      </c>
      <c r="D4376" t="s">
        <v>1284</v>
      </c>
      <c r="F4376" s="1">
        <v>45827</v>
      </c>
      <c r="G4376" t="str">
        <f>IF(Table3[[#This Row],[Top Parent Account]]="",Table3[[#This Row],[Account Legal Name]],Table3[[#This Row],[Top Parent Account]])</f>
        <v>Asfaltos Guadalajara</v>
      </c>
      <c r="H4376" s="1"/>
    </row>
    <row r="4377" spans="1:8" x14ac:dyDescent="0.35">
      <c r="A4377" s="21"/>
      <c r="B4377" t="s">
        <v>27</v>
      </c>
      <c r="C4377" t="s">
        <v>6</v>
      </c>
      <c r="D4377" t="s">
        <v>1292</v>
      </c>
      <c r="F4377" s="1">
        <v>45827</v>
      </c>
      <c r="G4377" t="str">
        <f>IF(Table3[[#This Row],[Top Parent Account]]="",Table3[[#This Row],[Account Legal Name]],Table3[[#This Row],[Top Parent Account]])</f>
        <v>Ng Extrusion</v>
      </c>
      <c r="H4377" s="1"/>
    </row>
    <row r="4378" spans="1:8" x14ac:dyDescent="0.35">
      <c r="A4378" s="21"/>
      <c r="B4378" t="s">
        <v>11</v>
      </c>
      <c r="C4378" t="s">
        <v>6</v>
      </c>
      <c r="D4378" t="s">
        <v>111</v>
      </c>
      <c r="F4378" s="1">
        <v>45827</v>
      </c>
      <c r="G4378" t="str">
        <f>IF(Table3[[#This Row],[Top Parent Account]]="",Table3[[#This Row],[Account Legal Name]],Table3[[#This Row],[Top Parent Account]])</f>
        <v>Regiomontana de Construcción y Servicios</v>
      </c>
      <c r="H4378" s="1"/>
    </row>
    <row r="4379" spans="1:8" x14ac:dyDescent="0.35">
      <c r="A4379" s="21"/>
      <c r="B4379" t="s">
        <v>207</v>
      </c>
      <c r="C4379" t="s">
        <v>6</v>
      </c>
      <c r="D4379" t="s">
        <v>1124</v>
      </c>
      <c r="F4379" s="1">
        <v>45827</v>
      </c>
      <c r="G4379" t="str">
        <f>IF(Table3[[#This Row],[Top Parent Account]]="",Table3[[#This Row],[Account Legal Name]],Table3[[#This Row],[Top Parent Account]])</f>
        <v>RIVERFARMA</v>
      </c>
      <c r="H4379" s="1"/>
    </row>
    <row r="4380" spans="1:8" x14ac:dyDescent="0.35">
      <c r="A4380" s="21"/>
      <c r="B4380" t="s">
        <v>590</v>
      </c>
      <c r="C4380" t="s">
        <v>6</v>
      </c>
      <c r="D4380" t="s">
        <v>2509</v>
      </c>
      <c r="F4380" s="1">
        <v>45827</v>
      </c>
      <c r="G4380" t="str">
        <f>IF(Table3[[#This Row],[Top Parent Account]]="",Table3[[#This Row],[Account Legal Name]],Table3[[#This Row],[Top Parent Account]])</f>
        <v>Talleres Industriales Steelgo</v>
      </c>
      <c r="H4380" s="1"/>
    </row>
    <row r="4381" spans="1:8" x14ac:dyDescent="0.35">
      <c r="A4381" s="21"/>
      <c r="B4381" t="s">
        <v>11</v>
      </c>
      <c r="C4381" t="s">
        <v>6</v>
      </c>
      <c r="D4381" t="s">
        <v>2508</v>
      </c>
      <c r="F4381" s="1">
        <v>45827</v>
      </c>
      <c r="G4381" t="str">
        <f>IF(Table3[[#This Row],[Top Parent Account]]="",Table3[[#This Row],[Account Legal Name]],Table3[[#This Row],[Top Parent Account]])</f>
        <v>Grupo Viva Aerobus</v>
      </c>
      <c r="H4381" s="1"/>
    </row>
    <row r="4382" spans="1:8" x14ac:dyDescent="0.35">
      <c r="A4382" s="21"/>
      <c r="B4382" t="s">
        <v>18</v>
      </c>
      <c r="C4382" t="s">
        <v>6</v>
      </c>
      <c r="D4382" t="s">
        <v>2451</v>
      </c>
      <c r="F4382" s="1">
        <v>45827</v>
      </c>
      <c r="G4382" t="str">
        <f>IF(Table3[[#This Row],[Top Parent Account]]="",Table3[[#This Row],[Account Legal Name]],Table3[[#This Row],[Top Parent Account]])</f>
        <v>GRUPO LA LUZ</v>
      </c>
      <c r="H4382" s="1"/>
    </row>
    <row r="4383" spans="1:8" x14ac:dyDescent="0.35">
      <c r="A4383" s="21"/>
      <c r="B4383" t="s">
        <v>37</v>
      </c>
      <c r="C4383" t="s">
        <v>6</v>
      </c>
      <c r="D4383" t="s">
        <v>2525</v>
      </c>
      <c r="F4383" s="1">
        <v>45827</v>
      </c>
      <c r="G4383" t="str">
        <f>IF(Table3[[#This Row],[Top Parent Account]]="",Table3[[#This Row],[Account Legal Name]],Table3[[#This Row],[Top Parent Account]])</f>
        <v>LATECOERE MEXICO</v>
      </c>
      <c r="H4383" s="1"/>
    </row>
    <row r="4384" spans="1:8" x14ac:dyDescent="0.35">
      <c r="A4384" s="21"/>
      <c r="B4384" t="s">
        <v>590</v>
      </c>
      <c r="C4384" t="s">
        <v>6</v>
      </c>
      <c r="D4384" t="s">
        <v>2452</v>
      </c>
      <c r="F4384" s="1">
        <v>45827</v>
      </c>
      <c r="G4384" t="str">
        <f>IF(Table3[[#This Row],[Top Parent Account]]="",Table3[[#This Row],[Account Legal Name]],Table3[[#This Row],[Top Parent Account]])</f>
        <v>Mevisa Componentes</v>
      </c>
      <c r="H4384" s="1"/>
    </row>
    <row r="4385" spans="1:8" x14ac:dyDescent="0.35">
      <c r="A4385" s="21"/>
      <c r="B4385" t="s">
        <v>28</v>
      </c>
      <c r="C4385" t="s">
        <v>6</v>
      </c>
      <c r="D4385" t="s">
        <v>2567</v>
      </c>
      <c r="F4385" s="1">
        <v>45827</v>
      </c>
      <c r="G4385" t="str">
        <f>IF(Table3[[#This Row],[Top Parent Account]]="",Table3[[#This Row],[Account Legal Name]],Table3[[#This Row],[Top Parent Account]])</f>
        <v>Postes Registros y Aislamientos</v>
      </c>
      <c r="H4385" s="1"/>
    </row>
    <row r="4386" spans="1:8" x14ac:dyDescent="0.35">
      <c r="A4386" s="21"/>
      <c r="B4386" t="s">
        <v>1006</v>
      </c>
      <c r="C4386" t="s">
        <v>6</v>
      </c>
      <c r="D4386" t="s">
        <v>2453</v>
      </c>
      <c r="F4386" s="1">
        <v>45827</v>
      </c>
      <c r="G4386" t="str">
        <f>IF(Table3[[#This Row],[Top Parent Account]]="",Table3[[#This Row],[Account Legal Name]],Table3[[#This Row],[Top Parent Account]])</f>
        <v>Agrícola 3 marias</v>
      </c>
      <c r="H4386" s="1"/>
    </row>
    <row r="4387" spans="1:8" x14ac:dyDescent="0.35">
      <c r="A4387" s="21"/>
      <c r="B4387" t="s">
        <v>925</v>
      </c>
      <c r="C4387" t="s">
        <v>6</v>
      </c>
      <c r="D4387" t="s">
        <v>2498</v>
      </c>
      <c r="F4387" s="1">
        <v>45827</v>
      </c>
      <c r="G4387" t="str">
        <f>IF(Table3[[#This Row],[Top Parent Account]]="",Table3[[#This Row],[Account Legal Name]],Table3[[#This Row],[Top Parent Account]])</f>
        <v>GUSTAVO CAMPOS ZAMORA</v>
      </c>
      <c r="H4387" s="1"/>
    </row>
    <row r="4388" spans="1:8" x14ac:dyDescent="0.35">
      <c r="A4388" s="21"/>
      <c r="B4388" t="s">
        <v>114</v>
      </c>
      <c r="C4388" t="s">
        <v>6</v>
      </c>
      <c r="D4388" t="s">
        <v>446</v>
      </c>
      <c r="F4388" s="1">
        <v>45827</v>
      </c>
      <c r="G4388" t="str">
        <f>IF(Table3[[#This Row],[Top Parent Account]]="",Table3[[#This Row],[Account Legal Name]],Table3[[#This Row],[Top Parent Account]])</f>
        <v>Unilever de México</v>
      </c>
      <c r="H4388" s="1"/>
    </row>
    <row r="4389" spans="1:8" x14ac:dyDescent="0.35">
      <c r="A4389" s="21"/>
      <c r="B4389" t="s">
        <v>38</v>
      </c>
      <c r="C4389" t="s">
        <v>6</v>
      </c>
      <c r="D4389" t="s">
        <v>815</v>
      </c>
      <c r="F4389" s="1">
        <v>45827</v>
      </c>
      <c r="G4389" t="str">
        <f>IF(Table3[[#This Row],[Top Parent Account]]="",Table3[[#This Row],[Account Legal Name]],Table3[[#This Row],[Top Parent Account]])</f>
        <v>MAQUINARIA VARUSA DEL BAJIO</v>
      </c>
      <c r="H4389" s="1"/>
    </row>
    <row r="4390" spans="1:8" x14ac:dyDescent="0.35">
      <c r="A4390" s="21"/>
      <c r="B4390" t="s">
        <v>88</v>
      </c>
      <c r="C4390" t="s">
        <v>6</v>
      </c>
      <c r="D4390" t="s">
        <v>2454</v>
      </c>
      <c r="F4390" s="1">
        <v>45827</v>
      </c>
      <c r="G4390" t="str">
        <f>IF(Table3[[#This Row],[Top Parent Account]]="",Table3[[#This Row],[Account Legal Name]],Table3[[#This Row],[Top Parent Account]])</f>
        <v>Pharmet</v>
      </c>
      <c r="H4390" s="1"/>
    </row>
    <row r="4391" spans="1:8" x14ac:dyDescent="0.35">
      <c r="A4391" s="21"/>
      <c r="B4391" t="s">
        <v>14</v>
      </c>
      <c r="C4391" t="s">
        <v>6</v>
      </c>
      <c r="D4391" t="s">
        <v>2526</v>
      </c>
      <c r="F4391" s="1">
        <v>45827</v>
      </c>
      <c r="G4391" t="str">
        <f>IF(Table3[[#This Row],[Top Parent Account]]="",Table3[[#This Row],[Account Legal Name]],Table3[[#This Row],[Top Parent Account]])</f>
        <v>Tecnienvases plásticos</v>
      </c>
      <c r="H4391" s="1"/>
    </row>
    <row r="4392" spans="1:8" x14ac:dyDescent="0.35">
      <c r="A4392" s="21"/>
      <c r="B4392" t="s">
        <v>2309</v>
      </c>
      <c r="C4392" t="s">
        <v>1150</v>
      </c>
      <c r="D4392" t="s">
        <v>2527</v>
      </c>
      <c r="F4392" s="1">
        <v>45827</v>
      </c>
      <c r="G4392" t="str">
        <f>IF(Table3[[#This Row],[Top Parent Account]]="",Table3[[#This Row],[Account Legal Name]],Table3[[#This Row],[Top Parent Account]])</f>
        <v>Industrias Tugal</v>
      </c>
      <c r="H4392" s="1"/>
    </row>
    <row r="4393" spans="1:8" x14ac:dyDescent="0.35">
      <c r="A4393" s="21"/>
      <c r="B4393" t="s">
        <v>38</v>
      </c>
      <c r="C4393" t="s">
        <v>6</v>
      </c>
      <c r="D4393" t="s">
        <v>2510</v>
      </c>
      <c r="F4393" s="1">
        <v>45827</v>
      </c>
      <c r="G4393" t="str">
        <f>IF(Table3[[#This Row],[Top Parent Account]]="",Table3[[#This Row],[Account Legal Name]],Table3[[#This Row],[Top Parent Account]])</f>
        <v>Extracciones y Triturados del Pacifico</v>
      </c>
      <c r="H4393" s="1"/>
    </row>
    <row r="4394" spans="1:8" x14ac:dyDescent="0.35">
      <c r="A4394" s="21"/>
      <c r="B4394" t="s">
        <v>43</v>
      </c>
      <c r="C4394" t="s">
        <v>6</v>
      </c>
      <c r="D4394" t="s">
        <v>2511</v>
      </c>
      <c r="F4394" s="1">
        <v>45827</v>
      </c>
      <c r="G4394" t="str">
        <f>IF(Table3[[#This Row],[Top Parent Account]]="",Table3[[#This Row],[Account Legal Name]],Table3[[#This Row],[Top Parent Account]])</f>
        <v>Rancho Aguamarina</v>
      </c>
      <c r="H4394" s="1"/>
    </row>
    <row r="4395" spans="1:8" x14ac:dyDescent="0.35">
      <c r="A4395" s="21"/>
      <c r="B4395" t="s">
        <v>10</v>
      </c>
      <c r="C4395" t="s">
        <v>6</v>
      </c>
      <c r="D4395" t="s">
        <v>2499</v>
      </c>
      <c r="F4395" s="1">
        <v>45827</v>
      </c>
      <c r="G4395" t="str">
        <f>IF(Table3[[#This Row],[Top Parent Account]]="",Table3[[#This Row],[Account Legal Name]],Table3[[#This Row],[Top Parent Account]])</f>
        <v>Arnime</v>
      </c>
      <c r="H4395" s="1"/>
    </row>
    <row r="4396" spans="1:8" x14ac:dyDescent="0.35">
      <c r="A4396" s="21"/>
      <c r="B4396" t="s">
        <v>29</v>
      </c>
      <c r="C4396" t="s">
        <v>6</v>
      </c>
      <c r="D4396" t="s">
        <v>2455</v>
      </c>
      <c r="F4396" s="1">
        <v>45827</v>
      </c>
      <c r="G4396" t="str">
        <f>IF(Table3[[#This Row],[Top Parent Account]]="",Table3[[#This Row],[Account Legal Name]],Table3[[#This Row],[Top Parent Account]])</f>
        <v>Alpe Fresh</v>
      </c>
      <c r="H4396" s="1"/>
    </row>
    <row r="4397" spans="1:8" x14ac:dyDescent="0.35">
      <c r="A4397" s="21"/>
      <c r="B4397" t="s">
        <v>18</v>
      </c>
      <c r="C4397" t="s">
        <v>6</v>
      </c>
      <c r="D4397" t="s">
        <v>2456</v>
      </c>
      <c r="F4397" s="1">
        <v>45827</v>
      </c>
      <c r="G4397" t="str">
        <f>IF(Table3[[#This Row],[Top Parent Account]]="",Table3[[#This Row],[Account Legal Name]],Table3[[#This Row],[Top Parent Account]])</f>
        <v>Triturados Sol y Luna</v>
      </c>
      <c r="H4397" s="1"/>
    </row>
    <row r="4398" spans="1:8" x14ac:dyDescent="0.35">
      <c r="A4398" s="21"/>
      <c r="B4398" t="s">
        <v>88</v>
      </c>
      <c r="C4398" t="s">
        <v>6</v>
      </c>
      <c r="D4398" t="s">
        <v>980</v>
      </c>
      <c r="F4398" s="1">
        <v>45827</v>
      </c>
      <c r="G4398" t="str">
        <f>IF(Table3[[#This Row],[Top Parent Account]]="",Table3[[#This Row],[Account Legal Name]],Table3[[#This Row],[Top Parent Account]])</f>
        <v>Instacar</v>
      </c>
      <c r="H4398" s="1"/>
    </row>
    <row r="4399" spans="1:8" x14ac:dyDescent="0.35">
      <c r="A4399" s="21"/>
      <c r="B4399" t="s">
        <v>38</v>
      </c>
      <c r="C4399" t="s">
        <v>6</v>
      </c>
      <c r="D4399" t="s">
        <v>2512</v>
      </c>
      <c r="F4399" s="1">
        <v>45827</v>
      </c>
      <c r="G4399" t="str">
        <f>IF(Table3[[#This Row],[Top Parent Account]]="",Table3[[#This Row],[Account Legal Name]],Table3[[#This Row],[Top Parent Account]])</f>
        <v>Aceros Alcade</v>
      </c>
      <c r="H4399" s="1"/>
    </row>
    <row r="4400" spans="1:8" x14ac:dyDescent="0.35">
      <c r="A4400" s="21"/>
      <c r="B4400" t="s">
        <v>38</v>
      </c>
      <c r="C4400" t="s">
        <v>6</v>
      </c>
      <c r="D4400" t="s">
        <v>506</v>
      </c>
      <c r="F4400" s="1">
        <v>45827</v>
      </c>
      <c r="G4400" t="str">
        <f>IF(Table3[[#This Row],[Top Parent Account]]="",Table3[[#This Row],[Account Legal Name]],Table3[[#This Row],[Top Parent Account]])</f>
        <v>Grupo Acerero</v>
      </c>
      <c r="H4400" s="1"/>
    </row>
    <row r="4401" spans="1:8" x14ac:dyDescent="0.35">
      <c r="A4401" s="21"/>
      <c r="B4401" t="s">
        <v>1899</v>
      </c>
      <c r="C4401" t="s">
        <v>6</v>
      </c>
      <c r="D4401" t="s">
        <v>2500</v>
      </c>
      <c r="F4401" s="1">
        <v>45827</v>
      </c>
      <c r="G4401" t="str">
        <f>IF(Table3[[#This Row],[Top Parent Account]]="",Table3[[#This Row],[Account Legal Name]],Table3[[#This Row],[Top Parent Account]])</f>
        <v>VIDRIO BISEL</v>
      </c>
      <c r="H4401" s="1"/>
    </row>
    <row r="4402" spans="1:8" x14ac:dyDescent="0.35">
      <c r="A4402" s="21"/>
      <c r="B4402" t="s">
        <v>21</v>
      </c>
      <c r="C4402" t="s">
        <v>6</v>
      </c>
      <c r="D4402" t="s">
        <v>1597</v>
      </c>
      <c r="F4402" s="1">
        <v>45827</v>
      </c>
      <c r="G4402" t="str">
        <f>IF(Table3[[#This Row],[Top Parent Account]]="",Table3[[#This Row],[Account Legal Name]],Table3[[#This Row],[Top Parent Account]])</f>
        <v>Baco Transportes</v>
      </c>
      <c r="H4402" s="1"/>
    </row>
    <row r="4403" spans="1:8" x14ac:dyDescent="0.35">
      <c r="A4403" s="21"/>
      <c r="B4403" t="s">
        <v>38</v>
      </c>
      <c r="C4403" t="s">
        <v>6</v>
      </c>
      <c r="D4403" t="s">
        <v>507</v>
      </c>
      <c r="F4403" s="1">
        <v>45826</v>
      </c>
      <c r="G4403" t="str">
        <f>IF(Table3[[#This Row],[Top Parent Account]]="",Table3[[#This Row],[Account Legal Name]],Table3[[#This Row],[Top Parent Account]])</f>
        <v>Gim Grupo Industrial Mexicano</v>
      </c>
      <c r="H4403" s="1"/>
    </row>
    <row r="4404" spans="1:8" x14ac:dyDescent="0.35">
      <c r="A4404" s="21"/>
      <c r="B4404" t="s">
        <v>37</v>
      </c>
      <c r="C4404" t="s">
        <v>6</v>
      </c>
      <c r="D4404" t="s">
        <v>2653</v>
      </c>
      <c r="F4404" s="1">
        <v>45826</v>
      </c>
      <c r="G4404" t="str">
        <f>IF(Table3[[#This Row],[Top Parent Account]]="",Table3[[#This Row],[Account Legal Name]],Table3[[#This Row],[Top Parent Account]])</f>
        <v>Carolina Block</v>
      </c>
      <c r="H4404" s="1"/>
    </row>
    <row r="4405" spans="1:8" x14ac:dyDescent="0.35">
      <c r="A4405" s="21"/>
      <c r="B4405" t="s">
        <v>207</v>
      </c>
      <c r="C4405" t="s">
        <v>6</v>
      </c>
      <c r="D4405" t="s">
        <v>2263</v>
      </c>
      <c r="F4405" s="1">
        <v>45826</v>
      </c>
      <c r="G4405" t="str">
        <f>IF(Table3[[#This Row],[Top Parent Account]]="",Table3[[#This Row],[Account Legal Name]],Table3[[#This Row],[Top Parent Account]])</f>
        <v>La Otra Post, Eventos y Video</v>
      </c>
      <c r="H4405" s="1"/>
    </row>
    <row r="4406" spans="1:8" x14ac:dyDescent="0.35">
      <c r="A4406" s="21"/>
      <c r="B4406" t="s">
        <v>208</v>
      </c>
      <c r="C4406" t="s">
        <v>6</v>
      </c>
      <c r="D4406" t="s">
        <v>1714</v>
      </c>
      <c r="F4406" s="1">
        <v>45826</v>
      </c>
      <c r="G4406" t="str">
        <f>IF(Table3[[#This Row],[Top Parent Account]]="",Table3[[#This Row],[Account Legal Name]],Table3[[#This Row],[Top Parent Account]])</f>
        <v>SERTI</v>
      </c>
      <c r="H4406" s="1"/>
    </row>
    <row r="4407" spans="1:8" x14ac:dyDescent="0.35">
      <c r="A4407" s="21"/>
      <c r="B4407" t="s">
        <v>969</v>
      </c>
      <c r="C4407" t="s">
        <v>6</v>
      </c>
      <c r="D4407" t="s">
        <v>591</v>
      </c>
      <c r="F4407" s="1">
        <v>45826</v>
      </c>
      <c r="G4407" t="str">
        <f>IF(Table3[[#This Row],[Top Parent Account]]="",Table3[[#This Row],[Account Legal Name]],Table3[[#This Row],[Top Parent Account]])</f>
        <v>MEXIPC</v>
      </c>
      <c r="H4407" s="1"/>
    </row>
    <row r="4408" spans="1:8" x14ac:dyDescent="0.35">
      <c r="A4408" s="21"/>
      <c r="B4408" t="s">
        <v>18</v>
      </c>
      <c r="C4408" t="s">
        <v>6</v>
      </c>
      <c r="D4408" t="s">
        <v>2457</v>
      </c>
      <c r="F4408" s="1">
        <v>45826</v>
      </c>
      <c r="G4408" t="str">
        <f>IF(Table3[[#This Row],[Top Parent Account]]="",Table3[[#This Row],[Account Legal Name]],Table3[[#This Row],[Top Parent Account]])</f>
        <v>Quanti Solutions</v>
      </c>
      <c r="H4408" s="1"/>
    </row>
    <row r="4409" spans="1:8" x14ac:dyDescent="0.35">
      <c r="A4409" s="21"/>
      <c r="B4409" t="s">
        <v>28</v>
      </c>
      <c r="C4409" t="s">
        <v>6</v>
      </c>
      <c r="D4409" t="s">
        <v>2568</v>
      </c>
      <c r="F4409" s="1">
        <v>45826</v>
      </c>
      <c r="G4409" t="str">
        <f>IF(Table3[[#This Row],[Top Parent Account]]="",Table3[[#This Row],[Account Legal Name]],Table3[[#This Row],[Top Parent Account]])</f>
        <v>Lineas 1 de Mayo</v>
      </c>
      <c r="H4409" s="1"/>
    </row>
    <row r="4410" spans="1:8" x14ac:dyDescent="0.35">
      <c r="A4410" s="21"/>
      <c r="B4410" t="s">
        <v>116</v>
      </c>
      <c r="C4410" t="s">
        <v>6</v>
      </c>
      <c r="D4410" t="s">
        <v>2513</v>
      </c>
      <c r="F4410" s="1">
        <v>45826</v>
      </c>
      <c r="G4410" t="str">
        <f>IF(Table3[[#This Row],[Top Parent Account]]="",Table3[[#This Row],[Account Legal Name]],Table3[[#This Row],[Top Parent Account]])</f>
        <v>GXO Logistics</v>
      </c>
      <c r="H4410" s="1"/>
    </row>
    <row r="4411" spans="1:8" x14ac:dyDescent="0.35">
      <c r="A4411" s="21"/>
      <c r="B4411" t="s">
        <v>21</v>
      </c>
      <c r="C4411" t="s">
        <v>6</v>
      </c>
      <c r="D4411" t="s">
        <v>2458</v>
      </c>
      <c r="F4411" s="1">
        <v>45826</v>
      </c>
      <c r="G4411" t="str">
        <f>IF(Table3[[#This Row],[Top Parent Account]]="",Table3[[#This Row],[Account Legal Name]],Table3[[#This Row],[Top Parent Account]])</f>
        <v>Dmtress</v>
      </c>
      <c r="H4411" s="1"/>
    </row>
    <row r="4412" spans="1:8" x14ac:dyDescent="0.35">
      <c r="A4412" s="21"/>
      <c r="B4412" t="s">
        <v>43</v>
      </c>
      <c r="C4412" t="s">
        <v>6</v>
      </c>
      <c r="D4412" t="s">
        <v>2459</v>
      </c>
      <c r="F4412" s="1">
        <v>45826</v>
      </c>
      <c r="G4412" t="str">
        <f>IF(Table3[[#This Row],[Top Parent Account]]="",Table3[[#This Row],[Account Legal Name]],Table3[[#This Row],[Top Parent Account]])</f>
        <v>Milacron</v>
      </c>
      <c r="H4412" s="1"/>
    </row>
    <row r="4413" spans="1:8" x14ac:dyDescent="0.35">
      <c r="A4413" s="21"/>
      <c r="B4413" t="s">
        <v>820</v>
      </c>
      <c r="C4413" t="s">
        <v>6</v>
      </c>
      <c r="D4413" t="s">
        <v>2460</v>
      </c>
      <c r="F4413" s="1">
        <v>45826</v>
      </c>
      <c r="G4413" t="str">
        <f>IF(Table3[[#This Row],[Top Parent Account]]="",Table3[[#This Row],[Account Legal Name]],Table3[[#This Row],[Top Parent Account]])</f>
        <v>Dannova</v>
      </c>
      <c r="H4413" s="1"/>
    </row>
    <row r="4414" spans="1:8" x14ac:dyDescent="0.35">
      <c r="A4414" s="21"/>
      <c r="B4414" t="s">
        <v>18</v>
      </c>
      <c r="C4414" t="s">
        <v>6</v>
      </c>
      <c r="D4414" t="s">
        <v>2461</v>
      </c>
      <c r="F4414" s="1">
        <v>45826</v>
      </c>
      <c r="G4414" t="str">
        <f>IF(Table3[[#This Row],[Top Parent Account]]="",Table3[[#This Row],[Account Legal Name]],Table3[[#This Row],[Top Parent Account]])</f>
        <v>Autotransportes Generales de Carga Tamez</v>
      </c>
      <c r="H4414" s="1"/>
    </row>
    <row r="4415" spans="1:8" x14ac:dyDescent="0.35">
      <c r="A4415" s="21"/>
      <c r="B4415" t="s">
        <v>25</v>
      </c>
      <c r="C4415" t="s">
        <v>6</v>
      </c>
      <c r="D4415" t="s">
        <v>1619</v>
      </c>
      <c r="F4415" s="1">
        <v>45826</v>
      </c>
      <c r="G4415" t="str">
        <f>IF(Table3[[#This Row],[Top Parent Account]]="",Table3[[#This Row],[Account Legal Name]],Table3[[#This Row],[Top Parent Account]])</f>
        <v>Sociedad Cooperativa De Transporte De Segunda Clase Ometochtli</v>
      </c>
      <c r="H4415" s="1"/>
    </row>
    <row r="4416" spans="1:8" x14ac:dyDescent="0.35">
      <c r="A4416" s="21"/>
      <c r="B4416" t="s">
        <v>25</v>
      </c>
      <c r="C4416" t="s">
        <v>6</v>
      </c>
      <c r="D4416" t="s">
        <v>1183</v>
      </c>
      <c r="F4416" s="1">
        <v>45826</v>
      </c>
      <c r="G4416" t="str">
        <f>IF(Table3[[#This Row],[Top Parent Account]]="",Table3[[#This Row],[Account Legal Name]],Table3[[#This Row],[Top Parent Account]])</f>
        <v>Maquinaria y Tractores de Morelos</v>
      </c>
      <c r="H4416" s="1"/>
    </row>
    <row r="4417" spans="1:8" x14ac:dyDescent="0.35">
      <c r="A4417" s="21"/>
      <c r="B4417" t="s">
        <v>77</v>
      </c>
      <c r="C4417" t="s">
        <v>6</v>
      </c>
      <c r="D4417" t="s">
        <v>2462</v>
      </c>
      <c r="F4417" s="1">
        <v>45826</v>
      </c>
      <c r="G4417" t="str">
        <f>IF(Table3[[#This Row],[Top Parent Account]]="",Table3[[#This Row],[Account Legal Name]],Table3[[#This Row],[Top Parent Account]])</f>
        <v>Agropecuaria Sans Souci</v>
      </c>
      <c r="H4417" s="1"/>
    </row>
    <row r="4418" spans="1:8" x14ac:dyDescent="0.35">
      <c r="A4418" s="21"/>
      <c r="B4418" t="s">
        <v>56</v>
      </c>
      <c r="C4418" t="s">
        <v>6</v>
      </c>
      <c r="D4418" t="s">
        <v>2463</v>
      </c>
      <c r="F4418" s="1">
        <v>45826</v>
      </c>
      <c r="G4418" t="str">
        <f>IF(Table3[[#This Row],[Top Parent Account]]="",Table3[[#This Row],[Account Legal Name]],Table3[[#This Row],[Top Parent Account]])</f>
        <v>Anfora International</v>
      </c>
      <c r="H4418" s="1"/>
    </row>
    <row r="4419" spans="1:8" x14ac:dyDescent="0.35">
      <c r="A4419" s="21"/>
      <c r="B4419" t="s">
        <v>88</v>
      </c>
      <c r="C4419" t="s">
        <v>6</v>
      </c>
      <c r="D4419" t="s">
        <v>2464</v>
      </c>
      <c r="F4419" s="1">
        <v>45826</v>
      </c>
      <c r="G4419" t="str">
        <f>IF(Table3[[#This Row],[Top Parent Account]]="",Table3[[#This Row],[Account Legal Name]],Table3[[#This Row],[Top Parent Account]])</f>
        <v>INGENIERIA EN INSTALACIONES EN GASES MEDICINALES</v>
      </c>
      <c r="H4419" s="1"/>
    </row>
    <row r="4420" spans="1:8" x14ac:dyDescent="0.35">
      <c r="A4420" s="21"/>
      <c r="B4420" t="s">
        <v>10</v>
      </c>
      <c r="C4420" t="s">
        <v>6</v>
      </c>
      <c r="D4420" t="s">
        <v>773</v>
      </c>
      <c r="F4420" s="1">
        <v>45826</v>
      </c>
      <c r="G4420" t="str">
        <f>IF(Table3[[#This Row],[Top Parent Account]]="",Table3[[#This Row],[Account Legal Name]],Table3[[#This Row],[Top Parent Account]])</f>
        <v>Arancia Industrial</v>
      </c>
      <c r="H4420" s="1"/>
    </row>
    <row r="4421" spans="1:8" x14ac:dyDescent="0.35">
      <c r="A4421" s="21"/>
      <c r="B4421" t="s">
        <v>280</v>
      </c>
      <c r="C4421" t="s">
        <v>6</v>
      </c>
      <c r="D4421" t="s">
        <v>2465</v>
      </c>
      <c r="F4421" s="1">
        <v>45826</v>
      </c>
      <c r="G4421" t="str">
        <f>IF(Table3[[#This Row],[Top Parent Account]]="",Table3[[#This Row],[Account Legal Name]],Table3[[#This Row],[Top Parent Account]])</f>
        <v>ACUICOLA BREYEAN</v>
      </c>
      <c r="H4421" s="1"/>
    </row>
    <row r="4422" spans="1:8" x14ac:dyDescent="0.35">
      <c r="A4422" s="21"/>
      <c r="B4422" t="s">
        <v>78</v>
      </c>
      <c r="C4422" t="s">
        <v>6</v>
      </c>
      <c r="D4422" t="s">
        <v>2132</v>
      </c>
      <c r="F4422" s="1">
        <v>45826</v>
      </c>
      <c r="G4422" t="str">
        <f>IF(Table3[[#This Row],[Top Parent Account]]="",Table3[[#This Row],[Account Legal Name]],Table3[[#This Row],[Top Parent Account]])</f>
        <v>Driller Cimentaciones</v>
      </c>
      <c r="H4422" s="1"/>
    </row>
    <row r="4423" spans="1:8" x14ac:dyDescent="0.35">
      <c r="A4423" s="21"/>
      <c r="B4423" t="s">
        <v>21</v>
      </c>
      <c r="C4423" t="s">
        <v>6</v>
      </c>
      <c r="D4423" t="s">
        <v>2740</v>
      </c>
      <c r="F4423" s="1">
        <v>45826</v>
      </c>
      <c r="G4423" t="str">
        <f>IF(Table3[[#This Row],[Top Parent Account]]="",Table3[[#This Row],[Account Legal Name]],Table3[[#This Row],[Top Parent Account]])</f>
        <v>David Antonio Plauchu</v>
      </c>
      <c r="H4423" s="1"/>
    </row>
    <row r="4424" spans="1:8" x14ac:dyDescent="0.35">
      <c r="A4424" s="21"/>
      <c r="B4424" t="s">
        <v>88</v>
      </c>
      <c r="C4424" t="s">
        <v>6</v>
      </c>
      <c r="D4424" t="s">
        <v>2466</v>
      </c>
      <c r="F4424" s="1">
        <v>45826</v>
      </c>
      <c r="G4424" t="str">
        <f>IF(Table3[[#This Row],[Top Parent Account]]="",Table3[[#This Row],[Account Legal Name]],Table3[[#This Row],[Top Parent Account]])</f>
        <v>LAVAL TIJUANA</v>
      </c>
      <c r="H4424" s="1"/>
    </row>
    <row r="4425" spans="1:8" x14ac:dyDescent="0.35">
      <c r="A4425" s="21"/>
      <c r="B4425" t="s">
        <v>1006</v>
      </c>
      <c r="C4425" t="s">
        <v>6</v>
      </c>
      <c r="D4425" t="s">
        <v>2467</v>
      </c>
      <c r="F4425" s="1">
        <v>45826</v>
      </c>
      <c r="G4425" t="str">
        <f>IF(Table3[[#This Row],[Top Parent Account]]="",Table3[[#This Row],[Account Legal Name]],Table3[[#This Row],[Top Parent Account]])</f>
        <v>GRUPO AVOFRUSSION DE MICHOACAN</v>
      </c>
      <c r="H4425" s="1"/>
    </row>
    <row r="4426" spans="1:8" x14ac:dyDescent="0.35">
      <c r="A4426" s="21"/>
      <c r="B4426" t="s">
        <v>1006</v>
      </c>
      <c r="C4426" t="s">
        <v>6</v>
      </c>
      <c r="D4426" t="s">
        <v>827</v>
      </c>
      <c r="F4426" s="1">
        <v>45826</v>
      </c>
      <c r="G4426" t="str">
        <f>IF(Table3[[#This Row],[Top Parent Account]]="",Table3[[#This Row],[Account Legal Name]],Table3[[#This Row],[Top Parent Account]])</f>
        <v>Grupo Industrial Kosmos</v>
      </c>
      <c r="H4426" s="1"/>
    </row>
    <row r="4427" spans="1:8" x14ac:dyDescent="0.35">
      <c r="A4427" s="21"/>
      <c r="B4427" t="s">
        <v>38</v>
      </c>
      <c r="C4427" t="s">
        <v>6</v>
      </c>
      <c r="D4427" t="s">
        <v>2514</v>
      </c>
      <c r="F4427" s="1">
        <v>45826</v>
      </c>
      <c r="G4427" t="str">
        <f>IF(Table3[[#This Row],[Top Parent Account]]="",Table3[[#This Row],[Account Legal Name]],Table3[[#This Row],[Top Parent Account]])</f>
        <v>Productos Medellín</v>
      </c>
      <c r="H4427" s="1"/>
    </row>
    <row r="4428" spans="1:8" x14ac:dyDescent="0.35">
      <c r="A4428" s="21"/>
      <c r="B4428" t="s">
        <v>26</v>
      </c>
      <c r="C4428" t="s">
        <v>6</v>
      </c>
      <c r="D4428" t="s">
        <v>546</v>
      </c>
      <c r="F4428" s="1">
        <v>45826</v>
      </c>
      <c r="G4428" t="str">
        <f>IF(Table3[[#This Row],[Top Parent Account]]="",Table3[[#This Row],[Account Legal Name]],Table3[[#This Row],[Top Parent Account]])</f>
        <v>Fynotej</v>
      </c>
      <c r="H4428" s="1"/>
    </row>
    <row r="4429" spans="1:8" x14ac:dyDescent="0.35">
      <c r="A4429" s="21"/>
      <c r="B4429" t="s">
        <v>27</v>
      </c>
      <c r="C4429" t="s">
        <v>6</v>
      </c>
      <c r="D4429" t="s">
        <v>1804</v>
      </c>
      <c r="E4429" t="s">
        <v>1805</v>
      </c>
      <c r="F4429" s="1">
        <v>45825</v>
      </c>
      <c r="G4429" t="str">
        <f>IF(Table3[[#This Row],[Top Parent Account]]="",Table3[[#This Row],[Account Legal Name]],Table3[[#This Row],[Top Parent Account]])</f>
        <v>Argia</v>
      </c>
      <c r="H4429" s="1"/>
    </row>
    <row r="4430" spans="1:8" x14ac:dyDescent="0.35">
      <c r="A4430" s="21"/>
      <c r="B4430" t="s">
        <v>24</v>
      </c>
      <c r="C4430" t="s">
        <v>6</v>
      </c>
      <c r="D4430" t="s">
        <v>2468</v>
      </c>
      <c r="F4430" s="1">
        <v>45825</v>
      </c>
      <c r="G4430" t="str">
        <f>IF(Table3[[#This Row],[Top Parent Account]]="",Table3[[#This Row],[Account Legal Name]],Table3[[#This Row],[Top Parent Account]])</f>
        <v>Acuicola Belpa</v>
      </c>
      <c r="H4430" s="1"/>
    </row>
    <row r="4431" spans="1:8" x14ac:dyDescent="0.35">
      <c r="A4431" s="21"/>
      <c r="B4431" t="s">
        <v>116</v>
      </c>
      <c r="C4431" t="s">
        <v>6</v>
      </c>
      <c r="D4431" t="s">
        <v>2469</v>
      </c>
      <c r="F4431" s="1">
        <v>45825</v>
      </c>
      <c r="G4431" t="str">
        <f>IF(Table3[[#This Row],[Top Parent Account]]="",Table3[[#This Row],[Account Legal Name]],Table3[[#This Row],[Top Parent Account]])</f>
        <v>Tecnolite Iluminación</v>
      </c>
      <c r="H4431" s="1"/>
    </row>
    <row r="4432" spans="1:8" x14ac:dyDescent="0.35">
      <c r="A4432" s="21"/>
      <c r="B4432" t="s">
        <v>88</v>
      </c>
      <c r="C4432" t="s">
        <v>6</v>
      </c>
      <c r="D4432" t="s">
        <v>715</v>
      </c>
      <c r="F4432" s="1">
        <v>45825</v>
      </c>
      <c r="G4432" t="str">
        <f>IF(Table3[[#This Row],[Top Parent Account]]="",Table3[[#This Row],[Account Legal Name]],Table3[[#This Row],[Top Parent Account]])</f>
        <v>Dmarco tortillerias</v>
      </c>
      <c r="H4432" s="1"/>
    </row>
    <row r="4433" spans="1:8" x14ac:dyDescent="0.35">
      <c r="A4433" s="21"/>
      <c r="B4433" t="s">
        <v>14</v>
      </c>
      <c r="C4433" t="s">
        <v>6</v>
      </c>
      <c r="D4433" t="s">
        <v>2528</v>
      </c>
      <c r="F4433" s="1">
        <v>45825</v>
      </c>
      <c r="G4433" t="str">
        <f>IF(Table3[[#This Row],[Top Parent Account]]="",Table3[[#This Row],[Account Legal Name]],Table3[[#This Row],[Top Parent Account]])</f>
        <v>DISTRIBUIDORA DE DULCES Y CACAHUATES DEL REY</v>
      </c>
      <c r="H4433" s="1"/>
    </row>
    <row r="4434" spans="1:8" x14ac:dyDescent="0.35">
      <c r="A4434" s="21"/>
      <c r="B4434" t="s">
        <v>21</v>
      </c>
      <c r="C4434" t="s">
        <v>6</v>
      </c>
      <c r="D4434" t="s">
        <v>2470</v>
      </c>
      <c r="F4434" s="1">
        <v>45825</v>
      </c>
      <c r="G4434" t="str">
        <f>IF(Table3[[#This Row],[Top Parent Account]]="",Table3[[#This Row],[Account Legal Name]],Table3[[#This Row],[Top Parent Account]])</f>
        <v>Vemadec</v>
      </c>
      <c r="H4434" s="1"/>
    </row>
    <row r="4435" spans="1:8" x14ac:dyDescent="0.35">
      <c r="A4435" s="21"/>
      <c r="B4435" t="s">
        <v>169</v>
      </c>
      <c r="C4435" t="s">
        <v>6</v>
      </c>
      <c r="D4435" t="s">
        <v>2471</v>
      </c>
      <c r="F4435" s="1">
        <v>45825</v>
      </c>
      <c r="G4435" t="str">
        <f>IF(Table3[[#This Row],[Top Parent Account]]="",Table3[[#This Row],[Account Legal Name]],Table3[[#This Row],[Top Parent Account]])</f>
        <v>Comercializadora De Llantas Tres Siglos</v>
      </c>
      <c r="H4435" s="1"/>
    </row>
    <row r="4436" spans="1:8" x14ac:dyDescent="0.35">
      <c r="A4436" s="21"/>
      <c r="B4436" t="s">
        <v>70</v>
      </c>
      <c r="C4436" t="s">
        <v>6</v>
      </c>
      <c r="D4436" t="s">
        <v>2472</v>
      </c>
      <c r="F4436" s="1">
        <v>45825</v>
      </c>
      <c r="G4436" t="str">
        <f>IF(Table3[[#This Row],[Top Parent Account]]="",Table3[[#This Row],[Account Legal Name]],Table3[[#This Row],[Top Parent Account]])</f>
        <v>Tec Salud / Hospital Zambrano Hellion</v>
      </c>
      <c r="H4436" s="1"/>
    </row>
    <row r="4437" spans="1:8" x14ac:dyDescent="0.35">
      <c r="A4437" s="21"/>
      <c r="B4437" t="s">
        <v>21</v>
      </c>
      <c r="C4437" t="s">
        <v>6</v>
      </c>
      <c r="D4437" t="s">
        <v>2473</v>
      </c>
      <c r="F4437" s="1">
        <v>45825</v>
      </c>
      <c r="G4437" t="str">
        <f>IF(Table3[[#This Row],[Top Parent Account]]="",Table3[[#This Row],[Account Legal Name]],Table3[[#This Row],[Top Parent Account]])</f>
        <v>Zaga Techos Curvos</v>
      </c>
      <c r="H4437" s="1"/>
    </row>
    <row r="4438" spans="1:8" x14ac:dyDescent="0.35">
      <c r="A4438" s="21"/>
      <c r="B4438" t="s">
        <v>25</v>
      </c>
      <c r="C4438" t="s">
        <v>6</v>
      </c>
      <c r="D4438" t="s">
        <v>2515</v>
      </c>
      <c r="F4438" s="1">
        <v>45825</v>
      </c>
      <c r="G4438" t="str">
        <f>IF(Table3[[#This Row],[Top Parent Account]]="",Table3[[#This Row],[Account Legal Name]],Table3[[#This Row],[Top Parent Account]])</f>
        <v>Transportes Medrano</v>
      </c>
      <c r="H4438" s="1"/>
    </row>
    <row r="4439" spans="1:8" x14ac:dyDescent="0.35">
      <c r="A4439" s="21"/>
      <c r="B4439" t="s">
        <v>88</v>
      </c>
      <c r="C4439" t="s">
        <v>6</v>
      </c>
      <c r="D4439" t="s">
        <v>2476</v>
      </c>
      <c r="E4439" t="s">
        <v>2477</v>
      </c>
      <c r="F4439" s="1">
        <v>45825</v>
      </c>
      <c r="G4439" t="str">
        <f>IF(Table3[[#This Row],[Top Parent Account]]="",Table3[[#This Row],[Account Legal Name]],Table3[[#This Row],[Top Parent Account]])</f>
        <v>Comercializadora Sol de los Arcos</v>
      </c>
      <c r="H4439" s="1"/>
    </row>
    <row r="4440" spans="1:8" x14ac:dyDescent="0.35">
      <c r="A4440" s="21"/>
      <c r="B4440" t="s">
        <v>169</v>
      </c>
      <c r="C4440" t="s">
        <v>6</v>
      </c>
      <c r="D4440" t="s">
        <v>2474</v>
      </c>
      <c r="F4440" s="1">
        <v>45825</v>
      </c>
      <c r="G4440" t="str">
        <f>IF(Table3[[#This Row],[Top Parent Account]]="",Table3[[#This Row],[Account Legal Name]],Table3[[#This Row],[Top Parent Account]])</f>
        <v>Embotelladora Mayol</v>
      </c>
      <c r="H4440" s="1"/>
    </row>
    <row r="4441" spans="1:8" x14ac:dyDescent="0.35">
      <c r="A4441" s="21"/>
      <c r="B4441" t="s">
        <v>12</v>
      </c>
      <c r="C4441" t="s">
        <v>6</v>
      </c>
      <c r="D4441" t="s">
        <v>2475</v>
      </c>
      <c r="F4441" s="1">
        <v>45825</v>
      </c>
      <c r="G4441" t="str">
        <f>IF(Table3[[#This Row],[Top Parent Account]]="",Table3[[#This Row],[Account Legal Name]],Table3[[#This Row],[Top Parent Account]])</f>
        <v>Marca Prefabricados</v>
      </c>
      <c r="H4441" s="1"/>
    </row>
    <row r="4442" spans="1:8" x14ac:dyDescent="0.35">
      <c r="A4442" s="21"/>
      <c r="B4442" t="s">
        <v>925</v>
      </c>
      <c r="C4442" t="s">
        <v>6</v>
      </c>
      <c r="D4442" t="s">
        <v>2478</v>
      </c>
      <c r="F4442" s="1">
        <v>45825</v>
      </c>
      <c r="G4442" t="str">
        <f>IF(Table3[[#This Row],[Top Parent Account]]="",Table3[[#This Row],[Account Legal Name]],Table3[[#This Row],[Top Parent Account]])</f>
        <v>RECUBRIMIENTOS ECOLÓGICOS Y RECICLADOS</v>
      </c>
      <c r="H4442" s="1"/>
    </row>
    <row r="4443" spans="1:8" x14ac:dyDescent="0.35">
      <c r="A4443" s="21"/>
      <c r="B4443" t="s">
        <v>969</v>
      </c>
      <c r="C4443" t="s">
        <v>6</v>
      </c>
      <c r="D4443" t="s">
        <v>320</v>
      </c>
      <c r="F4443" s="1">
        <v>45825</v>
      </c>
      <c r="G4443" t="str">
        <f>IF(Table3[[#This Row],[Top Parent Account]]="",Table3[[#This Row],[Account Legal Name]],Table3[[#This Row],[Top Parent Account]])</f>
        <v>ALI &amp; PROPEC</v>
      </c>
      <c r="H4443" s="1"/>
    </row>
    <row r="4444" spans="1:8" x14ac:dyDescent="0.35">
      <c r="A4444" s="21"/>
      <c r="B4444" t="s">
        <v>77</v>
      </c>
      <c r="C4444" t="s">
        <v>6</v>
      </c>
      <c r="D4444" t="s">
        <v>2480</v>
      </c>
      <c r="F4444" s="1">
        <v>45825</v>
      </c>
      <c r="G4444" t="str">
        <f>IF(Table3[[#This Row],[Top Parent Account]]="",Table3[[#This Row],[Account Legal Name]],Table3[[#This Row],[Top Parent Account]])</f>
        <v>SERVICIOS ESPECIALIZADOS EN MANTENIMIENTO AGUA Y AHORRO DE ENERGIA</v>
      </c>
      <c r="H4444" s="1"/>
    </row>
    <row r="4445" spans="1:8" x14ac:dyDescent="0.35">
      <c r="A4445" s="21"/>
      <c r="B4445" t="s">
        <v>88</v>
      </c>
      <c r="C4445" t="s">
        <v>6</v>
      </c>
      <c r="D4445" t="s">
        <v>2479</v>
      </c>
      <c r="F4445" s="1">
        <v>45825</v>
      </c>
      <c r="G4445" t="str">
        <f>IF(Table3[[#This Row],[Top Parent Account]]="",Table3[[#This Row],[Account Legal Name]],Table3[[#This Row],[Top Parent Account]])</f>
        <v>Sitma de Mesoamérica</v>
      </c>
      <c r="H4445" s="1"/>
    </row>
    <row r="4446" spans="1:8" x14ac:dyDescent="0.35">
      <c r="A4446" s="21"/>
      <c r="B4446" t="s">
        <v>32</v>
      </c>
      <c r="C4446" t="s">
        <v>6</v>
      </c>
      <c r="D4446" t="s">
        <v>2516</v>
      </c>
      <c r="F4446" s="1">
        <v>45825</v>
      </c>
      <c r="G4446" t="str">
        <f>IF(Table3[[#This Row],[Top Parent Account]]="",Table3[[#This Row],[Account Legal Name]],Table3[[#This Row],[Top Parent Account]])</f>
        <v>Autotransporte y Logística Especializada XA</v>
      </c>
      <c r="H4446" s="1"/>
    </row>
    <row r="4447" spans="1:8" x14ac:dyDescent="0.35">
      <c r="A4447" s="21"/>
      <c r="B4447" t="s">
        <v>32</v>
      </c>
      <c r="C4447" t="s">
        <v>6</v>
      </c>
      <c r="D4447" t="s">
        <v>2264</v>
      </c>
      <c r="F4447" s="1">
        <v>45825</v>
      </c>
      <c r="G4447" t="str">
        <f>IF(Table3[[#This Row],[Top Parent Account]]="",Table3[[#This Row],[Account Legal Name]],Table3[[#This Row],[Top Parent Account]])</f>
        <v>Traxys Mexico</v>
      </c>
      <c r="H4447" s="1"/>
    </row>
    <row r="4448" spans="1:8" x14ac:dyDescent="0.35">
      <c r="A4448" s="21"/>
      <c r="B4448" t="s">
        <v>14</v>
      </c>
      <c r="C4448" t="s">
        <v>6</v>
      </c>
      <c r="D4448" t="s">
        <v>728</v>
      </c>
      <c r="F4448" s="1">
        <v>45825</v>
      </c>
      <c r="G4448" t="str">
        <f>IF(Table3[[#This Row],[Top Parent Account]]="",Table3[[#This Row],[Account Legal Name]],Table3[[#This Row],[Top Parent Account]])</f>
        <v>Keymax Comercializadora</v>
      </c>
      <c r="H4448" s="1"/>
    </row>
    <row r="4449" spans="1:8" x14ac:dyDescent="0.35">
      <c r="A4449" s="21"/>
      <c r="B4449" t="s">
        <v>78</v>
      </c>
      <c r="C4449" t="s">
        <v>6</v>
      </c>
      <c r="D4449" t="s">
        <v>2481</v>
      </c>
      <c r="F4449" s="1">
        <v>45825</v>
      </c>
      <c r="G4449" t="str">
        <f>IF(Table3[[#This Row],[Top Parent Account]]="",Table3[[#This Row],[Account Legal Name]],Table3[[#This Row],[Top Parent Account]])</f>
        <v>Forrajera Acatepec</v>
      </c>
      <c r="H4449" s="1"/>
    </row>
    <row r="4450" spans="1:8" x14ac:dyDescent="0.35">
      <c r="A4450" s="21"/>
      <c r="B4450" t="s">
        <v>1131</v>
      </c>
      <c r="C4450" t="s">
        <v>6</v>
      </c>
      <c r="D4450" t="s">
        <v>2482</v>
      </c>
      <c r="F4450" s="1">
        <v>45825</v>
      </c>
      <c r="G4450" t="str">
        <f>IF(Table3[[#This Row],[Top Parent Account]]="",Table3[[#This Row],[Account Legal Name]],Table3[[#This Row],[Top Parent Account]])</f>
        <v>Eficiencia en Sistemas de Energía Renovable del Centro</v>
      </c>
      <c r="H4450" s="1"/>
    </row>
    <row r="4451" spans="1:8" x14ac:dyDescent="0.35">
      <c r="A4451" s="21"/>
      <c r="B4451" t="s">
        <v>169</v>
      </c>
      <c r="C4451" t="s">
        <v>6</v>
      </c>
      <c r="D4451" t="s">
        <v>841</v>
      </c>
      <c r="F4451" s="1">
        <v>45825</v>
      </c>
      <c r="G4451" t="str">
        <f>IF(Table3[[#This Row],[Top Parent Account]]="",Table3[[#This Row],[Account Legal Name]],Table3[[#This Row],[Top Parent Account]])</f>
        <v>Comercializadora de granos licona</v>
      </c>
      <c r="H4451" s="1"/>
    </row>
    <row r="4452" spans="1:8" x14ac:dyDescent="0.35">
      <c r="A4452" s="21"/>
      <c r="B4452" t="s">
        <v>70</v>
      </c>
      <c r="C4452" t="s">
        <v>6</v>
      </c>
      <c r="D4452" t="s">
        <v>2114</v>
      </c>
      <c r="F4452" s="1">
        <v>45825</v>
      </c>
      <c r="G4452" t="str">
        <f>IF(Table3[[#This Row],[Top Parent Account]]="",Table3[[#This Row],[Account Legal Name]],Table3[[#This Row],[Top Parent Account]])</f>
        <v>Investigación y Hematología</v>
      </c>
      <c r="H4452" s="1"/>
    </row>
    <row r="4453" spans="1:8" x14ac:dyDescent="0.35">
      <c r="A4453" s="21"/>
      <c r="B4453" t="s">
        <v>21</v>
      </c>
      <c r="C4453" t="s">
        <v>6</v>
      </c>
      <c r="D4453" t="s">
        <v>2484</v>
      </c>
      <c r="F4453" s="1">
        <v>45825</v>
      </c>
      <c r="G4453" t="str">
        <f>IF(Table3[[#This Row],[Top Parent Account]]="",Table3[[#This Row],[Account Legal Name]],Table3[[#This Row],[Top Parent Account]])</f>
        <v>Comercializadora Ganso</v>
      </c>
      <c r="H4453" s="1"/>
    </row>
    <row r="4454" spans="1:8" x14ac:dyDescent="0.35">
      <c r="A4454" s="21"/>
      <c r="B4454" t="s">
        <v>1511</v>
      </c>
      <c r="C4454" t="s">
        <v>6</v>
      </c>
      <c r="D4454" t="s">
        <v>596</v>
      </c>
      <c r="F4454" s="1">
        <v>45825</v>
      </c>
      <c r="G4454" t="str">
        <f>IF(Table3[[#This Row],[Top Parent Account]]="",Table3[[#This Row],[Account Legal Name]],Table3[[#This Row],[Top Parent Account]])</f>
        <v>Supra Desarrollos Tecnológicos</v>
      </c>
      <c r="H4454" s="1"/>
    </row>
    <row r="4455" spans="1:8" x14ac:dyDescent="0.35">
      <c r="A4455" s="21"/>
      <c r="B4455" t="s">
        <v>78</v>
      </c>
      <c r="C4455" t="s">
        <v>6</v>
      </c>
      <c r="D4455" t="s">
        <v>2485</v>
      </c>
      <c r="F4455" s="1">
        <v>45825</v>
      </c>
      <c r="G4455" t="str">
        <f>IF(Table3[[#This Row],[Top Parent Account]]="",Table3[[#This Row],[Account Legal Name]],Table3[[#This Row],[Top Parent Account]])</f>
        <v>SONIKA EQUIPOS MEDICOS</v>
      </c>
      <c r="H4455" s="1"/>
    </row>
    <row r="4456" spans="1:8" x14ac:dyDescent="0.35">
      <c r="A4456" s="21"/>
      <c r="B4456" t="s">
        <v>88</v>
      </c>
      <c r="C4456" t="s">
        <v>6</v>
      </c>
      <c r="D4456" t="s">
        <v>2483</v>
      </c>
      <c r="F4456" s="1">
        <v>45825</v>
      </c>
      <c r="G4456" t="str">
        <f>IF(Table3[[#This Row],[Top Parent Account]]="",Table3[[#This Row],[Account Legal Name]],Table3[[#This Row],[Top Parent Account]])</f>
        <v>Fehr Bros. Industries</v>
      </c>
      <c r="H4456" s="1"/>
    </row>
    <row r="4457" spans="1:8" x14ac:dyDescent="0.35">
      <c r="A4457" s="21"/>
      <c r="B4457" t="s">
        <v>925</v>
      </c>
      <c r="C4457" t="s">
        <v>22</v>
      </c>
      <c r="D4457" t="s">
        <v>2486</v>
      </c>
      <c r="F4457" s="1">
        <v>45824</v>
      </c>
      <c r="G4457" t="str">
        <f>IF(Table3[[#This Row],[Top Parent Account]]="",Table3[[#This Row],[Account Legal Name]],Table3[[#This Row],[Top Parent Account]])</f>
        <v>OATLY</v>
      </c>
      <c r="H4457" s="1"/>
    </row>
    <row r="4458" spans="1:8" x14ac:dyDescent="0.35">
      <c r="A4458" s="21"/>
      <c r="B4458" t="s">
        <v>39</v>
      </c>
      <c r="C4458" t="s">
        <v>2487</v>
      </c>
      <c r="D4458" t="s">
        <v>525</v>
      </c>
      <c r="F4458" s="1">
        <v>45824</v>
      </c>
      <c r="G4458" t="str">
        <f>IF(Table3[[#This Row],[Top Parent Account]]="",Table3[[#This Row],[Account Legal Name]],Table3[[#This Row],[Top Parent Account]])</f>
        <v>Transportes Comandos Del Norte</v>
      </c>
      <c r="H4458" s="1"/>
    </row>
    <row r="4459" spans="1:8" x14ac:dyDescent="0.35">
      <c r="A4459" s="21"/>
      <c r="B4459" t="s">
        <v>51</v>
      </c>
      <c r="C4459" t="s">
        <v>6</v>
      </c>
      <c r="D4459" t="s">
        <v>2488</v>
      </c>
      <c r="F4459" s="1">
        <v>45824</v>
      </c>
      <c r="G4459" t="str">
        <f>IF(Table3[[#This Row],[Top Parent Account]]="",Table3[[#This Row],[Account Legal Name]],Table3[[#This Row],[Top Parent Account]])</f>
        <v>Comercializadora Mecer Fresh</v>
      </c>
      <c r="H4459" s="1"/>
    </row>
    <row r="4460" spans="1:8" x14ac:dyDescent="0.35">
      <c r="A4460" s="21"/>
      <c r="B4460" t="s">
        <v>70</v>
      </c>
      <c r="C4460" t="s">
        <v>6</v>
      </c>
      <c r="D4460" t="s">
        <v>2489</v>
      </c>
      <c r="F4460" s="1">
        <v>45824</v>
      </c>
      <c r="G4460" t="str">
        <f>IF(Table3[[#This Row],[Top Parent Account]]="",Table3[[#This Row],[Account Legal Name]],Table3[[#This Row],[Top Parent Account]])</f>
        <v>CENTRO MEDICO INTERLOMAS</v>
      </c>
      <c r="H4460" s="1"/>
    </row>
    <row r="4461" spans="1:8" x14ac:dyDescent="0.35">
      <c r="A4461" s="21"/>
      <c r="B4461" t="s">
        <v>969</v>
      </c>
      <c r="C4461" t="s">
        <v>6</v>
      </c>
      <c r="D4461" t="s">
        <v>738</v>
      </c>
      <c r="F4461" s="1">
        <v>45824</v>
      </c>
      <c r="G4461" t="str">
        <f>IF(Table3[[#This Row],[Top Parent Account]]="",Table3[[#This Row],[Account Legal Name]],Table3[[#This Row],[Top Parent Account]])</f>
        <v>Huella Litográfica</v>
      </c>
      <c r="H4461" s="1"/>
    </row>
    <row r="4462" spans="1:8" x14ac:dyDescent="0.35">
      <c r="A4462" s="21"/>
      <c r="B4462" t="s">
        <v>14</v>
      </c>
      <c r="C4462" t="s">
        <v>6</v>
      </c>
      <c r="D4462" t="s">
        <v>2490</v>
      </c>
      <c r="F4462" s="1">
        <v>45824</v>
      </c>
      <c r="G4462" t="str">
        <f>IF(Table3[[#This Row],[Top Parent Account]]="",Table3[[#This Row],[Account Legal Name]],Table3[[#This Row],[Top Parent Account]])</f>
        <v>Saverglass</v>
      </c>
      <c r="H4462" s="1"/>
    </row>
    <row r="4463" spans="1:8" x14ac:dyDescent="0.35">
      <c r="A4463" s="21"/>
      <c r="B4463" t="s">
        <v>10</v>
      </c>
      <c r="C4463" t="s">
        <v>6</v>
      </c>
      <c r="D4463" t="s">
        <v>514</v>
      </c>
      <c r="F4463" s="1">
        <v>45824</v>
      </c>
      <c r="G4463" t="str">
        <f>IF(Table3[[#This Row],[Top Parent Account]]="",Table3[[#This Row],[Account Legal Name]],Table3[[#This Row],[Top Parent Account]])</f>
        <v>Templados del Centro</v>
      </c>
      <c r="H4463" s="1"/>
    </row>
    <row r="4464" spans="1:8" x14ac:dyDescent="0.35">
      <c r="A4464" s="21"/>
      <c r="B4464" t="s">
        <v>989</v>
      </c>
      <c r="C4464" t="s">
        <v>6</v>
      </c>
      <c r="D4464" t="s">
        <v>2492</v>
      </c>
      <c r="E4464" t="s">
        <v>1123</v>
      </c>
      <c r="F4464" s="1">
        <v>45824</v>
      </c>
      <c r="G4464" t="str">
        <f>IF(Table3[[#This Row],[Top Parent Account]]="",Table3[[#This Row],[Account Legal Name]],Table3[[#This Row],[Top Parent Account]])</f>
        <v>Exel Servigrafica</v>
      </c>
      <c r="H4464" s="1"/>
    </row>
    <row r="4465" spans="1:8" x14ac:dyDescent="0.35">
      <c r="A4465" s="21"/>
      <c r="B4465" t="s">
        <v>989</v>
      </c>
      <c r="C4465" t="s">
        <v>6</v>
      </c>
      <c r="D4465" t="s">
        <v>2491</v>
      </c>
      <c r="F4465" s="1">
        <v>45824</v>
      </c>
      <c r="G4465" t="str">
        <f>IF(Table3[[#This Row],[Top Parent Account]]="",Table3[[#This Row],[Account Legal Name]],Table3[[#This Row],[Top Parent Account]])</f>
        <v>Servicios Administrados Mexis</v>
      </c>
      <c r="H4465" s="1"/>
    </row>
    <row r="4466" spans="1:8" x14ac:dyDescent="0.35">
      <c r="A4466" s="21"/>
      <c r="B4466" t="s">
        <v>989</v>
      </c>
      <c r="C4466" t="s">
        <v>6</v>
      </c>
      <c r="D4466" t="s">
        <v>2148</v>
      </c>
      <c r="F4466" s="1">
        <v>45824</v>
      </c>
      <c r="G4466" t="str">
        <f>IF(Table3[[#This Row],[Top Parent Account]]="",Table3[[#This Row],[Account Legal Name]],Table3[[#This Row],[Top Parent Account]])</f>
        <v>Alimentos Naturales Rancho Viejo</v>
      </c>
      <c r="H4466" s="1"/>
    </row>
    <row r="4467" spans="1:8" x14ac:dyDescent="0.35">
      <c r="A4467" s="21"/>
      <c r="B4467" t="s">
        <v>989</v>
      </c>
      <c r="C4467" t="s">
        <v>6</v>
      </c>
      <c r="D4467" t="s">
        <v>1330</v>
      </c>
      <c r="F4467" s="1">
        <v>45824</v>
      </c>
      <c r="G4467" t="str">
        <f>IF(Table3[[#This Row],[Top Parent Account]]="",Table3[[#This Row],[Account Legal Name]],Table3[[#This Row],[Top Parent Account]])</f>
        <v>GE CAPITAL EMPRESARIAL</v>
      </c>
      <c r="H4467" s="1"/>
    </row>
    <row r="4468" spans="1:8" x14ac:dyDescent="0.35">
      <c r="A4468" s="21"/>
      <c r="B4468" t="s">
        <v>121</v>
      </c>
      <c r="C4468" t="s">
        <v>6</v>
      </c>
      <c r="D4468" t="s">
        <v>682</v>
      </c>
      <c r="E4468" t="s">
        <v>805</v>
      </c>
      <c r="F4468" s="1">
        <v>45824</v>
      </c>
      <c r="G4468" t="str">
        <f>IF(Table3[[#This Row],[Top Parent Account]]="",Table3[[#This Row],[Account Legal Name]],Table3[[#This Row],[Top Parent Account]])</f>
        <v>Embalajes Industriales del pino</v>
      </c>
      <c r="H4468" s="1"/>
    </row>
    <row r="4469" spans="1:8" x14ac:dyDescent="0.35">
      <c r="A4469" s="21"/>
      <c r="B4469" t="s">
        <v>10</v>
      </c>
      <c r="C4469" t="s">
        <v>6</v>
      </c>
      <c r="D4469" t="s">
        <v>787</v>
      </c>
      <c r="F4469" s="1">
        <v>45824</v>
      </c>
      <c r="G4469" t="str">
        <f>IF(Table3[[#This Row],[Top Parent Account]]="",Table3[[#This Row],[Account Legal Name]],Table3[[#This Row],[Top Parent Account]])</f>
        <v>Miyazaki seiko de mexico</v>
      </c>
      <c r="H4469" s="1"/>
    </row>
    <row r="4470" spans="1:8" x14ac:dyDescent="0.35">
      <c r="A4470" s="21"/>
      <c r="B4470" t="s">
        <v>121</v>
      </c>
      <c r="C4470" t="s">
        <v>6</v>
      </c>
      <c r="D4470" t="s">
        <v>693</v>
      </c>
      <c r="F4470" s="1">
        <v>45824</v>
      </c>
      <c r="G4470" t="str">
        <f>IF(Table3[[#This Row],[Top Parent Account]]="",Table3[[#This Row],[Account Legal Name]],Table3[[#This Row],[Top Parent Account]])</f>
        <v>Grupo Doble RR Agricultores</v>
      </c>
      <c r="H4470" s="1"/>
    </row>
    <row r="4471" spans="1:8" x14ac:dyDescent="0.35">
      <c r="A4471" s="21"/>
      <c r="B4471" t="s">
        <v>121</v>
      </c>
      <c r="C4471" t="s">
        <v>6</v>
      </c>
      <c r="D4471" t="s">
        <v>751</v>
      </c>
      <c r="F4471" s="1">
        <v>45824</v>
      </c>
      <c r="G4471" t="str">
        <f>IF(Table3[[#This Row],[Top Parent Account]]="",Table3[[#This Row],[Account Legal Name]],Table3[[#This Row],[Top Parent Account]])</f>
        <v>Continental nutriments</v>
      </c>
      <c r="H4471" s="1"/>
    </row>
    <row r="4472" spans="1:8" x14ac:dyDescent="0.35">
      <c r="A4472" s="21"/>
      <c r="B4472" t="s">
        <v>208</v>
      </c>
      <c r="C4472" t="s">
        <v>33</v>
      </c>
      <c r="D4472" t="s">
        <v>2493</v>
      </c>
      <c r="F4472" s="1">
        <v>45824</v>
      </c>
      <c r="G4472" t="str">
        <f>IF(Table3[[#This Row],[Top Parent Account]]="",Table3[[#This Row],[Account Legal Name]],Table3[[#This Row],[Top Parent Account]])</f>
        <v>BYRBIO</v>
      </c>
      <c r="H4472" s="1"/>
    </row>
    <row r="4473" spans="1:8" x14ac:dyDescent="0.35">
      <c r="A4473" s="21"/>
      <c r="B4473" t="s">
        <v>25</v>
      </c>
      <c r="C4473" t="s">
        <v>6</v>
      </c>
      <c r="D4473" t="s">
        <v>1059</v>
      </c>
      <c r="F4473" s="1">
        <v>45824</v>
      </c>
      <c r="G4473" t="str">
        <f>IF(Table3[[#This Row],[Top Parent Account]]="",Table3[[#This Row],[Account Legal Name]],Table3[[#This Row],[Top Parent Account]])</f>
        <v>Enviopack Mexico</v>
      </c>
      <c r="H4473" s="1"/>
    </row>
    <row r="4474" spans="1:8" x14ac:dyDescent="0.35">
      <c r="A4474" s="21"/>
      <c r="B4474" t="s">
        <v>12</v>
      </c>
      <c r="C4474" t="s">
        <v>6</v>
      </c>
      <c r="D4474" t="s">
        <v>2494</v>
      </c>
      <c r="F4474" s="1">
        <v>45824</v>
      </c>
      <c r="G4474" t="str">
        <f>IF(Table3[[#This Row],[Top Parent Account]]="",Table3[[#This Row],[Account Legal Name]],Table3[[#This Row],[Top Parent Account]])</f>
        <v>Soporte y Suministro industrial del caribe</v>
      </c>
      <c r="H4474" s="1"/>
    </row>
    <row r="4475" spans="1:8" x14ac:dyDescent="0.35">
      <c r="A4475" s="21"/>
      <c r="B4475" t="s">
        <v>23</v>
      </c>
      <c r="C4475" t="s">
        <v>6</v>
      </c>
      <c r="D4475" t="s">
        <v>2495</v>
      </c>
      <c r="F4475" s="1">
        <v>45824</v>
      </c>
      <c r="G4475" t="str">
        <f>IF(Table3[[#This Row],[Top Parent Account]]="",Table3[[#This Row],[Account Legal Name]],Table3[[#This Row],[Top Parent Account]])</f>
        <v>AUTOMANUFACTURAS DE QUERETARO</v>
      </c>
      <c r="H4475" s="1"/>
    </row>
    <row r="4476" spans="1:8" x14ac:dyDescent="0.35">
      <c r="A4476" s="21"/>
      <c r="B4476" t="s">
        <v>88</v>
      </c>
      <c r="C4476" t="s">
        <v>6</v>
      </c>
      <c r="D4476" t="s">
        <v>2496</v>
      </c>
      <c r="F4476" s="1">
        <v>45824</v>
      </c>
      <c r="G4476" t="str">
        <f>IF(Table3[[#This Row],[Top Parent Account]]="",Table3[[#This Row],[Account Legal Name]],Table3[[#This Row],[Top Parent Account]])</f>
        <v>Cinca</v>
      </c>
      <c r="H4476" s="1"/>
    </row>
    <row r="4477" spans="1:8" x14ac:dyDescent="0.35">
      <c r="A4477" s="21"/>
      <c r="B4477" t="s">
        <v>88</v>
      </c>
      <c r="C4477" t="s">
        <v>6</v>
      </c>
      <c r="D4477" t="s">
        <v>713</v>
      </c>
      <c r="F4477" s="1">
        <v>45824</v>
      </c>
      <c r="G4477" t="str">
        <f>IF(Table3[[#This Row],[Top Parent Account]]="",Table3[[#This Row],[Account Legal Name]],Table3[[#This Row],[Top Parent Account]])</f>
        <v>JOCAMABA</v>
      </c>
      <c r="H4477" s="1"/>
    </row>
    <row r="4478" spans="1:8" x14ac:dyDescent="0.35">
      <c r="A4478" s="21"/>
      <c r="B4478" t="s">
        <v>78</v>
      </c>
      <c r="C4478" t="s">
        <v>6</v>
      </c>
      <c r="D4478" t="s">
        <v>2033</v>
      </c>
      <c r="F4478" s="1">
        <v>45824</v>
      </c>
      <c r="G4478" t="str">
        <f>IF(Table3[[#This Row],[Top Parent Account]]="",Table3[[#This Row],[Account Legal Name]],Table3[[#This Row],[Top Parent Account]])</f>
        <v>UELITINI TONATIUTEOTL</v>
      </c>
      <c r="H4478" s="1"/>
    </row>
    <row r="4479" spans="1:8" x14ac:dyDescent="0.35">
      <c r="A4479" s="21"/>
      <c r="B4479" t="s">
        <v>207</v>
      </c>
      <c r="C4479" t="s">
        <v>6</v>
      </c>
      <c r="D4479" t="s">
        <v>2497</v>
      </c>
      <c r="F4479" s="1">
        <v>45824</v>
      </c>
      <c r="G4479" t="str">
        <f>IF(Table3[[#This Row],[Top Parent Account]]="",Table3[[#This Row],[Account Legal Name]],Table3[[#This Row],[Top Parent Account]])</f>
        <v>Envolpan de México</v>
      </c>
      <c r="H4479" s="1"/>
    </row>
    <row r="4480" spans="1:8" x14ac:dyDescent="0.35">
      <c r="A4480" s="21"/>
      <c r="B4480" t="s">
        <v>28</v>
      </c>
      <c r="C4480" t="s">
        <v>6</v>
      </c>
      <c r="D4480" t="s">
        <v>394</v>
      </c>
      <c r="F4480" s="1">
        <v>45821</v>
      </c>
      <c r="G4480" t="str">
        <f>IF(Table3[[#This Row],[Top Parent Account]]="",Table3[[#This Row],[Account Legal Name]],Table3[[#This Row],[Top Parent Account]])</f>
        <v>Coda Logistica Y Transportes</v>
      </c>
      <c r="H4480" s="1"/>
    </row>
    <row r="4481" spans="1:8" x14ac:dyDescent="0.35">
      <c r="A4481" s="21"/>
      <c r="B4481" t="s">
        <v>1643</v>
      </c>
      <c r="C4481" t="s">
        <v>6</v>
      </c>
      <c r="D4481" t="s">
        <v>2428</v>
      </c>
      <c r="F4481" s="1">
        <v>45821</v>
      </c>
      <c r="G4481" t="str">
        <f>IF(Table3[[#This Row],[Top Parent Account]]="",Table3[[#This Row],[Account Legal Name]],Table3[[#This Row],[Top Parent Account]])</f>
        <v>Cemix</v>
      </c>
      <c r="H4481" s="1"/>
    </row>
    <row r="4482" spans="1:8" x14ac:dyDescent="0.35">
      <c r="A4482" s="21"/>
      <c r="B4482" t="s">
        <v>56</v>
      </c>
      <c r="C4482" t="s">
        <v>6</v>
      </c>
      <c r="D4482" t="s">
        <v>1269</v>
      </c>
      <c r="E4482" t="s">
        <v>173</v>
      </c>
      <c r="F4482" s="1">
        <v>45821</v>
      </c>
      <c r="G4482" t="str">
        <f>IF(Table3[[#This Row],[Top Parent Account]]="",Table3[[#This Row],[Account Legal Name]],Table3[[#This Row],[Top Parent Account]])</f>
        <v>Campeche Oil Mill</v>
      </c>
      <c r="H4482" s="1"/>
    </row>
    <row r="4483" spans="1:8" x14ac:dyDescent="0.35">
      <c r="A4483" s="21"/>
      <c r="B4483" t="s">
        <v>116</v>
      </c>
      <c r="C4483" t="s">
        <v>6</v>
      </c>
      <c r="D4483" t="s">
        <v>2429</v>
      </c>
      <c r="F4483" s="1">
        <v>45821</v>
      </c>
      <c r="G4483" t="str">
        <f>IF(Table3[[#This Row],[Top Parent Account]]="",Table3[[#This Row],[Account Legal Name]],Table3[[#This Row],[Top Parent Account]])</f>
        <v>IMBERA</v>
      </c>
      <c r="H4483" s="1"/>
    </row>
    <row r="4484" spans="1:8" x14ac:dyDescent="0.35">
      <c r="A4484" s="21"/>
      <c r="B4484" t="s">
        <v>37</v>
      </c>
      <c r="C4484" t="s">
        <v>6</v>
      </c>
      <c r="D4484" t="s">
        <v>886</v>
      </c>
      <c r="F4484" s="1">
        <v>45821</v>
      </c>
      <c r="G4484" t="str">
        <f>IF(Table3[[#This Row],[Top Parent Account]]="",Table3[[#This Row],[Account Legal Name]],Table3[[#This Row],[Top Parent Account]])</f>
        <v>DEMAAR NORTH WEST FOOD TRADE</v>
      </c>
      <c r="H4484" s="1"/>
    </row>
    <row r="4485" spans="1:8" x14ac:dyDescent="0.35">
      <c r="A4485" s="21"/>
      <c r="B4485" t="s">
        <v>12</v>
      </c>
      <c r="C4485" t="s">
        <v>6</v>
      </c>
      <c r="D4485" t="s">
        <v>2430</v>
      </c>
      <c r="F4485" s="1">
        <v>45821</v>
      </c>
      <c r="G4485" t="str">
        <f>IF(Table3[[#This Row],[Top Parent Account]]="",Table3[[#This Row],[Account Legal Name]],Table3[[#This Row],[Top Parent Account]])</f>
        <v>Logística Togua</v>
      </c>
      <c r="H4485" s="1"/>
    </row>
    <row r="4486" spans="1:8" x14ac:dyDescent="0.35">
      <c r="A4486" s="21"/>
      <c r="B4486" t="s">
        <v>169</v>
      </c>
      <c r="C4486" t="s">
        <v>6</v>
      </c>
      <c r="D4486" t="s">
        <v>2310</v>
      </c>
      <c r="F4486" s="1">
        <v>45821</v>
      </c>
      <c r="G4486" t="str">
        <f>IF(Table3[[#This Row],[Top Parent Account]]="",Table3[[#This Row],[Account Legal Name]],Table3[[#This Row],[Top Parent Account]])</f>
        <v>Texturizados y Tejidos Windsor</v>
      </c>
      <c r="H4486" s="1"/>
    </row>
    <row r="4487" spans="1:8" x14ac:dyDescent="0.35">
      <c r="A4487" s="21"/>
      <c r="B4487" t="s">
        <v>28</v>
      </c>
      <c r="C4487" t="s">
        <v>6</v>
      </c>
      <c r="D4487" t="s">
        <v>1071</v>
      </c>
      <c r="F4487" s="1">
        <v>45821</v>
      </c>
      <c r="G4487" t="str">
        <f>IF(Table3[[#This Row],[Top Parent Account]]="",Table3[[#This Row],[Account Legal Name]],Table3[[#This Row],[Top Parent Account]])</f>
        <v>Gutiérrez Automotores</v>
      </c>
      <c r="H4487" s="1"/>
    </row>
    <row r="4488" spans="1:8" x14ac:dyDescent="0.35">
      <c r="A4488" s="21"/>
      <c r="B4488" t="s">
        <v>56</v>
      </c>
      <c r="C4488" t="s">
        <v>6</v>
      </c>
      <c r="D4488" t="s">
        <v>421</v>
      </c>
      <c r="F4488" s="1">
        <v>45821</v>
      </c>
      <c r="G4488" t="str">
        <f>IF(Table3[[#This Row],[Top Parent Account]]="",Table3[[#This Row],[Account Legal Name]],Table3[[#This Row],[Top Parent Account]])</f>
        <v>Grupo Aguaviento</v>
      </c>
      <c r="H4488" s="1"/>
    </row>
    <row r="4489" spans="1:8" x14ac:dyDescent="0.35">
      <c r="A4489" s="21"/>
      <c r="B4489" t="s">
        <v>29</v>
      </c>
      <c r="C4489" t="s">
        <v>6</v>
      </c>
      <c r="D4489" t="s">
        <v>443</v>
      </c>
      <c r="E4489" t="s">
        <v>444</v>
      </c>
      <c r="F4489" s="1">
        <v>45821</v>
      </c>
      <c r="G4489" t="str">
        <f>IF(Table3[[#This Row],[Top Parent Account]]="",Table3[[#This Row],[Account Legal Name]],Table3[[#This Row],[Top Parent Account]])</f>
        <v>Ugasa</v>
      </c>
      <c r="H4489" s="1"/>
    </row>
    <row r="4490" spans="1:8" x14ac:dyDescent="0.35">
      <c r="A4490" s="21"/>
      <c r="B4490" t="s">
        <v>18</v>
      </c>
      <c r="C4490" t="s">
        <v>6</v>
      </c>
      <c r="D4490" t="s">
        <v>2431</v>
      </c>
      <c r="F4490" s="1">
        <v>45821</v>
      </c>
      <c r="G4490" t="str">
        <f>IF(Table3[[#This Row],[Top Parent Account]]="",Table3[[#This Row],[Account Legal Name]],Table3[[#This Row],[Top Parent Account]])</f>
        <v>Servicios Empresariales 77</v>
      </c>
      <c r="H4490" s="1"/>
    </row>
    <row r="4491" spans="1:8" x14ac:dyDescent="0.35">
      <c r="A4491" s="21"/>
      <c r="B4491" t="s">
        <v>37</v>
      </c>
      <c r="C4491" t="s">
        <v>6</v>
      </c>
      <c r="D4491" t="s">
        <v>2432</v>
      </c>
      <c r="F4491" s="1">
        <v>45821</v>
      </c>
      <c r="G4491" t="str">
        <f>IF(Table3[[#This Row],[Top Parent Account]]="",Table3[[#This Row],[Account Legal Name]],Table3[[#This Row],[Top Parent Account]])</f>
        <v>Plásticos Y Distribuciones Arrisal</v>
      </c>
      <c r="H4491" s="1"/>
    </row>
    <row r="4492" spans="1:8" x14ac:dyDescent="0.35">
      <c r="A4492" s="21"/>
      <c r="B4492" t="s">
        <v>1031</v>
      </c>
      <c r="C4492" t="s">
        <v>6</v>
      </c>
      <c r="D4492" t="s">
        <v>4403</v>
      </c>
      <c r="F4492" s="1">
        <v>45821</v>
      </c>
      <c r="G4492" t="str">
        <f>IF(Table3[[#This Row],[Top Parent Account]]="",Table3[[#This Row],[Account Legal Name]],Table3[[#This Row],[Top Parent Account]])</f>
        <v>Servicios de Capital Humano Axo</v>
      </c>
      <c r="H4492" s="1"/>
    </row>
    <row r="4493" spans="1:8" x14ac:dyDescent="0.35">
      <c r="A4493" s="21"/>
      <c r="B4493" t="s">
        <v>32</v>
      </c>
      <c r="C4493" t="s">
        <v>6</v>
      </c>
      <c r="D4493" t="s">
        <v>2433</v>
      </c>
      <c r="F4493" s="1">
        <v>45821</v>
      </c>
      <c r="G4493" t="str">
        <f>IF(Table3[[#This Row],[Top Parent Account]]="",Table3[[#This Row],[Account Legal Name]],Table3[[#This Row],[Top Parent Account]])</f>
        <v>Redbox Innovation</v>
      </c>
      <c r="H4493" s="1"/>
    </row>
    <row r="4494" spans="1:8" x14ac:dyDescent="0.35">
      <c r="A4494" s="21"/>
      <c r="B4494" t="s">
        <v>78</v>
      </c>
      <c r="C4494" t="s">
        <v>6</v>
      </c>
      <c r="D4494" t="s">
        <v>180</v>
      </c>
      <c r="F4494" s="1">
        <v>45821</v>
      </c>
      <c r="G4494" t="str">
        <f>IF(Table3[[#This Row],[Top Parent Account]]="",Table3[[#This Row],[Account Legal Name]],Table3[[#This Row],[Top Parent Account]])</f>
        <v>Transportes Rivelo</v>
      </c>
      <c r="H4494" s="1"/>
    </row>
    <row r="4495" spans="1:8" x14ac:dyDescent="0.35">
      <c r="A4495" s="21"/>
      <c r="B4495" t="s">
        <v>37</v>
      </c>
      <c r="C4495" t="s">
        <v>6</v>
      </c>
      <c r="D4495" t="s">
        <v>2434</v>
      </c>
      <c r="F4495" s="1">
        <v>45821</v>
      </c>
      <c r="G4495" t="str">
        <f>IF(Table3[[#This Row],[Top Parent Account]]="",Table3[[#This Row],[Account Legal Name]],Table3[[#This Row],[Top Parent Account]])</f>
        <v>S.I. SUPPLY</v>
      </c>
      <c r="H4495" s="1"/>
    </row>
    <row r="4496" spans="1:8" x14ac:dyDescent="0.35">
      <c r="A4496" s="21"/>
      <c r="B4496" t="s">
        <v>27</v>
      </c>
      <c r="C4496" t="s">
        <v>6</v>
      </c>
      <c r="D4496" t="s">
        <v>1299</v>
      </c>
      <c r="F4496" s="1">
        <v>45820</v>
      </c>
      <c r="G4496" t="str">
        <f>IF(Table3[[#This Row],[Top Parent Account]]="",Table3[[#This Row],[Account Legal Name]],Table3[[#This Row],[Top Parent Account]])</f>
        <v>Bedacom</v>
      </c>
      <c r="H4496" s="1"/>
    </row>
    <row r="4497" spans="1:8" x14ac:dyDescent="0.35">
      <c r="A4497" s="21"/>
      <c r="B4497" t="s">
        <v>739</v>
      </c>
      <c r="C4497" t="s">
        <v>6</v>
      </c>
      <c r="D4497" t="s">
        <v>1143</v>
      </c>
      <c r="F4497" s="1">
        <v>45820</v>
      </c>
      <c r="G4497" t="str">
        <f>IF(Table3[[#This Row],[Top Parent Account]]="",Table3[[#This Row],[Account Legal Name]],Table3[[#This Row],[Top Parent Account]])</f>
        <v>Compania De Transportes Nacionales Vim</v>
      </c>
      <c r="H4497" s="1"/>
    </row>
    <row r="4498" spans="1:8" x14ac:dyDescent="0.35">
      <c r="A4498" s="21"/>
      <c r="B4498" t="s">
        <v>14</v>
      </c>
      <c r="C4498" t="s">
        <v>6</v>
      </c>
      <c r="D4498" t="s">
        <v>867</v>
      </c>
      <c r="F4498" s="1">
        <v>45820</v>
      </c>
      <c r="G4498" t="str">
        <f>IF(Table3[[#This Row],[Top Parent Account]]="",Table3[[#This Row],[Account Legal Name]],Table3[[#This Row],[Top Parent Account]])</f>
        <v>MINERALES RIO ROMA</v>
      </c>
      <c r="H4498" s="1"/>
    </row>
    <row r="4499" spans="1:8" x14ac:dyDescent="0.35">
      <c r="A4499" s="21"/>
      <c r="B4499" t="s">
        <v>1899</v>
      </c>
      <c r="C4499" t="s">
        <v>6</v>
      </c>
      <c r="D4499" t="s">
        <v>2435</v>
      </c>
      <c r="F4499" s="1">
        <v>45820</v>
      </c>
      <c r="G4499" t="str">
        <f>IF(Table3[[#This Row],[Top Parent Account]]="",Table3[[#This Row],[Account Legal Name]],Table3[[#This Row],[Top Parent Account]])</f>
        <v>Clúster Agroalimentario</v>
      </c>
      <c r="H4499" s="1"/>
    </row>
    <row r="4500" spans="1:8" x14ac:dyDescent="0.35">
      <c r="A4500" s="21"/>
      <c r="B4500" t="s">
        <v>21</v>
      </c>
      <c r="C4500" t="s">
        <v>6</v>
      </c>
      <c r="D4500" t="s">
        <v>1606</v>
      </c>
      <c r="F4500" s="1">
        <v>45820</v>
      </c>
      <c r="G4500" t="str">
        <f>IF(Table3[[#This Row],[Top Parent Account]]="",Table3[[#This Row],[Account Legal Name]],Table3[[#This Row],[Top Parent Account]])</f>
        <v>Omnigreen</v>
      </c>
      <c r="H4500" s="1"/>
    </row>
    <row r="4501" spans="1:8" x14ac:dyDescent="0.35">
      <c r="A4501" s="21"/>
      <c r="B4501" t="s">
        <v>18</v>
      </c>
      <c r="C4501" t="s">
        <v>6</v>
      </c>
      <c r="D4501" t="s">
        <v>890</v>
      </c>
      <c r="F4501" s="1">
        <v>45820</v>
      </c>
      <c r="G4501" t="str">
        <f>IF(Table3[[#This Row],[Top Parent Account]]="",Table3[[#This Row],[Account Legal Name]],Table3[[#This Row],[Top Parent Account]])</f>
        <v>Distribuidora del Pastelero</v>
      </c>
      <c r="H4501" s="1"/>
    </row>
    <row r="4502" spans="1:8" x14ac:dyDescent="0.35">
      <c r="A4502" s="21"/>
      <c r="B4502" t="s">
        <v>14</v>
      </c>
      <c r="C4502" t="s">
        <v>6</v>
      </c>
      <c r="D4502" t="s">
        <v>2501</v>
      </c>
      <c r="F4502" s="1">
        <v>45820</v>
      </c>
      <c r="G4502" t="str">
        <f>IF(Table3[[#This Row],[Top Parent Account]]="",Table3[[#This Row],[Account Legal Name]],Table3[[#This Row],[Top Parent Account]])</f>
        <v>Tranportes San Baron</v>
      </c>
      <c r="H4502" s="1"/>
    </row>
    <row r="4503" spans="1:8" x14ac:dyDescent="0.35">
      <c r="A4503" s="21"/>
      <c r="B4503" t="s">
        <v>14</v>
      </c>
      <c r="C4503" t="s">
        <v>6</v>
      </c>
      <c r="D4503" t="s">
        <v>802</v>
      </c>
      <c r="F4503" s="1">
        <v>45820</v>
      </c>
      <c r="G4503" t="str">
        <f>IF(Table3[[#This Row],[Top Parent Account]]="",Table3[[#This Row],[Account Legal Name]],Table3[[#This Row],[Top Parent Account]])</f>
        <v>Luis Jorge De Loera Pérez</v>
      </c>
      <c r="H4503" s="1"/>
    </row>
    <row r="4504" spans="1:8" x14ac:dyDescent="0.35">
      <c r="A4504" s="21"/>
      <c r="B4504" t="s">
        <v>1511</v>
      </c>
      <c r="C4504" t="s">
        <v>6</v>
      </c>
      <c r="D4504" t="s">
        <v>2436</v>
      </c>
      <c r="F4504" s="1">
        <v>45820</v>
      </c>
      <c r="G4504" t="str">
        <f>IF(Table3[[#This Row],[Top Parent Account]]="",Table3[[#This Row],[Account Legal Name]],Table3[[#This Row],[Top Parent Account]])</f>
        <v>Eraquimicos</v>
      </c>
      <c r="H4504" s="1"/>
    </row>
    <row r="4505" spans="1:8" x14ac:dyDescent="0.35">
      <c r="A4505" s="21"/>
      <c r="B4505" t="s">
        <v>24</v>
      </c>
      <c r="C4505" t="s">
        <v>6</v>
      </c>
      <c r="D4505" t="s">
        <v>109</v>
      </c>
      <c r="F4505" s="1">
        <v>45820</v>
      </c>
      <c r="G4505" t="str">
        <f>IF(Table3[[#This Row],[Top Parent Account]]="",Table3[[#This Row],[Account Legal Name]],Table3[[#This Row],[Top Parent Account]])</f>
        <v>Servicios Agropecuarios De La Costa</v>
      </c>
      <c r="H4505" s="1"/>
    </row>
    <row r="4506" spans="1:8" x14ac:dyDescent="0.35">
      <c r="A4506" s="21"/>
      <c r="B4506" t="s">
        <v>10</v>
      </c>
      <c r="C4506" t="s">
        <v>6</v>
      </c>
      <c r="D4506" t="s">
        <v>453</v>
      </c>
      <c r="F4506" s="1">
        <v>45820</v>
      </c>
      <c r="G4506" t="str">
        <f>IF(Table3[[#This Row],[Top Parent Account]]="",Table3[[#This Row],[Account Legal Name]],Table3[[#This Row],[Top Parent Account]])</f>
        <v>Anteus Constructora</v>
      </c>
      <c r="H4506" s="1"/>
    </row>
    <row r="4507" spans="1:8" x14ac:dyDescent="0.35">
      <c r="A4507" s="21"/>
      <c r="B4507" t="s">
        <v>28</v>
      </c>
      <c r="C4507" t="s">
        <v>6</v>
      </c>
      <c r="D4507" t="s">
        <v>2450</v>
      </c>
      <c r="F4507" s="1">
        <v>45820</v>
      </c>
      <c r="G4507" t="str">
        <f>IF(Table3[[#This Row],[Top Parent Account]]="",Table3[[#This Row],[Account Legal Name]],Table3[[#This Row],[Top Parent Account]])</f>
        <v>Metalwork &amp; Stamping</v>
      </c>
      <c r="H4507" s="1"/>
    </row>
    <row r="4508" spans="1:8" x14ac:dyDescent="0.35">
      <c r="A4508" s="21"/>
      <c r="B4508" t="s">
        <v>37</v>
      </c>
      <c r="C4508" t="s">
        <v>6</v>
      </c>
      <c r="D4508" t="s">
        <v>859</v>
      </c>
      <c r="F4508" s="1">
        <v>45820</v>
      </c>
      <c r="G4508" t="str">
        <f>IF(Table3[[#This Row],[Top Parent Account]]="",Table3[[#This Row],[Account Legal Name]],Table3[[#This Row],[Top Parent Account]])</f>
        <v>Montacargas y Equipamiento Industrial FIVI</v>
      </c>
      <c r="H4508" s="1"/>
    </row>
    <row r="4509" spans="1:8" x14ac:dyDescent="0.35">
      <c r="A4509" s="21"/>
      <c r="B4509" t="s">
        <v>12</v>
      </c>
      <c r="C4509" t="s">
        <v>6</v>
      </c>
      <c r="D4509" t="s">
        <v>1134</v>
      </c>
      <c r="E4509" t="s">
        <v>1136</v>
      </c>
      <c r="F4509" s="1">
        <v>45820</v>
      </c>
      <c r="G4509" t="str">
        <f>IF(Table3[[#This Row],[Top Parent Account]]="",Table3[[#This Row],[Account Legal Name]],Table3[[#This Row],[Top Parent Account]])</f>
        <v>Grupo cardín</v>
      </c>
      <c r="H4509" s="1"/>
    </row>
    <row r="4510" spans="1:8" x14ac:dyDescent="0.35">
      <c r="A4510" s="21"/>
      <c r="B4510" t="s">
        <v>8</v>
      </c>
      <c r="C4510" t="s">
        <v>22</v>
      </c>
      <c r="D4510" t="s">
        <v>2378</v>
      </c>
      <c r="F4510" s="1">
        <v>45820</v>
      </c>
      <c r="G4510" t="str">
        <f>IF(Table3[[#This Row],[Top Parent Account]]="",Table3[[#This Row],[Account Legal Name]],Table3[[#This Row],[Top Parent Account]])</f>
        <v>Grupo Constructor Vagasa</v>
      </c>
      <c r="H4510" s="1"/>
    </row>
    <row r="4511" spans="1:8" x14ac:dyDescent="0.35">
      <c r="A4511" s="21"/>
      <c r="B4511" t="s">
        <v>12</v>
      </c>
      <c r="C4511" t="s">
        <v>6</v>
      </c>
      <c r="D4511" t="s">
        <v>1099</v>
      </c>
      <c r="F4511" s="1">
        <v>45820</v>
      </c>
      <c r="G4511" t="str">
        <f>IF(Table3[[#This Row],[Top Parent Account]]="",Table3[[#This Row],[Account Legal Name]],Table3[[#This Row],[Top Parent Account]])</f>
        <v>EMPACADORA GRUMA DEL SURESTE</v>
      </c>
      <c r="H4511" s="1"/>
    </row>
    <row r="4512" spans="1:8" x14ac:dyDescent="0.35">
      <c r="A4512" s="21"/>
      <c r="B4512" t="s">
        <v>12</v>
      </c>
      <c r="C4512" t="s">
        <v>6</v>
      </c>
      <c r="D4512" t="s">
        <v>557</v>
      </c>
      <c r="F4512" s="1">
        <v>45820</v>
      </c>
      <c r="G4512" t="str">
        <f>IF(Table3[[#This Row],[Top Parent Account]]="",Table3[[#This Row],[Account Legal Name]],Table3[[#This Row],[Top Parent Account]])</f>
        <v>Celulares y Accesorios del Sureste S.A.</v>
      </c>
      <c r="H4512" s="1"/>
    </row>
    <row r="4513" spans="1:8" x14ac:dyDescent="0.35">
      <c r="A4513" s="21"/>
      <c r="B4513" t="s">
        <v>14</v>
      </c>
      <c r="C4513" t="s">
        <v>6</v>
      </c>
      <c r="D4513" t="s">
        <v>2437</v>
      </c>
      <c r="F4513" s="1">
        <v>45820</v>
      </c>
      <c r="G4513" t="str">
        <f>IF(Table3[[#This Row],[Top Parent Account]]="",Table3[[#This Row],[Account Legal Name]],Table3[[#This Row],[Top Parent Account]])</f>
        <v>DISPAC</v>
      </c>
      <c r="H4513" s="1"/>
    </row>
    <row r="4514" spans="1:8" x14ac:dyDescent="0.35">
      <c r="A4514" s="21"/>
      <c r="B4514" t="s">
        <v>70</v>
      </c>
      <c r="C4514" t="s">
        <v>6</v>
      </c>
      <c r="D4514" t="s">
        <v>2304</v>
      </c>
      <c r="F4514" s="1">
        <v>45820</v>
      </c>
      <c r="G4514" t="str">
        <f>IF(Table3[[#This Row],[Top Parent Account]]="",Table3[[#This Row],[Account Legal Name]],Table3[[#This Row],[Top Parent Account]])</f>
        <v>Centro Oncologico Privado</v>
      </c>
      <c r="H4514" s="1"/>
    </row>
    <row r="4515" spans="1:8" x14ac:dyDescent="0.35">
      <c r="A4515" s="21"/>
      <c r="B4515" t="s">
        <v>207</v>
      </c>
      <c r="C4515" t="s">
        <v>6</v>
      </c>
      <c r="D4515" t="s">
        <v>2377</v>
      </c>
      <c r="F4515" s="1">
        <v>45820</v>
      </c>
      <c r="G4515" t="str">
        <f>IF(Table3[[#This Row],[Top Parent Account]]="",Table3[[#This Row],[Account Legal Name]],Table3[[#This Row],[Top Parent Account]])</f>
        <v>XILINAT</v>
      </c>
      <c r="H4515" s="1"/>
    </row>
    <row r="4516" spans="1:8" x14ac:dyDescent="0.35">
      <c r="A4516" s="21"/>
      <c r="B4516" t="s">
        <v>24</v>
      </c>
      <c r="C4516" t="s">
        <v>6</v>
      </c>
      <c r="D4516" t="s">
        <v>1975</v>
      </c>
      <c r="F4516" s="1">
        <v>45820</v>
      </c>
      <c r="G4516" t="str">
        <f>IF(Table3[[#This Row],[Top Parent Account]]="",Table3[[#This Row],[Account Legal Name]],Table3[[#This Row],[Top Parent Account]])</f>
        <v>Agregados Zacanta</v>
      </c>
      <c r="H4516" s="1"/>
    </row>
    <row r="4517" spans="1:8" x14ac:dyDescent="0.35">
      <c r="A4517" s="21"/>
      <c r="B4517" t="s">
        <v>1031</v>
      </c>
      <c r="C4517" t="s">
        <v>6</v>
      </c>
      <c r="D4517" t="s">
        <v>1198</v>
      </c>
      <c r="F4517" s="1">
        <v>45820</v>
      </c>
      <c r="G4517" t="str">
        <f>IF(Table3[[#This Row],[Top Parent Account]]="",Table3[[#This Row],[Account Legal Name]],Table3[[#This Row],[Top Parent Account]])</f>
        <v>Polimeros Nacionales</v>
      </c>
      <c r="H4517" s="1"/>
    </row>
    <row r="4518" spans="1:8" x14ac:dyDescent="0.35">
      <c r="A4518" s="21"/>
      <c r="B4518" t="s">
        <v>30</v>
      </c>
      <c r="C4518" t="s">
        <v>6</v>
      </c>
      <c r="D4518" t="s">
        <v>508</v>
      </c>
      <c r="F4518" s="1">
        <v>45820</v>
      </c>
      <c r="G4518" t="str">
        <f>IF(Table3[[#This Row],[Top Parent Account]]="",Table3[[#This Row],[Account Legal Name]],Table3[[#This Row],[Top Parent Account]])</f>
        <v>Empacadora Campo Frío</v>
      </c>
      <c r="H4518" s="1"/>
    </row>
    <row r="4519" spans="1:8" x14ac:dyDescent="0.35">
      <c r="A4519" s="21"/>
      <c r="B4519" t="s">
        <v>114</v>
      </c>
      <c r="C4519" t="s">
        <v>6</v>
      </c>
      <c r="D4519" t="s">
        <v>446</v>
      </c>
      <c r="F4519" s="1">
        <v>45820</v>
      </c>
      <c r="G4519" t="str">
        <f>IF(Table3[[#This Row],[Top Parent Account]]="",Table3[[#This Row],[Account Legal Name]],Table3[[#This Row],[Top Parent Account]])</f>
        <v>Unilever de México</v>
      </c>
      <c r="H4519" s="1"/>
    </row>
    <row r="4520" spans="1:8" x14ac:dyDescent="0.35">
      <c r="A4520" s="21"/>
      <c r="B4520" t="s">
        <v>1131</v>
      </c>
      <c r="C4520" t="s">
        <v>6</v>
      </c>
      <c r="D4520" t="s">
        <v>2438</v>
      </c>
      <c r="F4520" s="1">
        <v>45820</v>
      </c>
      <c r="G4520" t="str">
        <f>IF(Table3[[#This Row],[Top Parent Account]]="",Table3[[#This Row],[Account Legal Name]],Table3[[#This Row],[Top Parent Account]])</f>
        <v>Explotaciones Agropecuarias de Aguascalientes</v>
      </c>
      <c r="H4520" s="1"/>
    </row>
    <row r="4521" spans="1:8" x14ac:dyDescent="0.35">
      <c r="A4521" s="21"/>
      <c r="B4521" t="s">
        <v>208</v>
      </c>
      <c r="C4521" t="s">
        <v>6</v>
      </c>
      <c r="D4521" t="s">
        <v>2379</v>
      </c>
      <c r="F4521" s="1">
        <v>45820</v>
      </c>
      <c r="G4521" t="str">
        <f>IF(Table3[[#This Row],[Top Parent Account]]="",Table3[[#This Row],[Account Legal Name]],Table3[[#This Row],[Top Parent Account]])</f>
        <v>MABASA</v>
      </c>
      <c r="H4521" s="1"/>
    </row>
    <row r="4522" spans="1:8" x14ac:dyDescent="0.35">
      <c r="A4522" s="21"/>
      <c r="B4522" t="s">
        <v>590</v>
      </c>
      <c r="C4522" t="s">
        <v>6</v>
      </c>
      <c r="D4522" t="s">
        <v>2440</v>
      </c>
      <c r="E4522" t="s">
        <v>774</v>
      </c>
      <c r="F4522" s="1">
        <v>45820</v>
      </c>
      <c r="G4522" t="str">
        <f>IF(Table3[[#This Row],[Top Parent Account]]="",Table3[[#This Row],[Account Legal Name]],Table3[[#This Row],[Top Parent Account]])</f>
        <v>Empresa Mexicana De Manufacturas</v>
      </c>
      <c r="H4522" s="1"/>
    </row>
    <row r="4523" spans="1:8" x14ac:dyDescent="0.35">
      <c r="A4523" s="21"/>
      <c r="B4523" t="s">
        <v>18</v>
      </c>
      <c r="C4523" t="s">
        <v>6</v>
      </c>
      <c r="D4523" t="s">
        <v>2380</v>
      </c>
      <c r="F4523" s="1">
        <v>45820</v>
      </c>
      <c r="G4523" t="str">
        <f>IF(Table3[[#This Row],[Top Parent Account]]="",Table3[[#This Row],[Account Legal Name]],Table3[[#This Row],[Top Parent Account]])</f>
        <v>Hertrucks</v>
      </c>
      <c r="H4523" s="1"/>
    </row>
    <row r="4524" spans="1:8" x14ac:dyDescent="0.35">
      <c r="A4524" s="21"/>
      <c r="B4524" t="s">
        <v>970</v>
      </c>
      <c r="C4524" t="s">
        <v>6</v>
      </c>
      <c r="D4524" t="s">
        <v>2381</v>
      </c>
      <c r="F4524" s="1">
        <v>45820</v>
      </c>
      <c r="G4524" t="str">
        <f>IF(Table3[[#This Row],[Top Parent Account]]="",Table3[[#This Row],[Account Legal Name]],Table3[[#This Row],[Top Parent Account]])</f>
        <v>Bruce Medica</v>
      </c>
      <c r="H4524" s="1"/>
    </row>
    <row r="4525" spans="1:8" x14ac:dyDescent="0.35">
      <c r="A4525" s="21"/>
      <c r="B4525" t="s">
        <v>589</v>
      </c>
      <c r="C4525" t="s">
        <v>6</v>
      </c>
      <c r="D4525" t="s">
        <v>2382</v>
      </c>
      <c r="F4525" s="1">
        <v>45820</v>
      </c>
      <c r="G4525" t="str">
        <f>IF(Table3[[#This Row],[Top Parent Account]]="",Table3[[#This Row],[Account Legal Name]],Table3[[#This Row],[Top Parent Account]])</f>
        <v>Consorcio Uno</v>
      </c>
      <c r="H4525" s="1"/>
    </row>
    <row r="4526" spans="1:8" x14ac:dyDescent="0.35">
      <c r="A4526" s="21"/>
      <c r="B4526" t="s">
        <v>589</v>
      </c>
      <c r="C4526" t="s">
        <v>6</v>
      </c>
      <c r="D4526" t="s">
        <v>2383</v>
      </c>
      <c r="F4526" s="1">
        <v>45820</v>
      </c>
      <c r="G4526" t="str">
        <f>IF(Table3[[#This Row],[Top Parent Account]]="",Table3[[#This Row],[Account Legal Name]],Table3[[#This Row],[Top Parent Account]])</f>
        <v>PIECSA</v>
      </c>
      <c r="H4526" s="1"/>
    </row>
    <row r="4527" spans="1:8" x14ac:dyDescent="0.35">
      <c r="A4527" s="21"/>
      <c r="B4527" t="s">
        <v>925</v>
      </c>
      <c r="C4527" t="s">
        <v>6</v>
      </c>
      <c r="D4527" t="s">
        <v>1483</v>
      </c>
      <c r="F4527" s="1">
        <v>45820</v>
      </c>
      <c r="G4527" t="str">
        <f>IF(Table3[[#This Row],[Top Parent Account]]="",Table3[[#This Row],[Account Legal Name]],Table3[[#This Row],[Top Parent Account]])</f>
        <v>Ingeniería y Productos de Acero</v>
      </c>
      <c r="H4527" s="1"/>
    </row>
    <row r="4528" spans="1:8" x14ac:dyDescent="0.35">
      <c r="A4528" s="21"/>
      <c r="B4528" t="s">
        <v>70</v>
      </c>
      <c r="C4528" t="s">
        <v>6</v>
      </c>
      <c r="D4528" t="s">
        <v>1307</v>
      </c>
      <c r="F4528" s="1">
        <v>45820</v>
      </c>
      <c r="G4528" t="str">
        <f>IF(Table3[[#This Row],[Top Parent Account]]="",Table3[[#This Row],[Account Legal Name]],Table3[[#This Row],[Top Parent Account]])</f>
        <v>Centro Médico de Especialidades de Ciudad Juarez</v>
      </c>
      <c r="H4528" s="1"/>
    </row>
    <row r="4529" spans="1:8" x14ac:dyDescent="0.35">
      <c r="A4529" s="21"/>
      <c r="B4529" t="s">
        <v>375</v>
      </c>
      <c r="C4529" t="s">
        <v>6</v>
      </c>
      <c r="D4529" t="s">
        <v>1426</v>
      </c>
      <c r="F4529" s="1">
        <v>45820</v>
      </c>
      <c r="G4529" t="str">
        <f>IF(Table3[[#This Row],[Top Parent Account]]="",Table3[[#This Row],[Account Legal Name]],Table3[[#This Row],[Top Parent Account]])</f>
        <v>Silodisa Servicio Integral De Logística y Distribución</v>
      </c>
      <c r="H4529" s="1"/>
    </row>
    <row r="4530" spans="1:8" x14ac:dyDescent="0.35">
      <c r="A4530" s="21"/>
      <c r="B4530" t="s">
        <v>24</v>
      </c>
      <c r="C4530" t="s">
        <v>6</v>
      </c>
      <c r="D4530" t="s">
        <v>2439</v>
      </c>
      <c r="F4530" s="1">
        <v>45820</v>
      </c>
      <c r="G4530" t="str">
        <f>IF(Table3[[#This Row],[Top Parent Account]]="",Table3[[#This Row],[Account Legal Name]],Table3[[#This Row],[Top Parent Account]])</f>
        <v>Grupe</v>
      </c>
      <c r="H4530" s="1"/>
    </row>
    <row r="4531" spans="1:8" x14ac:dyDescent="0.35">
      <c r="A4531" s="21"/>
      <c r="B4531" t="s">
        <v>280</v>
      </c>
      <c r="C4531" t="s">
        <v>6</v>
      </c>
      <c r="D4531" t="s">
        <v>1132</v>
      </c>
      <c r="F4531" s="1">
        <v>45820</v>
      </c>
      <c r="G4531" t="str">
        <f>IF(Table3[[#This Row],[Top Parent Account]]="",Table3[[#This Row],[Account Legal Name]],Table3[[#This Row],[Top Parent Account]])</f>
        <v>OPERADORA DE SERVICIOS TERRESTRES EL EDEN</v>
      </c>
      <c r="H4531" s="1"/>
    </row>
    <row r="4532" spans="1:8" x14ac:dyDescent="0.35">
      <c r="A4532" s="21"/>
      <c r="B4532" t="s">
        <v>114</v>
      </c>
      <c r="C4532" t="s">
        <v>6</v>
      </c>
      <c r="D4532" t="s">
        <v>219</v>
      </c>
      <c r="F4532" s="1">
        <v>45820</v>
      </c>
      <c r="G4532" t="str">
        <f>IF(Table3[[#This Row],[Top Parent Account]]="",Table3[[#This Row],[Account Legal Name]],Table3[[#This Row],[Top Parent Account]])</f>
        <v>Atento Mexico Holdco</v>
      </c>
      <c r="H4532" s="1"/>
    </row>
    <row r="4533" spans="1:8" x14ac:dyDescent="0.35">
      <c r="A4533" s="21"/>
      <c r="B4533" t="s">
        <v>26</v>
      </c>
      <c r="C4533" t="s">
        <v>6</v>
      </c>
      <c r="D4533" t="s">
        <v>253</v>
      </c>
      <c r="E4533" t="s">
        <v>254</v>
      </c>
      <c r="F4533" s="1">
        <v>45820</v>
      </c>
      <c r="G4533" t="str">
        <f>IF(Table3[[#This Row],[Top Parent Account]]="",Table3[[#This Row],[Account Legal Name]],Table3[[#This Row],[Top Parent Account]])</f>
        <v>Tubos y Barras Huecas</v>
      </c>
      <c r="H4533" s="1"/>
    </row>
    <row r="4534" spans="1:8" x14ac:dyDescent="0.35">
      <c r="A4534" s="21"/>
      <c r="B4534" t="s">
        <v>969</v>
      </c>
      <c r="C4534" t="s">
        <v>6</v>
      </c>
      <c r="D4534" t="s">
        <v>585</v>
      </c>
      <c r="F4534" s="1">
        <v>45820</v>
      </c>
      <c r="G4534" t="str">
        <f>IF(Table3[[#This Row],[Top Parent Account]]="",Table3[[#This Row],[Account Legal Name]],Table3[[#This Row],[Top Parent Account]])</f>
        <v>Empacadora La Merced</v>
      </c>
      <c r="H4534" s="1"/>
    </row>
    <row r="4535" spans="1:8" x14ac:dyDescent="0.35">
      <c r="A4535" s="21"/>
      <c r="B4535" t="s">
        <v>25</v>
      </c>
      <c r="C4535" t="s">
        <v>22</v>
      </c>
      <c r="D4535" t="s">
        <v>2385</v>
      </c>
      <c r="F4535" s="1">
        <v>45820</v>
      </c>
      <c r="G4535" t="str">
        <f>IF(Table3[[#This Row],[Top Parent Account]]="",Table3[[#This Row],[Account Legal Name]],Table3[[#This Row],[Top Parent Account]])</f>
        <v>Nor-Seg Servicios De Seguridad Privada</v>
      </c>
      <c r="H4535" s="1"/>
    </row>
    <row r="4536" spans="1:8" x14ac:dyDescent="0.35">
      <c r="A4536" s="21"/>
      <c r="B4536" t="s">
        <v>932</v>
      </c>
      <c r="C4536" t="s">
        <v>2384</v>
      </c>
      <c r="D4536" t="s">
        <v>2064</v>
      </c>
      <c r="F4536" s="1">
        <v>45820</v>
      </c>
      <c r="G4536" t="str">
        <f>IF(Table3[[#This Row],[Top Parent Account]]="",Table3[[#This Row],[Account Legal Name]],Table3[[#This Row],[Top Parent Account]])</f>
        <v>Védat de Mexico</v>
      </c>
      <c r="H4536" s="1"/>
    </row>
    <row r="4537" spans="1:8" x14ac:dyDescent="0.35">
      <c r="A4537" s="21"/>
      <c r="B4537" t="s">
        <v>77</v>
      </c>
      <c r="C4537" t="s">
        <v>6</v>
      </c>
      <c r="D4537" t="s">
        <v>1105</v>
      </c>
      <c r="F4537" s="1">
        <v>45820</v>
      </c>
      <c r="G4537" t="str">
        <f>IF(Table3[[#This Row],[Top Parent Account]]="",Table3[[#This Row],[Account Legal Name]],Table3[[#This Row],[Top Parent Account]])</f>
        <v>Productos Agricolas y Forestales de Chihuahua</v>
      </c>
      <c r="H4537" s="1"/>
    </row>
    <row r="4538" spans="1:8" x14ac:dyDescent="0.35">
      <c r="A4538" s="21"/>
      <c r="B4538" t="s">
        <v>24</v>
      </c>
      <c r="C4538" t="s">
        <v>6</v>
      </c>
      <c r="D4538" t="s">
        <v>429</v>
      </c>
      <c r="F4538" s="1">
        <v>45820</v>
      </c>
      <c r="G4538" t="str">
        <f>IF(Table3[[#This Row],[Top Parent Account]]="",Table3[[#This Row],[Account Legal Name]],Table3[[#This Row],[Top Parent Account]])</f>
        <v>Exportalizas Mexicanas</v>
      </c>
      <c r="H4538" s="1"/>
    </row>
    <row r="4539" spans="1:8" x14ac:dyDescent="0.35">
      <c r="A4539" s="21"/>
      <c r="B4539" t="s">
        <v>37</v>
      </c>
      <c r="C4539" t="s">
        <v>6</v>
      </c>
      <c r="D4539" t="s">
        <v>2386</v>
      </c>
      <c r="F4539" s="1">
        <v>45820</v>
      </c>
      <c r="G4539" t="str">
        <f>IF(Table3[[#This Row],[Top Parent Account]]="",Table3[[#This Row],[Account Legal Name]],Table3[[#This Row],[Top Parent Account]])</f>
        <v>PROVEEDORAA PIINSA</v>
      </c>
      <c r="H4539" s="1"/>
    </row>
    <row r="4540" spans="1:8" x14ac:dyDescent="0.35">
      <c r="A4540" s="21"/>
      <c r="B4540" t="s">
        <v>1131</v>
      </c>
      <c r="C4540" t="s">
        <v>6</v>
      </c>
      <c r="D4540" t="s">
        <v>2074</v>
      </c>
      <c r="F4540" s="1">
        <v>45820</v>
      </c>
      <c r="G4540" t="str">
        <f>IF(Table3[[#This Row],[Top Parent Account]]="",Table3[[#This Row],[Account Legal Name]],Table3[[#This Row],[Top Parent Account]])</f>
        <v>INDUSTRIAS PLASTICAS DEL CENTRO</v>
      </c>
      <c r="H4540" s="1"/>
    </row>
    <row r="4541" spans="1:8" x14ac:dyDescent="0.35">
      <c r="A4541" s="21"/>
      <c r="B4541" t="s">
        <v>38</v>
      </c>
      <c r="C4541" t="s">
        <v>6</v>
      </c>
      <c r="D4541" t="s">
        <v>670</v>
      </c>
      <c r="F4541" s="1">
        <v>45819</v>
      </c>
      <c r="G4541" t="str">
        <f>IF(Table3[[#This Row],[Top Parent Account]]="",Table3[[#This Row],[Account Legal Name]],Table3[[#This Row],[Top Parent Account]])</f>
        <v>Aluprint</v>
      </c>
      <c r="H4541" s="1"/>
    </row>
    <row r="4542" spans="1:8" x14ac:dyDescent="0.35">
      <c r="A4542" s="21"/>
      <c r="B4542" t="s">
        <v>172</v>
      </c>
      <c r="C4542" t="s">
        <v>6</v>
      </c>
      <c r="D4542" t="s">
        <v>655</v>
      </c>
      <c r="E4542" t="s">
        <v>660</v>
      </c>
      <c r="F4542" s="1">
        <v>45819</v>
      </c>
      <c r="G4542" t="str">
        <f>IF(Table3[[#This Row],[Top Parent Account]]="",Table3[[#This Row],[Account Legal Name]],Table3[[#This Row],[Top Parent Account]])</f>
        <v>Sociedad Ecologica Mexicana del Norte</v>
      </c>
      <c r="H4542" s="1"/>
    </row>
    <row r="4543" spans="1:8" x14ac:dyDescent="0.35">
      <c r="A4543" s="21"/>
      <c r="B4543" t="s">
        <v>375</v>
      </c>
      <c r="C4543" t="s">
        <v>6</v>
      </c>
      <c r="D4543" t="s">
        <v>2387</v>
      </c>
      <c r="F4543" s="1">
        <v>45819</v>
      </c>
      <c r="G4543" t="str">
        <f>IF(Table3[[#This Row],[Top Parent Account]]="",Table3[[#This Row],[Account Legal Name]],Table3[[#This Row],[Top Parent Account]])</f>
        <v>Contrato Solar</v>
      </c>
      <c r="H4543" s="1"/>
    </row>
    <row r="4544" spans="1:8" x14ac:dyDescent="0.35">
      <c r="A4544" s="21"/>
      <c r="B4544" t="s">
        <v>88</v>
      </c>
      <c r="C4544" t="s">
        <v>22</v>
      </c>
      <c r="D4544" t="s">
        <v>2388</v>
      </c>
      <c r="F4544" s="1">
        <v>45819</v>
      </c>
      <c r="G4544" t="str">
        <f>IF(Table3[[#This Row],[Top Parent Account]]="",Table3[[#This Row],[Account Legal Name]],Table3[[#This Row],[Top Parent Account]])</f>
        <v>Nojisa</v>
      </c>
      <c r="H4544" s="1"/>
    </row>
    <row r="4545" spans="1:8" x14ac:dyDescent="0.35">
      <c r="A4545" s="21"/>
      <c r="B4545" t="s">
        <v>7</v>
      </c>
      <c r="C4545" t="s">
        <v>6</v>
      </c>
      <c r="D4545" t="s">
        <v>2389</v>
      </c>
      <c r="F4545" s="1">
        <v>45819</v>
      </c>
      <c r="G4545" t="str">
        <f>IF(Table3[[#This Row],[Top Parent Account]]="",Table3[[#This Row],[Account Legal Name]],Table3[[#This Row],[Top Parent Account]])</f>
        <v>Manufacturera Goertzen Y Asociados</v>
      </c>
      <c r="H4545" s="1"/>
    </row>
    <row r="4546" spans="1:8" x14ac:dyDescent="0.35">
      <c r="A4546" s="21"/>
      <c r="B4546" t="s">
        <v>1511</v>
      </c>
      <c r="C4546" t="s">
        <v>6</v>
      </c>
      <c r="D4546" t="s">
        <v>2441</v>
      </c>
      <c r="F4546" s="1">
        <v>45819</v>
      </c>
      <c r="G4546" t="str">
        <f>IF(Table3[[#This Row],[Top Parent Account]]="",Table3[[#This Row],[Account Legal Name]],Table3[[#This Row],[Top Parent Account]])</f>
        <v>Unión de ruteros 327 y anexas</v>
      </c>
      <c r="H4546" s="1"/>
    </row>
    <row r="4547" spans="1:8" x14ac:dyDescent="0.35">
      <c r="A4547" s="21"/>
      <c r="B4547" t="s">
        <v>77</v>
      </c>
      <c r="C4547" t="s">
        <v>6</v>
      </c>
      <c r="D4547" t="s">
        <v>2390</v>
      </c>
      <c r="F4547" s="1">
        <v>45819</v>
      </c>
      <c r="G4547" t="str">
        <f>IF(Table3[[#This Row],[Top Parent Account]]="",Table3[[#This Row],[Account Legal Name]],Table3[[#This Row],[Top Parent Account]])</f>
        <v>INDUSTRIAS FRIMAR</v>
      </c>
      <c r="H4547" s="1"/>
    </row>
    <row r="4548" spans="1:8" x14ac:dyDescent="0.35">
      <c r="A4548" s="21"/>
      <c r="B4548" t="s">
        <v>21</v>
      </c>
      <c r="C4548" t="s">
        <v>6</v>
      </c>
      <c r="D4548" t="s">
        <v>2391</v>
      </c>
      <c r="F4548" s="1">
        <v>45819</v>
      </c>
      <c r="G4548" t="str">
        <f>IF(Table3[[#This Row],[Top Parent Account]]="",Table3[[#This Row],[Account Legal Name]],Table3[[#This Row],[Top Parent Account]])</f>
        <v>AGROINDUSTRIA OLEICA DE LA REGION DE LOS RIOS</v>
      </c>
      <c r="H4548" s="1"/>
    </row>
    <row r="4549" spans="1:8" x14ac:dyDescent="0.35">
      <c r="A4549" s="21"/>
      <c r="B4549" t="s">
        <v>88</v>
      </c>
      <c r="C4549" t="s">
        <v>6</v>
      </c>
      <c r="D4549" t="s">
        <v>2392</v>
      </c>
      <c r="F4549" s="1">
        <v>45819</v>
      </c>
      <c r="G4549" t="str">
        <f>IF(Table3[[#This Row],[Top Parent Account]]="",Table3[[#This Row],[Account Legal Name]],Table3[[#This Row],[Top Parent Account]])</f>
        <v>Multimodal Logistica y Servicios</v>
      </c>
      <c r="H4549" s="1"/>
    </row>
    <row r="4550" spans="1:8" x14ac:dyDescent="0.35">
      <c r="A4550" s="21"/>
      <c r="B4550" t="s">
        <v>18</v>
      </c>
      <c r="C4550" t="s">
        <v>6</v>
      </c>
      <c r="D4550" t="s">
        <v>2393</v>
      </c>
      <c r="F4550" s="1">
        <v>45819</v>
      </c>
      <c r="G4550" t="str">
        <f>IF(Table3[[#This Row],[Top Parent Account]]="",Table3[[#This Row],[Account Legal Name]],Table3[[#This Row],[Top Parent Account]])</f>
        <v>Maquinados AEME</v>
      </c>
      <c r="H4550" s="1"/>
    </row>
    <row r="4551" spans="1:8" x14ac:dyDescent="0.35">
      <c r="A4551" s="21"/>
      <c r="B4551" t="s">
        <v>280</v>
      </c>
      <c r="C4551" t="s">
        <v>6</v>
      </c>
      <c r="D4551" t="s">
        <v>1207</v>
      </c>
      <c r="E4551" t="s">
        <v>1208</v>
      </c>
      <c r="F4551" s="1">
        <v>45819</v>
      </c>
      <c r="G4551" t="str">
        <f>IF(Table3[[#This Row],[Top Parent Account]]="",Table3[[#This Row],[Account Legal Name]],Table3[[#This Row],[Top Parent Account]])</f>
        <v>Grupo Alerta</v>
      </c>
      <c r="H4551" s="1"/>
    </row>
    <row r="4552" spans="1:8" x14ac:dyDescent="0.35">
      <c r="A4552" s="21"/>
      <c r="B4552" t="s">
        <v>88</v>
      </c>
      <c r="C4552" t="s">
        <v>6</v>
      </c>
      <c r="D4552" t="s">
        <v>892</v>
      </c>
      <c r="F4552" s="1">
        <v>45819</v>
      </c>
      <c r="G4552" t="str">
        <f>IF(Table3[[#This Row],[Top Parent Account]]="",Table3[[#This Row],[Account Legal Name]],Table3[[#This Row],[Top Parent Account]])</f>
        <v>Tradeg Consulting Services</v>
      </c>
      <c r="H4552" s="1"/>
    </row>
    <row r="4553" spans="1:8" x14ac:dyDescent="0.35">
      <c r="A4553" s="21"/>
      <c r="B4553" t="s">
        <v>14</v>
      </c>
      <c r="C4553" t="s">
        <v>6</v>
      </c>
      <c r="D4553" t="s">
        <v>562</v>
      </c>
      <c r="F4553" s="1">
        <v>45819</v>
      </c>
      <c r="G4553" t="str">
        <f>IF(Table3[[#This Row],[Top Parent Account]]="",Table3[[#This Row],[Account Legal Name]],Table3[[#This Row],[Top Parent Account]])</f>
        <v>Translogistics L&amp;M De Zacatecas</v>
      </c>
      <c r="H4553" s="1"/>
    </row>
    <row r="4554" spans="1:8" x14ac:dyDescent="0.35">
      <c r="A4554" s="21"/>
      <c r="B4554" t="s">
        <v>84</v>
      </c>
      <c r="C4554" t="s">
        <v>87</v>
      </c>
      <c r="D4554" t="s">
        <v>2394</v>
      </c>
      <c r="F4554" s="1">
        <v>45819</v>
      </c>
      <c r="G4554" t="str">
        <f>IF(Table3[[#This Row],[Top Parent Account]]="",Table3[[#This Row],[Account Legal Name]],Table3[[#This Row],[Top Parent Account]])</f>
        <v>Wc Móvil De Monterrey</v>
      </c>
      <c r="H4554" s="1"/>
    </row>
    <row r="4555" spans="1:8" x14ac:dyDescent="0.35">
      <c r="A4555" s="21"/>
      <c r="B4555" t="s">
        <v>84</v>
      </c>
      <c r="C4555" t="s">
        <v>2395</v>
      </c>
      <c r="D4555" t="s">
        <v>2396</v>
      </c>
      <c r="F4555" s="1">
        <v>45819</v>
      </c>
      <c r="G4555" t="str">
        <f>IF(Table3[[#This Row],[Top Parent Account]]="",Table3[[#This Row],[Account Legal Name]],Table3[[#This Row],[Top Parent Account]])</f>
        <v>Triturados San Jeronimo</v>
      </c>
      <c r="H4555" s="1"/>
    </row>
    <row r="4556" spans="1:8" x14ac:dyDescent="0.35">
      <c r="A4556" s="21"/>
      <c r="B4556" t="s">
        <v>925</v>
      </c>
      <c r="C4556" t="s">
        <v>6</v>
      </c>
      <c r="D4556" t="s">
        <v>1869</v>
      </c>
      <c r="F4556" s="1">
        <v>45819</v>
      </c>
      <c r="G4556" t="str">
        <f>IF(Table3[[#This Row],[Top Parent Account]]="",Table3[[#This Row],[Account Legal Name]],Table3[[#This Row],[Top Parent Account]])</f>
        <v>ACEROS Y PRODUCTOS PERFICORTE</v>
      </c>
      <c r="H4556" s="1"/>
    </row>
    <row r="4557" spans="1:8" x14ac:dyDescent="0.35">
      <c r="A4557" s="21"/>
      <c r="B4557" t="s">
        <v>26</v>
      </c>
      <c r="C4557" t="s">
        <v>6</v>
      </c>
      <c r="D4557" t="s">
        <v>497</v>
      </c>
      <c r="F4557" s="1">
        <v>45819</v>
      </c>
      <c r="G4557" t="str">
        <f>IF(Table3[[#This Row],[Top Parent Account]]="",Table3[[#This Row],[Account Legal Name]],Table3[[#This Row],[Top Parent Account]])</f>
        <v>Servicios Troncalizados</v>
      </c>
      <c r="H4557" s="1"/>
    </row>
    <row r="4558" spans="1:8" x14ac:dyDescent="0.35">
      <c r="A4558" s="21"/>
      <c r="B4558" t="s">
        <v>14</v>
      </c>
      <c r="C4558" t="s">
        <v>6</v>
      </c>
      <c r="D4558" t="s">
        <v>2502</v>
      </c>
      <c r="F4558" s="1">
        <v>45819</v>
      </c>
      <c r="G4558" t="str">
        <f>IF(Table3[[#This Row],[Top Parent Account]]="",Table3[[#This Row],[Account Legal Name]],Table3[[#This Row],[Top Parent Account]])</f>
        <v>Pack Mach</v>
      </c>
      <c r="H4558" s="1"/>
    </row>
    <row r="4559" spans="1:8" x14ac:dyDescent="0.35">
      <c r="A4559" s="21"/>
      <c r="B4559" t="s">
        <v>169</v>
      </c>
      <c r="C4559" t="s">
        <v>6</v>
      </c>
      <c r="D4559" t="s">
        <v>213</v>
      </c>
      <c r="F4559" s="1">
        <v>45819</v>
      </c>
      <c r="G4559" t="str">
        <f>IF(Table3[[#This Row],[Top Parent Account]]="",Table3[[#This Row],[Account Legal Name]],Table3[[#This Row],[Top Parent Account]])</f>
        <v>Fabrica de Dulces Miguelito</v>
      </c>
      <c r="H4559" s="1"/>
    </row>
    <row r="4560" spans="1:8" x14ac:dyDescent="0.35">
      <c r="A4560" s="21"/>
      <c r="B4560" t="s">
        <v>208</v>
      </c>
      <c r="C4560" t="s">
        <v>6</v>
      </c>
      <c r="D4560" t="s">
        <v>731</v>
      </c>
      <c r="F4560" s="1">
        <v>45819</v>
      </c>
      <c r="G4560" t="str">
        <f>IF(Table3[[#This Row],[Top Parent Account]]="",Table3[[#This Row],[Account Legal Name]],Table3[[#This Row],[Top Parent Account]])</f>
        <v>Basor México</v>
      </c>
      <c r="H4560" s="1"/>
    </row>
    <row r="4561" spans="1:8" x14ac:dyDescent="0.35">
      <c r="A4561" s="21"/>
      <c r="B4561" t="s">
        <v>969</v>
      </c>
      <c r="C4561" t="s">
        <v>6</v>
      </c>
      <c r="D4561" t="s">
        <v>732</v>
      </c>
      <c r="F4561" s="1">
        <v>45819</v>
      </c>
      <c r="G4561" t="str">
        <f>IF(Table3[[#This Row],[Top Parent Account]]="",Table3[[#This Row],[Account Legal Name]],Table3[[#This Row],[Top Parent Account]])</f>
        <v>Aura Proyectos Sustentables</v>
      </c>
      <c r="H4561" s="1"/>
    </row>
    <row r="4562" spans="1:8" x14ac:dyDescent="0.35">
      <c r="A4562" s="21"/>
      <c r="B4562" t="s">
        <v>1006</v>
      </c>
      <c r="C4562" t="s">
        <v>6</v>
      </c>
      <c r="D4562" t="s">
        <v>1061</v>
      </c>
      <c r="F4562" s="1">
        <v>45819</v>
      </c>
      <c r="G4562" t="str">
        <f>IF(Table3[[#This Row],[Top Parent Account]]="",Table3[[#This Row],[Account Legal Name]],Table3[[#This Row],[Top Parent Account]])</f>
        <v>Lácteos Mojica</v>
      </c>
      <c r="H4562" s="1"/>
    </row>
    <row r="4563" spans="1:8" x14ac:dyDescent="0.35">
      <c r="A4563" s="21"/>
      <c r="B4563" t="s">
        <v>18</v>
      </c>
      <c r="C4563" t="s">
        <v>6</v>
      </c>
      <c r="D4563" t="s">
        <v>2397</v>
      </c>
      <c r="F4563" s="1">
        <v>45819</v>
      </c>
      <c r="G4563" t="str">
        <f>IF(Table3[[#This Row],[Top Parent Account]]="",Table3[[#This Row],[Account Legal Name]],Table3[[#This Row],[Top Parent Account]])</f>
        <v>Zulma Yaneth Arato Casillas</v>
      </c>
      <c r="H4563" s="1"/>
    </row>
    <row r="4564" spans="1:8" x14ac:dyDescent="0.35">
      <c r="A4564" s="21"/>
      <c r="B4564" t="s">
        <v>932</v>
      </c>
      <c r="C4564" t="s">
        <v>2442</v>
      </c>
      <c r="D4564" t="s">
        <v>2443</v>
      </c>
      <c r="F4564" s="1">
        <v>45819</v>
      </c>
      <c r="G4564" t="str">
        <f>IF(Table3[[#This Row],[Top Parent Account]]="",Table3[[#This Row],[Account Legal Name]],Table3[[#This Row],[Top Parent Account]])</f>
        <v>IOTZONE</v>
      </c>
      <c r="H4564" s="1"/>
    </row>
    <row r="4565" spans="1:8" x14ac:dyDescent="0.35">
      <c r="A4565" s="21"/>
      <c r="B4565" t="s">
        <v>23</v>
      </c>
      <c r="C4565" t="s">
        <v>6</v>
      </c>
      <c r="D4565" t="s">
        <v>2444</v>
      </c>
      <c r="F4565" s="1">
        <v>45819</v>
      </c>
      <c r="G4565" t="str">
        <f>IF(Table3[[#This Row],[Top Parent Account]]="",Table3[[#This Row],[Account Legal Name]],Table3[[#This Row],[Top Parent Account]])</f>
        <v>GRUAS VIAJERAS Y POLIPASTOS DEL BAJIO</v>
      </c>
      <c r="H4565" s="1"/>
    </row>
    <row r="4566" spans="1:8" x14ac:dyDescent="0.35">
      <c r="A4566" s="21"/>
      <c r="B4566" t="s">
        <v>43</v>
      </c>
      <c r="C4566" t="s">
        <v>6</v>
      </c>
      <c r="D4566" t="s">
        <v>2398</v>
      </c>
      <c r="F4566" s="1">
        <v>45819</v>
      </c>
      <c r="G4566" t="str">
        <f>IF(Table3[[#This Row],[Top Parent Account]]="",Table3[[#This Row],[Account Legal Name]],Table3[[#This Row],[Top Parent Account]])</f>
        <v>Grupo Besco</v>
      </c>
      <c r="H4566" s="1"/>
    </row>
    <row r="4567" spans="1:8" x14ac:dyDescent="0.35">
      <c r="A4567" s="21"/>
      <c r="B4567" t="s">
        <v>7</v>
      </c>
      <c r="C4567" t="s">
        <v>6</v>
      </c>
      <c r="D4567" t="s">
        <v>2399</v>
      </c>
      <c r="F4567" s="1">
        <v>45819</v>
      </c>
      <c r="G4567" t="str">
        <f>IF(Table3[[#This Row],[Top Parent Account]]="",Table3[[#This Row],[Account Legal Name]],Table3[[#This Row],[Top Parent Account]])</f>
        <v>SRI Refrigeracion inteligente</v>
      </c>
      <c r="H4567" s="1"/>
    </row>
    <row r="4568" spans="1:8" x14ac:dyDescent="0.35">
      <c r="A4568" s="21"/>
      <c r="B4568" t="s">
        <v>1131</v>
      </c>
      <c r="C4568" t="s">
        <v>6</v>
      </c>
      <c r="D4568" t="s">
        <v>2445</v>
      </c>
      <c r="F4568" s="1">
        <v>45819</v>
      </c>
      <c r="G4568" t="str">
        <f>IF(Table3[[#This Row],[Top Parent Account]]="",Table3[[#This Row],[Account Legal Name]],Table3[[#This Row],[Top Parent Account]])</f>
        <v>Cydsa Corporativo</v>
      </c>
      <c r="H4568" s="1"/>
    </row>
    <row r="4569" spans="1:8" x14ac:dyDescent="0.35">
      <c r="A4569" s="21"/>
      <c r="B4569" t="s">
        <v>24</v>
      </c>
      <c r="C4569" t="s">
        <v>6</v>
      </c>
      <c r="D4569" t="s">
        <v>914</v>
      </c>
      <c r="F4569" s="1">
        <v>45819</v>
      </c>
      <c r="G4569" t="str">
        <f>IF(Table3[[#This Row],[Top Parent Account]]="",Table3[[#This Row],[Account Legal Name]],Table3[[#This Row],[Top Parent Account]])</f>
        <v>Agroproducto Diazteca</v>
      </c>
      <c r="H4569" s="1"/>
    </row>
    <row r="4570" spans="1:8" x14ac:dyDescent="0.35">
      <c r="A4570" s="21"/>
      <c r="B4570" t="s">
        <v>1899</v>
      </c>
      <c r="C4570" t="s">
        <v>6</v>
      </c>
      <c r="D4570" t="s">
        <v>2446</v>
      </c>
      <c r="F4570" s="1">
        <v>45819</v>
      </c>
      <c r="G4570" t="str">
        <f>IF(Table3[[#This Row],[Top Parent Account]]="",Table3[[#This Row],[Account Legal Name]],Table3[[#This Row],[Top Parent Account]])</f>
        <v>Ingenio Santos</v>
      </c>
      <c r="H4570" s="1"/>
    </row>
    <row r="4571" spans="1:8" x14ac:dyDescent="0.35">
      <c r="A4571" s="21"/>
      <c r="B4571" t="s">
        <v>43</v>
      </c>
      <c r="C4571" t="s">
        <v>6</v>
      </c>
      <c r="D4571" t="s">
        <v>2398</v>
      </c>
      <c r="F4571" s="1">
        <v>45819</v>
      </c>
      <c r="G4571" t="str">
        <f>IF(Table3[[#This Row],[Top Parent Account]]="",Table3[[#This Row],[Account Legal Name]],Table3[[#This Row],[Top Parent Account]])</f>
        <v>Grupo Besco</v>
      </c>
      <c r="H4571" s="1"/>
    </row>
    <row r="4572" spans="1:8" x14ac:dyDescent="0.35">
      <c r="A4572" s="21"/>
      <c r="B4572" t="s">
        <v>1006</v>
      </c>
      <c r="C4572" t="s">
        <v>6</v>
      </c>
      <c r="D4572" t="s">
        <v>2028</v>
      </c>
      <c r="F4572" s="1">
        <v>45819</v>
      </c>
      <c r="G4572" t="str">
        <f>IF(Table3[[#This Row],[Top Parent Account]]="",Table3[[#This Row],[Account Legal Name]],Table3[[#This Row],[Top Parent Account]])</f>
        <v>4M Industrias Plasticas</v>
      </c>
      <c r="H4572" s="1"/>
    </row>
    <row r="4573" spans="1:8" x14ac:dyDescent="0.35">
      <c r="A4573" s="21"/>
      <c r="B4573" t="s">
        <v>169</v>
      </c>
      <c r="C4573" t="s">
        <v>6</v>
      </c>
      <c r="D4573" t="s">
        <v>1935</v>
      </c>
      <c r="F4573" s="1">
        <v>45819</v>
      </c>
      <c r="G4573" t="str">
        <f>IF(Table3[[#This Row],[Top Parent Account]]="",Table3[[#This Row],[Account Legal Name]],Table3[[#This Row],[Top Parent Account]])</f>
        <v>ALBA DEL ARENAL GONZALEZ</v>
      </c>
      <c r="H4573" s="1"/>
    </row>
    <row r="4574" spans="1:8" x14ac:dyDescent="0.35">
      <c r="A4574" s="21"/>
      <c r="B4574" t="s">
        <v>1643</v>
      </c>
      <c r="C4574" t="s">
        <v>6</v>
      </c>
      <c r="D4574" t="s">
        <v>1771</v>
      </c>
      <c r="F4574" s="1">
        <v>45819</v>
      </c>
      <c r="G4574" t="str">
        <f>IF(Table3[[#This Row],[Top Parent Account]]="",Table3[[#This Row],[Account Legal Name]],Table3[[#This Row],[Top Parent Account]])</f>
        <v>Fortacero</v>
      </c>
      <c r="H4574" s="1"/>
    </row>
    <row r="4575" spans="1:8" x14ac:dyDescent="0.35">
      <c r="A4575" s="21"/>
      <c r="B4575" t="s">
        <v>88</v>
      </c>
      <c r="C4575" t="s">
        <v>6</v>
      </c>
      <c r="D4575" t="s">
        <v>2400</v>
      </c>
      <c r="F4575" s="1">
        <v>45819</v>
      </c>
      <c r="G4575" t="str">
        <f>IF(Table3[[#This Row],[Top Parent Account]]="",Table3[[#This Row],[Account Legal Name]],Table3[[#This Row],[Top Parent Account]])</f>
        <v>Constru Almar</v>
      </c>
      <c r="H4575" s="1"/>
    </row>
    <row r="4576" spans="1:8" x14ac:dyDescent="0.35">
      <c r="A4576" s="21"/>
      <c r="B4576" t="s">
        <v>925</v>
      </c>
      <c r="C4576" t="s">
        <v>6</v>
      </c>
      <c r="D4576" t="s">
        <v>1483</v>
      </c>
      <c r="F4576" s="1">
        <v>45819</v>
      </c>
      <c r="G4576" t="str">
        <f>IF(Table3[[#This Row],[Top Parent Account]]="",Table3[[#This Row],[Account Legal Name]],Table3[[#This Row],[Top Parent Account]])</f>
        <v>Ingeniería y Productos de Acero</v>
      </c>
      <c r="H4576" s="1"/>
    </row>
    <row r="4577" spans="1:8" x14ac:dyDescent="0.35">
      <c r="A4577" s="21"/>
      <c r="B4577" t="s">
        <v>29</v>
      </c>
      <c r="C4577" t="s">
        <v>6</v>
      </c>
      <c r="D4577" t="s">
        <v>1642</v>
      </c>
      <c r="F4577" s="1">
        <v>45819</v>
      </c>
      <c r="G4577" t="str">
        <f>IF(Table3[[#This Row],[Top Parent Account]]="",Table3[[#This Row],[Account Legal Name]],Table3[[#This Row],[Top Parent Account]])</f>
        <v>Gelpharma</v>
      </c>
      <c r="H4577" s="1"/>
    </row>
    <row r="4578" spans="1:8" x14ac:dyDescent="0.35">
      <c r="A4578" s="21"/>
      <c r="B4578" t="s">
        <v>32</v>
      </c>
      <c r="C4578" t="s">
        <v>6</v>
      </c>
      <c r="D4578" t="s">
        <v>2401</v>
      </c>
      <c r="E4578" t="s">
        <v>329</v>
      </c>
      <c r="F4578" s="1">
        <v>45819</v>
      </c>
      <c r="G4578" t="str">
        <f>IF(Table3[[#This Row],[Top Parent Account]]="",Table3[[#This Row],[Account Legal Name]],Table3[[#This Row],[Top Parent Account]])</f>
        <v>Cotemar</v>
      </c>
      <c r="H4578" s="1"/>
    </row>
    <row r="4579" spans="1:8" x14ac:dyDescent="0.35">
      <c r="A4579" s="21"/>
      <c r="B4579" t="s">
        <v>208</v>
      </c>
      <c r="C4579" t="s">
        <v>6</v>
      </c>
      <c r="D4579" t="s">
        <v>1714</v>
      </c>
      <c r="F4579" s="1">
        <v>45819</v>
      </c>
      <c r="G4579" t="str">
        <f>IF(Table3[[#This Row],[Top Parent Account]]="",Table3[[#This Row],[Account Legal Name]],Table3[[#This Row],[Top Parent Account]])</f>
        <v>SERTI</v>
      </c>
      <c r="H4579" s="1"/>
    </row>
    <row r="4580" spans="1:8" x14ac:dyDescent="0.35">
      <c r="A4580" s="21"/>
      <c r="B4580" t="s">
        <v>27</v>
      </c>
      <c r="C4580" t="s">
        <v>6</v>
      </c>
      <c r="D4580" t="s">
        <v>2229</v>
      </c>
      <c r="F4580" s="1">
        <v>45819</v>
      </c>
      <c r="G4580" t="str">
        <f>IF(Table3[[#This Row],[Top Parent Account]]="",Table3[[#This Row],[Account Legal Name]],Table3[[#This Row],[Top Parent Account]])</f>
        <v>Eléctrica Ab</v>
      </c>
      <c r="H4580" s="1"/>
    </row>
    <row r="4581" spans="1:8" x14ac:dyDescent="0.35">
      <c r="A4581" s="21"/>
      <c r="B4581" t="s">
        <v>24</v>
      </c>
      <c r="C4581" t="s">
        <v>6</v>
      </c>
      <c r="D4581" t="s">
        <v>2402</v>
      </c>
      <c r="F4581" s="1">
        <v>45819</v>
      </c>
      <c r="G4581" t="str">
        <f>IF(Table3[[#This Row],[Top Parent Account]]="",Table3[[#This Row],[Account Legal Name]],Table3[[#This Row],[Top Parent Account]])</f>
        <v>Julio Alejandro Aguillon Meza</v>
      </c>
      <c r="H4581" s="1"/>
    </row>
    <row r="4582" spans="1:8" x14ac:dyDescent="0.35">
      <c r="A4582" s="21"/>
      <c r="B4582" t="s">
        <v>169</v>
      </c>
      <c r="C4582" t="s">
        <v>6</v>
      </c>
      <c r="D4582" t="s">
        <v>786</v>
      </c>
      <c r="F4582" s="1">
        <v>45819</v>
      </c>
      <c r="G4582" t="str">
        <f>IF(Table3[[#This Row],[Top Parent Account]]="",Table3[[#This Row],[Account Legal Name]],Table3[[#This Row],[Top Parent Account]])</f>
        <v>Ingeniería Tizayuca</v>
      </c>
      <c r="H4582" s="1"/>
    </row>
    <row r="4583" spans="1:8" x14ac:dyDescent="0.35">
      <c r="A4583" s="21"/>
      <c r="B4583" t="s">
        <v>932</v>
      </c>
      <c r="C4583" t="s">
        <v>6</v>
      </c>
      <c r="D4583" t="s">
        <v>2403</v>
      </c>
      <c r="F4583" s="1">
        <v>45819</v>
      </c>
      <c r="G4583" t="str">
        <f>IF(Table3[[#This Row],[Top Parent Account]]="",Table3[[#This Row],[Account Legal Name]],Table3[[#This Row],[Top Parent Account]])</f>
        <v>SEGTEC VIDRIO</v>
      </c>
      <c r="H4583" s="1"/>
    </row>
    <row r="4584" spans="1:8" x14ac:dyDescent="0.35">
      <c r="A4584" s="21"/>
      <c r="B4584" t="s">
        <v>7</v>
      </c>
      <c r="C4584" t="s">
        <v>6</v>
      </c>
      <c r="D4584" t="s">
        <v>2404</v>
      </c>
      <c r="F4584" s="1">
        <v>45818</v>
      </c>
      <c r="G4584" t="str">
        <f>IF(Table3[[#This Row],[Top Parent Account]]="",Table3[[#This Row],[Account Legal Name]],Table3[[#This Row],[Top Parent Account]])</f>
        <v>Fab tech</v>
      </c>
      <c r="H4584" s="1"/>
    </row>
    <row r="4585" spans="1:8" x14ac:dyDescent="0.35">
      <c r="A4585" s="21"/>
      <c r="B4585" t="s">
        <v>208</v>
      </c>
      <c r="C4585" t="s">
        <v>6</v>
      </c>
      <c r="D4585" t="s">
        <v>2337</v>
      </c>
      <c r="E4585" t="s">
        <v>272</v>
      </c>
      <c r="F4585" s="1">
        <v>45818</v>
      </c>
      <c r="G4585" t="str">
        <f>IF(Table3[[#This Row],[Top Parent Account]]="",Table3[[#This Row],[Account Legal Name]],Table3[[#This Row],[Top Parent Account]])</f>
        <v>Quimica Rosmar</v>
      </c>
      <c r="H4585" s="1"/>
    </row>
    <row r="4586" spans="1:8" x14ac:dyDescent="0.35">
      <c r="A4586" s="21"/>
      <c r="B4586" t="s">
        <v>43</v>
      </c>
      <c r="C4586" t="s">
        <v>6</v>
      </c>
      <c r="D4586" t="s">
        <v>179</v>
      </c>
      <c r="F4586" s="1">
        <v>45818</v>
      </c>
      <c r="G4586" t="str">
        <f>IF(Table3[[#This Row],[Top Parent Account]]="",Table3[[#This Row],[Account Legal Name]],Table3[[#This Row],[Top Parent Account]])</f>
        <v>LDR Solution</v>
      </c>
      <c r="H4586" s="1"/>
    </row>
    <row r="4587" spans="1:8" x14ac:dyDescent="0.35">
      <c r="A4587" s="21"/>
      <c r="B4587" t="s">
        <v>88</v>
      </c>
      <c r="C4587" t="s">
        <v>6</v>
      </c>
      <c r="D4587" t="s">
        <v>2423</v>
      </c>
      <c r="F4587" s="1">
        <v>45818</v>
      </c>
      <c r="G4587" t="str">
        <f>IF(Table3[[#This Row],[Top Parent Account]]="",Table3[[#This Row],[Account Legal Name]],Table3[[#This Row],[Top Parent Account]])</f>
        <v>PREMEZCLADOS NAZAS</v>
      </c>
      <c r="H4587" s="1"/>
    </row>
    <row r="4588" spans="1:8" x14ac:dyDescent="0.35">
      <c r="A4588" s="21"/>
      <c r="B4588" t="s">
        <v>70</v>
      </c>
      <c r="C4588" t="s">
        <v>22</v>
      </c>
      <c r="D4588" t="s">
        <v>555</v>
      </c>
      <c r="F4588" s="1">
        <v>45818</v>
      </c>
      <c r="G4588" t="str">
        <f>IF(Table3[[#This Row],[Top Parent Account]]="",Table3[[#This Row],[Account Legal Name]],Table3[[#This Row],[Top Parent Account]])</f>
        <v>Hospital Ingles</v>
      </c>
      <c r="H4588" s="1"/>
    </row>
    <row r="4589" spans="1:8" x14ac:dyDescent="0.35">
      <c r="A4589" s="21"/>
      <c r="B4589" t="s">
        <v>172</v>
      </c>
      <c r="C4589" t="s">
        <v>6</v>
      </c>
      <c r="D4589" t="s">
        <v>595</v>
      </c>
      <c r="F4589" s="1">
        <v>45818</v>
      </c>
      <c r="G4589" t="str">
        <f>IF(Table3[[#This Row],[Top Parent Account]]="",Table3[[#This Row],[Account Legal Name]],Table3[[#This Row],[Top Parent Account]])</f>
        <v>Aveymas</v>
      </c>
      <c r="H4589" s="1"/>
    </row>
    <row r="4590" spans="1:8" x14ac:dyDescent="0.35">
      <c r="A4590" s="21"/>
      <c r="B4590" t="s">
        <v>39</v>
      </c>
      <c r="C4590" t="s">
        <v>57</v>
      </c>
      <c r="D4590" t="s">
        <v>2405</v>
      </c>
      <c r="F4590" s="1">
        <v>45818</v>
      </c>
      <c r="G4590" t="str">
        <f>IF(Table3[[#This Row],[Top Parent Account]]="",Table3[[#This Row],[Account Legal Name]],Table3[[#This Row],[Top Parent Account]])</f>
        <v>Procemmex</v>
      </c>
      <c r="H4590" s="1"/>
    </row>
    <row r="4591" spans="1:8" x14ac:dyDescent="0.35">
      <c r="A4591" s="21"/>
      <c r="B4591" t="s">
        <v>11</v>
      </c>
      <c r="C4591" t="s">
        <v>6</v>
      </c>
      <c r="D4591" t="s">
        <v>397</v>
      </c>
      <c r="F4591" s="1">
        <v>45818</v>
      </c>
      <c r="G4591" t="str">
        <f>IF(Table3[[#This Row],[Top Parent Account]]="",Table3[[#This Row],[Account Legal Name]],Table3[[#This Row],[Top Parent Account]])</f>
        <v>Entex de Mexico</v>
      </c>
      <c r="H4591" s="1"/>
    </row>
    <row r="4592" spans="1:8" x14ac:dyDescent="0.35">
      <c r="A4592" s="21"/>
      <c r="B4592" t="s">
        <v>172</v>
      </c>
      <c r="C4592" t="s">
        <v>6</v>
      </c>
      <c r="D4592" t="s">
        <v>2376</v>
      </c>
      <c r="F4592" s="1">
        <v>45818</v>
      </c>
      <c r="G4592" t="str">
        <f>IF(Table3[[#This Row],[Top Parent Account]]="",Table3[[#This Row],[Account Legal Name]],Table3[[#This Row],[Top Parent Account]])</f>
        <v>Agroquimicos Versa</v>
      </c>
      <c r="H4592" s="1"/>
    </row>
    <row r="4593" spans="1:8" x14ac:dyDescent="0.35">
      <c r="A4593" s="21"/>
      <c r="B4593" t="s">
        <v>21</v>
      </c>
      <c r="C4593" t="s">
        <v>6</v>
      </c>
      <c r="D4593" t="s">
        <v>2503</v>
      </c>
      <c r="F4593" s="1">
        <v>45818</v>
      </c>
      <c r="G4593" t="str">
        <f>IF(Table3[[#This Row],[Top Parent Account]]="",Table3[[#This Row],[Account Legal Name]],Table3[[#This Row],[Top Parent Account]])</f>
        <v>central economica de productos y alimentos</v>
      </c>
      <c r="H4593" s="1"/>
    </row>
    <row r="4594" spans="1:8" x14ac:dyDescent="0.35">
      <c r="A4594" s="21"/>
      <c r="B4594" t="s">
        <v>10</v>
      </c>
      <c r="C4594" t="s">
        <v>6</v>
      </c>
      <c r="D4594" t="s">
        <v>112</v>
      </c>
      <c r="F4594" s="1">
        <v>45818</v>
      </c>
      <c r="G4594" t="str">
        <f>IF(Table3[[#This Row],[Top Parent Account]]="",Table3[[#This Row],[Account Legal Name]],Table3[[#This Row],[Top Parent Account]])</f>
        <v>Amco Educación</v>
      </c>
      <c r="H4594" s="1"/>
    </row>
    <row r="4595" spans="1:8" x14ac:dyDescent="0.35">
      <c r="A4595" s="21"/>
      <c r="B4595" t="s">
        <v>169</v>
      </c>
      <c r="C4595" t="s">
        <v>6</v>
      </c>
      <c r="D4595" t="s">
        <v>1153</v>
      </c>
      <c r="F4595" s="1">
        <v>45818</v>
      </c>
      <c r="G4595" t="str">
        <f>IF(Table3[[#This Row],[Top Parent Account]]="",Table3[[#This Row],[Account Legal Name]],Table3[[#This Row],[Top Parent Account]])</f>
        <v>Libra Logistica</v>
      </c>
      <c r="H4595" s="1"/>
    </row>
    <row r="4596" spans="1:8" x14ac:dyDescent="0.35">
      <c r="A4596" s="21"/>
      <c r="B4596" t="s">
        <v>30</v>
      </c>
      <c r="C4596" t="s">
        <v>6</v>
      </c>
      <c r="D4596" t="s">
        <v>1177</v>
      </c>
      <c r="F4596" s="1">
        <v>45818</v>
      </c>
      <c r="G4596" t="str">
        <f>IF(Table3[[#This Row],[Top Parent Account]]="",Table3[[#This Row],[Account Legal Name]],Table3[[#This Row],[Top Parent Account]])</f>
        <v>Plásticos Alica</v>
      </c>
      <c r="H4596" s="1"/>
    </row>
    <row r="4597" spans="1:8" x14ac:dyDescent="0.35">
      <c r="A4597" s="21"/>
      <c r="B4597" t="s">
        <v>1006</v>
      </c>
      <c r="C4597" t="s">
        <v>6</v>
      </c>
      <c r="D4597" t="s">
        <v>2330</v>
      </c>
      <c r="F4597" s="1">
        <v>45818</v>
      </c>
      <c r="G4597" t="str">
        <f>IF(Table3[[#This Row],[Top Parent Account]]="",Table3[[#This Row],[Account Legal Name]],Table3[[#This Row],[Top Parent Account]])</f>
        <v>Tmis Equipos Industriales</v>
      </c>
      <c r="H4597" s="1"/>
    </row>
    <row r="4598" spans="1:8" x14ac:dyDescent="0.35">
      <c r="A4598" s="21"/>
      <c r="B4598" t="s">
        <v>70</v>
      </c>
      <c r="C4598" t="s">
        <v>6</v>
      </c>
      <c r="D4598" t="s">
        <v>2406</v>
      </c>
      <c r="F4598" s="1">
        <v>45818</v>
      </c>
      <c r="G4598" t="str">
        <f>IF(Table3[[#This Row],[Top Parent Account]]="",Table3[[#This Row],[Account Legal Name]],Table3[[#This Row],[Top Parent Account]])</f>
        <v>Hospital Hispano Americano</v>
      </c>
      <c r="H4598" s="1"/>
    </row>
    <row r="4599" spans="1:8" x14ac:dyDescent="0.35">
      <c r="A4599" s="21"/>
      <c r="B4599" t="s">
        <v>1006</v>
      </c>
      <c r="C4599" t="s">
        <v>6</v>
      </c>
      <c r="D4599" t="s">
        <v>2334</v>
      </c>
      <c r="F4599" s="1">
        <v>45818</v>
      </c>
      <c r="G4599" t="str">
        <f>IF(Table3[[#This Row],[Top Parent Account]]="",Table3[[#This Row],[Account Legal Name]],Table3[[#This Row],[Top Parent Account]])</f>
        <v>Ejecución de Proyectos Industriales</v>
      </c>
      <c r="H4599" s="1"/>
    </row>
    <row r="4600" spans="1:8" x14ac:dyDescent="0.35">
      <c r="A4600" s="21"/>
      <c r="B4600" t="s">
        <v>39</v>
      </c>
      <c r="C4600" t="s">
        <v>945</v>
      </c>
      <c r="D4600" t="s">
        <v>752</v>
      </c>
      <c r="F4600" s="1">
        <v>45818</v>
      </c>
      <c r="G4600" t="str">
        <f>IF(Table3[[#This Row],[Top Parent Account]]="",Table3[[#This Row],[Account Legal Name]],Table3[[#This Row],[Top Parent Account]])</f>
        <v>Bemis de México</v>
      </c>
      <c r="H4600" s="1"/>
    </row>
    <row r="4601" spans="1:8" x14ac:dyDescent="0.35">
      <c r="A4601" s="21"/>
      <c r="B4601" t="s">
        <v>7</v>
      </c>
      <c r="C4601" t="s">
        <v>6</v>
      </c>
      <c r="D4601" t="s">
        <v>694</v>
      </c>
      <c r="F4601" s="1">
        <v>45818</v>
      </c>
      <c r="G4601" t="str">
        <f>IF(Table3[[#This Row],[Top Parent Account]]="",Table3[[#This Row],[Account Legal Name]],Table3[[#This Row],[Top Parent Account]])</f>
        <v>ALIBACE NUTRICION</v>
      </c>
      <c r="H4601" s="1"/>
    </row>
    <row r="4602" spans="1:8" x14ac:dyDescent="0.35">
      <c r="A4602" s="21"/>
      <c r="B4602" t="s">
        <v>14</v>
      </c>
      <c r="C4602" t="s">
        <v>6</v>
      </c>
      <c r="D4602" t="s">
        <v>728</v>
      </c>
      <c r="F4602" s="1">
        <v>45818</v>
      </c>
      <c r="G4602" t="str">
        <f>IF(Table3[[#This Row],[Top Parent Account]]="",Table3[[#This Row],[Account Legal Name]],Table3[[#This Row],[Top Parent Account]])</f>
        <v>Keymax Comercializadora</v>
      </c>
      <c r="H4602" s="1"/>
    </row>
    <row r="4603" spans="1:8" x14ac:dyDescent="0.35">
      <c r="A4603" s="21"/>
      <c r="B4603" t="s">
        <v>70</v>
      </c>
      <c r="C4603" t="s">
        <v>22</v>
      </c>
      <c r="D4603" t="s">
        <v>441</v>
      </c>
      <c r="F4603" s="1">
        <v>45818</v>
      </c>
      <c r="G4603" t="str">
        <f>IF(Table3[[#This Row],[Top Parent Account]]="",Table3[[#This Row],[Account Legal Name]],Table3[[#This Row],[Top Parent Account]])</f>
        <v>QUIROPRACTICA ROMA, S.C.</v>
      </c>
      <c r="H4603" s="1"/>
    </row>
    <row r="4604" spans="1:8" x14ac:dyDescent="0.35">
      <c r="A4604" s="21"/>
      <c r="B4604" t="s">
        <v>27</v>
      </c>
      <c r="C4604" t="s">
        <v>6</v>
      </c>
      <c r="D4604" t="s">
        <v>2447</v>
      </c>
      <c r="F4604" s="1">
        <v>45818</v>
      </c>
      <c r="G4604" t="str">
        <f>IF(Table3[[#This Row],[Top Parent Account]]="",Table3[[#This Row],[Account Legal Name]],Table3[[#This Row],[Top Parent Account]])</f>
        <v>Suelas Wyny</v>
      </c>
      <c r="H4604" s="1"/>
    </row>
    <row r="4605" spans="1:8" x14ac:dyDescent="0.35">
      <c r="A4605" s="21"/>
      <c r="B4605" t="s">
        <v>56</v>
      </c>
      <c r="C4605" t="s">
        <v>6</v>
      </c>
      <c r="D4605" t="s">
        <v>2874</v>
      </c>
      <c r="F4605" s="1">
        <v>45818</v>
      </c>
      <c r="G4605" t="str">
        <f>IF(Table3[[#This Row],[Top Parent Account]]="",Table3[[#This Row],[Account Legal Name]],Table3[[#This Row],[Top Parent Account]])</f>
        <v>Grupo Logístico Integral</v>
      </c>
      <c r="H4605" s="1"/>
    </row>
    <row r="4606" spans="1:8" x14ac:dyDescent="0.35">
      <c r="A4606" s="21"/>
      <c r="B4606" t="s">
        <v>10</v>
      </c>
      <c r="C4606" t="s">
        <v>6</v>
      </c>
      <c r="D4606" t="s">
        <v>2448</v>
      </c>
      <c r="F4606" s="1">
        <v>45818</v>
      </c>
      <c r="G4606" t="str">
        <f>IF(Table3[[#This Row],[Top Parent Account]]="",Table3[[#This Row],[Account Legal Name]],Table3[[#This Row],[Top Parent Account]])</f>
        <v>Galvanizadora Comercial</v>
      </c>
      <c r="H4606" s="1"/>
    </row>
    <row r="4607" spans="1:8" x14ac:dyDescent="0.35">
      <c r="A4607" s="21"/>
      <c r="B4607" t="s">
        <v>37</v>
      </c>
      <c r="C4607" t="s">
        <v>22</v>
      </c>
      <c r="D4607" t="s">
        <v>692</v>
      </c>
      <c r="F4607" s="1">
        <v>45818</v>
      </c>
      <c r="G4607" t="str">
        <f>IF(Table3[[#This Row],[Top Parent Account]]="",Table3[[#This Row],[Account Legal Name]],Table3[[#This Row],[Top Parent Account]])</f>
        <v>LUXIDA GROUP</v>
      </c>
      <c r="H4607" s="1"/>
    </row>
    <row r="4608" spans="1:8" x14ac:dyDescent="0.35">
      <c r="A4608" s="21"/>
      <c r="B4608" t="s">
        <v>37</v>
      </c>
      <c r="C4608" t="s">
        <v>22</v>
      </c>
      <c r="D4608" t="s">
        <v>791</v>
      </c>
      <c r="F4608" s="1">
        <v>45818</v>
      </c>
      <c r="G4608" t="str">
        <f>IF(Table3[[#This Row],[Top Parent Account]]="",Table3[[#This Row],[Account Legal Name]],Table3[[#This Row],[Top Parent Account]])</f>
        <v>Transportes OA</v>
      </c>
      <c r="H4608" s="1"/>
    </row>
    <row r="4609" spans="1:8" x14ac:dyDescent="0.35">
      <c r="A4609" s="21"/>
      <c r="B4609" t="s">
        <v>2309</v>
      </c>
      <c r="C4609" t="s">
        <v>1150</v>
      </c>
      <c r="D4609" t="s">
        <v>2407</v>
      </c>
      <c r="F4609" s="1">
        <v>45818</v>
      </c>
      <c r="G4609" t="str">
        <f>IF(Table3[[#This Row],[Top Parent Account]]="",Table3[[#This Row],[Account Legal Name]],Table3[[#This Row],[Top Parent Account]])</f>
        <v>Sekura Agente de Seguros y de Fianzas</v>
      </c>
      <c r="H4609" s="1"/>
    </row>
    <row r="4610" spans="1:8" x14ac:dyDescent="0.35">
      <c r="A4610" s="21"/>
      <c r="B4610" t="s">
        <v>43</v>
      </c>
      <c r="C4610" t="s">
        <v>6</v>
      </c>
      <c r="D4610" t="s">
        <v>2408</v>
      </c>
      <c r="F4610" s="1">
        <v>45818</v>
      </c>
      <c r="G4610" t="str">
        <f>IF(Table3[[#This Row],[Top Parent Account]]="",Table3[[#This Row],[Account Legal Name]],Table3[[#This Row],[Top Parent Account]])</f>
        <v>Jala Group</v>
      </c>
      <c r="H4610" s="1"/>
    </row>
    <row r="4611" spans="1:8" x14ac:dyDescent="0.35">
      <c r="A4611" s="21"/>
      <c r="B4611" t="s">
        <v>23</v>
      </c>
      <c r="C4611" t="s">
        <v>6</v>
      </c>
      <c r="D4611" t="s">
        <v>860</v>
      </c>
      <c r="F4611" s="1">
        <v>45818</v>
      </c>
      <c r="G4611" t="str">
        <f>IF(Table3[[#This Row],[Top Parent Account]]="",Table3[[#This Row],[Account Legal Name]],Table3[[#This Row],[Top Parent Account]])</f>
        <v>BRASIMEX MADERAS Y EMBALAJES</v>
      </c>
      <c r="H4611" s="1"/>
    </row>
    <row r="4612" spans="1:8" x14ac:dyDescent="0.35">
      <c r="A4612" s="21"/>
      <c r="B4612" t="s">
        <v>27</v>
      </c>
      <c r="C4612" t="s">
        <v>6</v>
      </c>
      <c r="D4612" t="s">
        <v>2449</v>
      </c>
      <c r="F4612" s="1">
        <v>45818</v>
      </c>
      <c r="G4612" t="str">
        <f>IF(Table3[[#This Row],[Top Parent Account]]="",Table3[[#This Row],[Account Legal Name]],Table3[[#This Row],[Top Parent Account]])</f>
        <v>Almacén y Cruce de Occidente</v>
      </c>
      <c r="H4612" s="1"/>
    </row>
    <row r="4613" spans="1:8" x14ac:dyDescent="0.35">
      <c r="A4613" s="21"/>
      <c r="B4613" t="s">
        <v>23</v>
      </c>
      <c r="C4613" t="s">
        <v>6</v>
      </c>
      <c r="D4613" t="s">
        <v>871</v>
      </c>
      <c r="F4613" s="1">
        <v>45818</v>
      </c>
      <c r="G4613" t="str">
        <f>IF(Table3[[#This Row],[Top Parent Account]]="",Table3[[#This Row],[Account Legal Name]],Table3[[#This Row],[Top Parent Account]])</f>
        <v>EQUIPAMIENTO VEHICULAR MEXICO</v>
      </c>
      <c r="H4613" s="1"/>
    </row>
    <row r="4614" spans="1:8" x14ac:dyDescent="0.35">
      <c r="A4614" s="21"/>
      <c r="B4614" t="s">
        <v>969</v>
      </c>
      <c r="C4614" t="s">
        <v>6</v>
      </c>
      <c r="D4614" t="s">
        <v>2109</v>
      </c>
      <c r="F4614" s="1">
        <v>45818</v>
      </c>
      <c r="G4614" t="str">
        <f>IF(Table3[[#This Row],[Top Parent Account]]="",Table3[[#This Row],[Account Legal Name]],Table3[[#This Row],[Top Parent Account]])</f>
        <v>Asofarma de México</v>
      </c>
      <c r="H4614" s="1"/>
    </row>
    <row r="4615" spans="1:8" x14ac:dyDescent="0.35">
      <c r="A4615" s="21"/>
      <c r="B4615" t="s">
        <v>77</v>
      </c>
      <c r="C4615" t="s">
        <v>6</v>
      </c>
      <c r="D4615" t="s">
        <v>974</v>
      </c>
      <c r="F4615" s="1">
        <v>45818</v>
      </c>
      <c r="G4615" t="str">
        <f>IF(Table3[[#This Row],[Top Parent Account]]="",Table3[[#This Row],[Account Legal Name]],Table3[[#This Row],[Top Parent Account]])</f>
        <v>SYB Schmitt</v>
      </c>
      <c r="H4615" s="1"/>
    </row>
    <row r="4616" spans="1:8" x14ac:dyDescent="0.35">
      <c r="A4616" s="21"/>
      <c r="B4616" t="s">
        <v>1006</v>
      </c>
      <c r="C4616" t="s">
        <v>6</v>
      </c>
      <c r="D4616" t="s">
        <v>2409</v>
      </c>
      <c r="E4616" t="s">
        <v>1007</v>
      </c>
      <c r="F4616" s="1">
        <v>45818</v>
      </c>
      <c r="G4616" t="str">
        <f>IF(Table3[[#This Row],[Top Parent Account]]="",Table3[[#This Row],[Account Legal Name]],Table3[[#This Row],[Top Parent Account]])</f>
        <v>INDAMEX Industrializadora de Alimentos Mexicanos</v>
      </c>
      <c r="H4616" s="1"/>
    </row>
    <row r="4617" spans="1:8" x14ac:dyDescent="0.35">
      <c r="A4617" s="21"/>
      <c r="B4617" t="s">
        <v>51</v>
      </c>
      <c r="C4617" t="s">
        <v>6</v>
      </c>
      <c r="D4617" t="s">
        <v>440</v>
      </c>
      <c r="F4617" s="1">
        <v>45818</v>
      </c>
      <c r="G4617" t="str">
        <f>IF(Table3[[#This Row],[Top Parent Account]]="",Table3[[#This Row],[Account Legal Name]],Table3[[#This Row],[Top Parent Account]])</f>
        <v>Granjero Feliz</v>
      </c>
      <c r="H4617" s="1"/>
    </row>
    <row r="4618" spans="1:8" x14ac:dyDescent="0.35">
      <c r="A4618" s="21"/>
      <c r="B4618" t="s">
        <v>43</v>
      </c>
      <c r="C4618" t="s">
        <v>6</v>
      </c>
      <c r="D4618" t="s">
        <v>1206</v>
      </c>
      <c r="E4618" t="s">
        <v>367</v>
      </c>
      <c r="F4618" s="1">
        <v>45818</v>
      </c>
      <c r="G4618" t="str">
        <f>IF(Table3[[#This Row],[Top Parent Account]]="",Table3[[#This Row],[Account Legal Name]],Table3[[#This Row],[Top Parent Account]])</f>
        <v>Metalat</v>
      </c>
      <c r="H4618" s="1"/>
    </row>
    <row r="4619" spans="1:8" x14ac:dyDescent="0.35">
      <c r="A4619" s="21"/>
      <c r="B4619" t="s">
        <v>84</v>
      </c>
      <c r="C4619" t="s">
        <v>844</v>
      </c>
      <c r="D4619" t="s">
        <v>384</v>
      </c>
      <c r="F4619" s="1">
        <v>45818</v>
      </c>
      <c r="G4619" t="str">
        <f>IF(Table3[[#This Row],[Top Parent Account]]="",Table3[[#This Row],[Account Legal Name]],Table3[[#This Row],[Top Parent Account]])</f>
        <v>Empacadora Rosarito</v>
      </c>
      <c r="H4619" s="1"/>
    </row>
    <row r="4620" spans="1:8" x14ac:dyDescent="0.35">
      <c r="A4620" s="21"/>
      <c r="B4620" t="s">
        <v>11</v>
      </c>
      <c r="C4620" t="s">
        <v>6</v>
      </c>
      <c r="D4620" t="s">
        <v>391</v>
      </c>
      <c r="F4620" s="1">
        <v>45818</v>
      </c>
      <c r="G4620" t="str">
        <f>IF(Table3[[#This Row],[Top Parent Account]]="",Table3[[#This Row],[Account Legal Name]],Table3[[#This Row],[Top Parent Account]])</f>
        <v>Comarket</v>
      </c>
      <c r="H4620" s="1"/>
    </row>
    <row r="4621" spans="1:8" x14ac:dyDescent="0.35">
      <c r="A4621" s="21"/>
      <c r="B4621" t="s">
        <v>28</v>
      </c>
      <c r="C4621" t="s">
        <v>6</v>
      </c>
      <c r="D4621" t="s">
        <v>1571</v>
      </c>
      <c r="F4621" s="1">
        <v>45818</v>
      </c>
      <c r="G4621" t="str">
        <f>IF(Table3[[#This Row],[Top Parent Account]]="",Table3[[#This Row],[Account Legal Name]],Table3[[#This Row],[Top Parent Account]])</f>
        <v>CONSTRUACERO DEL NORTE</v>
      </c>
      <c r="H4621" s="1"/>
    </row>
    <row r="4622" spans="1:8" x14ac:dyDescent="0.35">
      <c r="A4622" s="21"/>
      <c r="B4622" t="s">
        <v>969</v>
      </c>
      <c r="C4622" t="s">
        <v>6</v>
      </c>
      <c r="D4622" t="s">
        <v>2001</v>
      </c>
      <c r="F4622" s="1">
        <v>45818</v>
      </c>
      <c r="G4622" t="str">
        <f>IF(Table3[[#This Row],[Top Parent Account]]="",Table3[[#This Row],[Account Legal Name]],Table3[[#This Row],[Top Parent Account]])</f>
        <v>Compa&amp;ia Industrial Plasvic</v>
      </c>
      <c r="H4622" s="1"/>
    </row>
    <row r="4623" spans="1:8" x14ac:dyDescent="0.35">
      <c r="A4623" s="21"/>
      <c r="B4623" t="s">
        <v>18</v>
      </c>
      <c r="C4623" t="s">
        <v>6</v>
      </c>
      <c r="D4623" t="s">
        <v>2410</v>
      </c>
      <c r="F4623" s="1">
        <v>45818</v>
      </c>
      <c r="G4623" t="str">
        <f>IF(Table3[[#This Row],[Top Parent Account]]="",Table3[[#This Row],[Account Legal Name]],Table3[[#This Row],[Top Parent Account]])</f>
        <v>CARNICERIA ALCON</v>
      </c>
      <c r="H4623" s="1"/>
    </row>
    <row r="4624" spans="1:8" x14ac:dyDescent="0.35">
      <c r="A4624" s="21"/>
      <c r="B4624" t="s">
        <v>70</v>
      </c>
      <c r="C4624" t="s">
        <v>22</v>
      </c>
      <c r="D4624" t="s">
        <v>465</v>
      </c>
      <c r="F4624" s="1">
        <v>45818</v>
      </c>
      <c r="G4624" t="str">
        <f>IF(Table3[[#This Row],[Top Parent Account]]="",Table3[[#This Row],[Account Legal Name]],Table3[[#This Row],[Top Parent Account]])</f>
        <v>DERMASSKIN</v>
      </c>
      <c r="H4624" s="1"/>
    </row>
    <row r="4625" spans="1:8" x14ac:dyDescent="0.35">
      <c r="A4625" s="21"/>
      <c r="B4625" t="s">
        <v>970</v>
      </c>
      <c r="C4625" t="s">
        <v>6</v>
      </c>
      <c r="D4625" t="s">
        <v>856</v>
      </c>
      <c r="F4625" s="1">
        <v>45817</v>
      </c>
      <c r="G4625" t="str">
        <f>IF(Table3[[#This Row],[Top Parent Account]]="",Table3[[#This Row],[Account Legal Name]],Table3[[#This Row],[Top Parent Account]])</f>
        <v>Grupo Gepp</v>
      </c>
      <c r="H4625" s="1"/>
    </row>
    <row r="4626" spans="1:8" x14ac:dyDescent="0.35">
      <c r="A4626" s="21"/>
      <c r="B4626" t="s">
        <v>88</v>
      </c>
      <c r="C4626" t="s">
        <v>6</v>
      </c>
      <c r="D4626" t="s">
        <v>2411</v>
      </c>
      <c r="F4626" s="1">
        <v>45817</v>
      </c>
      <c r="G4626" t="str">
        <f>IF(Table3[[#This Row],[Top Parent Account]]="",Table3[[#This Row],[Account Legal Name]],Table3[[#This Row],[Top Parent Account]])</f>
        <v>Intermatex México</v>
      </c>
      <c r="H4626" s="1"/>
    </row>
    <row r="4627" spans="1:8" x14ac:dyDescent="0.35">
      <c r="A4627" s="21"/>
      <c r="B4627" t="s">
        <v>1511</v>
      </c>
      <c r="C4627" t="s">
        <v>6</v>
      </c>
      <c r="D4627" t="s">
        <v>2370</v>
      </c>
      <c r="F4627" s="1">
        <v>45817</v>
      </c>
      <c r="G4627" t="str">
        <f>IF(Table3[[#This Row],[Top Parent Account]]="",Table3[[#This Row],[Account Legal Name]],Table3[[#This Row],[Top Parent Account]])</f>
        <v>KNZ Logística</v>
      </c>
      <c r="H4627" s="1"/>
    </row>
    <row r="4628" spans="1:8" x14ac:dyDescent="0.35">
      <c r="A4628" s="21"/>
      <c r="B4628" t="s">
        <v>7</v>
      </c>
      <c r="C4628" t="s">
        <v>6</v>
      </c>
      <c r="D4628" t="s">
        <v>2412</v>
      </c>
      <c r="F4628" s="1">
        <v>45817</v>
      </c>
      <c r="G4628" t="str">
        <f>IF(Table3[[#This Row],[Top Parent Account]]="",Table3[[#This Row],[Account Legal Name]],Table3[[#This Row],[Top Parent Account]])</f>
        <v>OPERACIONES LITTCE</v>
      </c>
      <c r="H4628" s="1"/>
    </row>
    <row r="4629" spans="1:8" x14ac:dyDescent="0.35">
      <c r="A4629" s="21"/>
      <c r="B4629" t="s">
        <v>77</v>
      </c>
      <c r="C4629" t="s">
        <v>6</v>
      </c>
      <c r="D4629" t="s">
        <v>2415</v>
      </c>
      <c r="E4629" t="s">
        <v>766</v>
      </c>
      <c r="F4629" s="1">
        <v>45817</v>
      </c>
      <c r="G4629" t="str">
        <f>IF(Table3[[#This Row],[Top Parent Account]]="",Table3[[#This Row],[Account Legal Name]],Table3[[#This Row],[Top Parent Account]])</f>
        <v>Aditivos y Recubrimientos Técnicos</v>
      </c>
      <c r="H4629" s="1"/>
    </row>
    <row r="4630" spans="1:8" x14ac:dyDescent="0.35">
      <c r="A4630" s="21"/>
      <c r="B4630" t="s">
        <v>23</v>
      </c>
      <c r="C4630" t="s">
        <v>22</v>
      </c>
      <c r="D4630" t="s">
        <v>2413</v>
      </c>
      <c r="F4630" s="1">
        <v>45817</v>
      </c>
      <c r="G4630" t="str">
        <f>IF(Table3[[#This Row],[Top Parent Account]]="",Table3[[#This Row],[Account Legal Name]],Table3[[#This Row],[Top Parent Account]])</f>
        <v>Cipsa Electrificaciones,</v>
      </c>
      <c r="H4630" s="1"/>
    </row>
    <row r="4631" spans="1:8" x14ac:dyDescent="0.35">
      <c r="A4631" s="21"/>
      <c r="B4631" t="s">
        <v>37</v>
      </c>
      <c r="C4631" t="s">
        <v>6</v>
      </c>
      <c r="D4631" t="s">
        <v>2414</v>
      </c>
      <c r="F4631" s="1">
        <v>45817</v>
      </c>
      <c r="G4631" t="str">
        <f>IF(Table3[[#This Row],[Top Parent Account]]="",Table3[[#This Row],[Account Legal Name]],Table3[[#This Row],[Top Parent Account]])</f>
        <v>Fabagro Group</v>
      </c>
      <c r="H4631" s="1"/>
    </row>
    <row r="4632" spans="1:8" x14ac:dyDescent="0.35">
      <c r="A4632" s="21"/>
      <c r="B4632" t="s">
        <v>51</v>
      </c>
      <c r="C4632" t="s">
        <v>6</v>
      </c>
      <c r="D4632" t="s">
        <v>1064</v>
      </c>
      <c r="F4632" s="1">
        <v>45817</v>
      </c>
      <c r="G4632" t="str">
        <f>IF(Table3[[#This Row],[Top Parent Account]]="",Table3[[#This Row],[Account Legal Name]],Table3[[#This Row],[Top Parent Account]])</f>
        <v>Vita Valley Foods</v>
      </c>
      <c r="H4632" s="1"/>
    </row>
    <row r="4633" spans="1:8" x14ac:dyDescent="0.35">
      <c r="A4633" s="21"/>
      <c r="B4633" t="s">
        <v>2309</v>
      </c>
      <c r="C4633" t="s">
        <v>1150</v>
      </c>
      <c r="D4633" t="s">
        <v>2417</v>
      </c>
      <c r="F4633" s="1">
        <v>45817</v>
      </c>
      <c r="G4633" t="str">
        <f>IF(Table3[[#This Row],[Top Parent Account]]="",Table3[[#This Row],[Account Legal Name]],Table3[[#This Row],[Top Parent Account]])</f>
        <v>INTERNATIONAL CORPORATE &amp; CARGO SERVICES</v>
      </c>
      <c r="H4633" s="1"/>
    </row>
    <row r="4634" spans="1:8" x14ac:dyDescent="0.35">
      <c r="A4634" s="21"/>
      <c r="B4634" t="s">
        <v>78</v>
      </c>
      <c r="C4634" t="s">
        <v>6</v>
      </c>
      <c r="D4634" t="s">
        <v>2416</v>
      </c>
      <c r="F4634" s="1">
        <v>45817</v>
      </c>
      <c r="G4634" t="str">
        <f>IF(Table3[[#This Row],[Top Parent Account]]="",Table3[[#This Row],[Account Legal Name]],Table3[[#This Row],[Top Parent Account]])</f>
        <v>Grupo AP Alerta</v>
      </c>
      <c r="H4634" s="1"/>
    </row>
    <row r="4635" spans="1:8" x14ac:dyDescent="0.35">
      <c r="A4635" s="21"/>
      <c r="B4635" t="s">
        <v>208</v>
      </c>
      <c r="C4635" t="s">
        <v>33</v>
      </c>
      <c r="D4635" t="s">
        <v>1377</v>
      </c>
      <c r="F4635" s="1">
        <v>45817</v>
      </c>
      <c r="G4635" t="str">
        <f>IF(Table3[[#This Row],[Top Parent Account]]="",Table3[[#This Row],[Account Legal Name]],Table3[[#This Row],[Top Parent Account]])</f>
        <v>Alimentos Convenientes San Patric</v>
      </c>
      <c r="H4635" s="1"/>
    </row>
    <row r="4636" spans="1:8" x14ac:dyDescent="0.35">
      <c r="A4636" s="21"/>
      <c r="B4636" t="s">
        <v>932</v>
      </c>
      <c r="C4636" t="s">
        <v>1693</v>
      </c>
      <c r="D4636" t="s">
        <v>2418</v>
      </c>
      <c r="F4636" s="1">
        <v>45817</v>
      </c>
      <c r="G4636" t="str">
        <f>IF(Table3[[#This Row],[Top Parent Account]]="",Table3[[#This Row],[Account Legal Name]],Table3[[#This Row],[Top Parent Account]])</f>
        <v>Ecolujo Lifestyle México</v>
      </c>
      <c r="H4636" s="1"/>
    </row>
    <row r="4637" spans="1:8" x14ac:dyDescent="0.35">
      <c r="A4637" s="21"/>
      <c r="B4637" t="s">
        <v>70</v>
      </c>
      <c r="C4637" t="s">
        <v>22</v>
      </c>
      <c r="D4637" t="s">
        <v>517</v>
      </c>
      <c r="F4637" s="1">
        <v>45817</v>
      </c>
      <c r="G4637" t="str">
        <f>IF(Table3[[#This Row],[Top Parent Account]]="",Table3[[#This Row],[Account Legal Name]],Table3[[#This Row],[Top Parent Account]])</f>
        <v>CBH+ en Innovación Médica</v>
      </c>
      <c r="H4637" s="1"/>
    </row>
    <row r="4638" spans="1:8" x14ac:dyDescent="0.35">
      <c r="A4638" s="21"/>
      <c r="B4638" t="s">
        <v>375</v>
      </c>
      <c r="C4638" t="s">
        <v>6</v>
      </c>
      <c r="D4638" t="s">
        <v>2419</v>
      </c>
      <c r="F4638" s="1">
        <v>45817</v>
      </c>
      <c r="G4638" t="str">
        <f>IF(Table3[[#This Row],[Top Parent Account]]="",Table3[[#This Row],[Account Legal Name]],Table3[[#This Row],[Top Parent Account]])</f>
        <v>Armstrong Laboratorios de México</v>
      </c>
      <c r="H4638" s="1"/>
    </row>
    <row r="4639" spans="1:8" x14ac:dyDescent="0.35">
      <c r="A4639" s="21"/>
      <c r="B4639" t="s">
        <v>10</v>
      </c>
      <c r="C4639" t="s">
        <v>6</v>
      </c>
      <c r="D4639" t="s">
        <v>476</v>
      </c>
      <c r="F4639" s="1">
        <v>45817</v>
      </c>
      <c r="G4639" t="str">
        <f>IF(Table3[[#This Row],[Top Parent Account]]="",Table3[[#This Row],[Account Legal Name]],Table3[[#This Row],[Top Parent Account]])</f>
        <v>Litografía D Ortega</v>
      </c>
      <c r="H4639" s="1"/>
    </row>
    <row r="4640" spans="1:8" x14ac:dyDescent="0.35">
      <c r="A4640" s="21"/>
      <c r="B4640" t="s">
        <v>77</v>
      </c>
      <c r="C4640" t="s">
        <v>6</v>
      </c>
      <c r="D4640" t="s">
        <v>2824</v>
      </c>
      <c r="E4640" t="s">
        <v>873</v>
      </c>
      <c r="F4640" s="1">
        <v>45817</v>
      </c>
      <c r="G4640" t="str">
        <f>IF(Table3[[#This Row],[Top Parent Account]]="",Table3[[#This Row],[Account Legal Name]],Table3[[#This Row],[Top Parent Account]])</f>
        <v>Transformaciones y servicios metalúrgicos</v>
      </c>
      <c r="H4640" s="1"/>
    </row>
    <row r="4641" spans="1:8" x14ac:dyDescent="0.35">
      <c r="A4641" s="21"/>
      <c r="B4641" t="s">
        <v>88</v>
      </c>
      <c r="C4641" t="s">
        <v>6</v>
      </c>
      <c r="D4641" t="s">
        <v>2420</v>
      </c>
      <c r="F4641" s="1">
        <v>45817</v>
      </c>
      <c r="G4641" t="str">
        <f>IF(Table3[[#This Row],[Top Parent Account]]="",Table3[[#This Row],[Account Legal Name]],Table3[[#This Row],[Top Parent Account]])</f>
        <v>Estrategias y Transportes Jimenez</v>
      </c>
      <c r="H4641" s="1"/>
    </row>
    <row r="4642" spans="1:8" x14ac:dyDescent="0.35">
      <c r="A4642" s="21"/>
      <c r="B4642" t="s">
        <v>11</v>
      </c>
      <c r="C4642" t="s">
        <v>6</v>
      </c>
      <c r="D4642" t="s">
        <v>2422</v>
      </c>
      <c r="F4642" s="1">
        <v>45817</v>
      </c>
      <c r="G4642" t="str">
        <f>IF(Table3[[#This Row],[Top Parent Account]]="",Table3[[#This Row],[Account Legal Name]],Table3[[#This Row],[Top Parent Account]])</f>
        <v>Be Collection</v>
      </c>
      <c r="H4642" s="1"/>
    </row>
    <row r="4643" spans="1:8" x14ac:dyDescent="0.35">
      <c r="A4643" s="21"/>
      <c r="B4643" t="s">
        <v>925</v>
      </c>
      <c r="C4643" t="s">
        <v>6</v>
      </c>
      <c r="D4643" t="s">
        <v>2421</v>
      </c>
      <c r="F4643" s="1">
        <v>45817</v>
      </c>
      <c r="G4643" t="str">
        <f>IF(Table3[[#This Row],[Top Parent Account]]="",Table3[[#This Row],[Account Legal Name]],Table3[[#This Row],[Top Parent Account]])</f>
        <v>SANDIN DISTRIBUIDORA DE ACERO Y MAQUILA</v>
      </c>
      <c r="H4643" s="1"/>
    </row>
    <row r="4644" spans="1:8" x14ac:dyDescent="0.35">
      <c r="A4644" s="21"/>
      <c r="B4644" t="s">
        <v>925</v>
      </c>
      <c r="C4644" t="s">
        <v>6</v>
      </c>
      <c r="D4644" t="s">
        <v>826</v>
      </c>
      <c r="F4644" s="1">
        <v>45817</v>
      </c>
      <c r="G4644" t="str">
        <f>IF(Table3[[#This Row],[Top Parent Account]]="",Table3[[#This Row],[Account Legal Name]],Table3[[#This Row],[Top Parent Account]])</f>
        <v>ELASTOMEROS TAZA</v>
      </c>
      <c r="H4644" s="1"/>
    </row>
    <row r="4645" spans="1:8" x14ac:dyDescent="0.35">
      <c r="A4645" s="21"/>
      <c r="B4645" t="s">
        <v>280</v>
      </c>
      <c r="C4645" t="s">
        <v>6</v>
      </c>
      <c r="D4645" t="s">
        <v>2367</v>
      </c>
      <c r="F4645" s="1">
        <v>45814</v>
      </c>
      <c r="G4645" t="str">
        <f>IF(Table3[[#This Row],[Top Parent Account]]="",Table3[[#This Row],[Account Legal Name]],Table3[[#This Row],[Top Parent Account]])</f>
        <v>Grupo Porteo Logístico</v>
      </c>
      <c r="H4645" s="1"/>
    </row>
    <row r="4646" spans="1:8" x14ac:dyDescent="0.35">
      <c r="A4646" s="21"/>
      <c r="B4646" t="s">
        <v>1511</v>
      </c>
      <c r="C4646" t="s">
        <v>22</v>
      </c>
      <c r="D4646" t="s">
        <v>1663</v>
      </c>
      <c r="F4646" s="1">
        <v>45814</v>
      </c>
      <c r="G4646" t="str">
        <f>IF(Table3[[#This Row],[Top Parent Account]]="",Table3[[#This Row],[Account Legal Name]],Table3[[#This Row],[Top Parent Account]])</f>
        <v>Grote Industries de México</v>
      </c>
      <c r="H4646" s="1"/>
    </row>
    <row r="4647" spans="1:8" x14ac:dyDescent="0.35">
      <c r="A4647" s="21"/>
      <c r="B4647" t="s">
        <v>12</v>
      </c>
      <c r="C4647" t="s">
        <v>6</v>
      </c>
      <c r="D4647" t="s">
        <v>2368</v>
      </c>
      <c r="F4647" s="1">
        <v>45814</v>
      </c>
      <c r="G4647" t="str">
        <f>IF(Table3[[#This Row],[Top Parent Account]]="",Table3[[#This Row],[Account Legal Name]],Table3[[#This Row],[Top Parent Account]])</f>
        <v>Jorge Mariano Caballero Cordova</v>
      </c>
      <c r="H4647" s="1"/>
    </row>
    <row r="4648" spans="1:8" x14ac:dyDescent="0.35">
      <c r="A4648" s="21"/>
      <c r="B4648" t="s">
        <v>925</v>
      </c>
      <c r="C4648" t="s">
        <v>6</v>
      </c>
      <c r="D4648" t="s">
        <v>94</v>
      </c>
      <c r="F4648" s="1">
        <v>45814</v>
      </c>
      <c r="G4648" t="str">
        <f>IF(Table3[[#This Row],[Top Parent Account]]="",Table3[[#This Row],[Account Legal Name]],Table3[[#This Row],[Top Parent Account]])</f>
        <v>Grupo Atsa</v>
      </c>
      <c r="H4648" s="1"/>
    </row>
    <row r="4649" spans="1:8" x14ac:dyDescent="0.35">
      <c r="A4649" s="21"/>
      <c r="B4649" t="s">
        <v>70</v>
      </c>
      <c r="C4649" t="s">
        <v>6</v>
      </c>
      <c r="D4649" t="s">
        <v>2290</v>
      </c>
      <c r="F4649" s="1">
        <v>45814</v>
      </c>
      <c r="G4649" t="str">
        <f>IF(Table3[[#This Row],[Top Parent Account]]="",Table3[[#This Row],[Account Legal Name]],Table3[[#This Row],[Top Parent Account]])</f>
        <v>T100 Corporativo</v>
      </c>
      <c r="H4649" s="1"/>
    </row>
    <row r="4650" spans="1:8" x14ac:dyDescent="0.35">
      <c r="A4650" s="21"/>
      <c r="B4650" t="s">
        <v>169</v>
      </c>
      <c r="C4650" t="s">
        <v>6</v>
      </c>
      <c r="D4650" t="s">
        <v>2291</v>
      </c>
      <c r="F4650" s="1">
        <v>45814</v>
      </c>
      <c r="G4650" t="str">
        <f>IF(Table3[[#This Row],[Top Parent Account]]="",Table3[[#This Row],[Account Legal Name]],Table3[[#This Row],[Top Parent Account]])</f>
        <v>EDINC</v>
      </c>
      <c r="H4650" s="1"/>
    </row>
    <row r="4651" spans="1:8" x14ac:dyDescent="0.35">
      <c r="A4651" s="21"/>
      <c r="B4651" t="s">
        <v>121</v>
      </c>
      <c r="C4651" t="s">
        <v>6</v>
      </c>
      <c r="D4651" t="s">
        <v>746</v>
      </c>
      <c r="F4651" s="1">
        <v>45814</v>
      </c>
      <c r="G4651" t="str">
        <f>IF(Table3[[#This Row],[Top Parent Account]]="",Table3[[#This Row],[Account Legal Name]],Table3[[#This Row],[Top Parent Account]])</f>
        <v>Ambienta Tus Momentos</v>
      </c>
      <c r="H4651" s="1"/>
    </row>
    <row r="4652" spans="1:8" x14ac:dyDescent="0.35">
      <c r="A4652" s="21"/>
      <c r="B4652" t="s">
        <v>56</v>
      </c>
      <c r="C4652" t="s">
        <v>6</v>
      </c>
      <c r="D4652" t="s">
        <v>464</v>
      </c>
      <c r="F4652" s="1">
        <v>45814</v>
      </c>
      <c r="G4652" t="str">
        <f>IF(Table3[[#This Row],[Top Parent Account]]="",Table3[[#This Row],[Account Legal Name]],Table3[[#This Row],[Top Parent Account]])</f>
        <v>Valia Trading México</v>
      </c>
      <c r="H4652" s="1"/>
    </row>
    <row r="4653" spans="1:8" x14ac:dyDescent="0.35">
      <c r="A4653" s="21"/>
      <c r="B4653" t="s">
        <v>28</v>
      </c>
      <c r="C4653" t="s">
        <v>6</v>
      </c>
      <c r="D4653" t="s">
        <v>1476</v>
      </c>
      <c r="F4653" s="1">
        <v>45814</v>
      </c>
      <c r="G4653" t="str">
        <f>IF(Table3[[#This Row],[Top Parent Account]]="",Table3[[#This Row],[Account Legal Name]],Table3[[#This Row],[Top Parent Account]])</f>
        <v>Industrial Forestal El Yaqui</v>
      </c>
      <c r="H4653" s="1"/>
    </row>
    <row r="4654" spans="1:8" x14ac:dyDescent="0.35">
      <c r="A4654" s="21"/>
      <c r="B4654" t="s">
        <v>70</v>
      </c>
      <c r="C4654" t="s">
        <v>22</v>
      </c>
      <c r="D4654" t="s">
        <v>462</v>
      </c>
      <c r="F4654" s="1">
        <v>45814</v>
      </c>
      <c r="G4654" t="str">
        <f>IF(Table3[[#This Row],[Top Parent Account]]="",Table3[[#This Row],[Account Legal Name]],Table3[[#This Row],[Top Parent Account]])</f>
        <v>Hospital Multimedica Norte</v>
      </c>
      <c r="H4654" s="1"/>
    </row>
    <row r="4655" spans="1:8" x14ac:dyDescent="0.35">
      <c r="A4655" s="21"/>
      <c r="B4655" t="s">
        <v>10</v>
      </c>
      <c r="C4655" t="s">
        <v>6</v>
      </c>
      <c r="D4655" t="s">
        <v>1317</v>
      </c>
      <c r="F4655" s="1">
        <v>45814</v>
      </c>
      <c r="G4655" t="str">
        <f>IF(Table3[[#This Row],[Top Parent Account]]="",Table3[[#This Row],[Account Legal Name]],Table3[[#This Row],[Top Parent Account]])</f>
        <v>Laboratorios Pisa</v>
      </c>
      <c r="H4655" s="1"/>
    </row>
    <row r="4656" spans="1:8" x14ac:dyDescent="0.35">
      <c r="A4656" s="21"/>
      <c r="B4656" t="s">
        <v>114</v>
      </c>
      <c r="C4656" t="s">
        <v>6</v>
      </c>
      <c r="D4656" t="s">
        <v>2369</v>
      </c>
      <c r="F4656" s="1">
        <v>45814</v>
      </c>
      <c r="G4656" t="str">
        <f>IF(Table3[[#This Row],[Top Parent Account]]="",Table3[[#This Row],[Account Legal Name]],Table3[[#This Row],[Top Parent Account]])</f>
        <v>POLIFORMAS PLÁSTICAS</v>
      </c>
      <c r="H4656" s="1"/>
    </row>
    <row r="4657" spans="1:8" x14ac:dyDescent="0.35">
      <c r="A4657" s="21"/>
      <c r="B4657" t="s">
        <v>21</v>
      </c>
      <c r="C4657" t="s">
        <v>6</v>
      </c>
      <c r="D4657" t="s">
        <v>294</v>
      </c>
      <c r="F4657" s="1">
        <v>45814</v>
      </c>
      <c r="G4657" t="str">
        <f>IF(Table3[[#This Row],[Top Parent Account]]="",Table3[[#This Row],[Account Legal Name]],Table3[[#This Row],[Top Parent Account]])</f>
        <v>GE Gaseco GNV Región Golfo</v>
      </c>
      <c r="H4657" s="1"/>
    </row>
    <row r="4658" spans="1:8" x14ac:dyDescent="0.35">
      <c r="A4658" s="21"/>
      <c r="B4658" t="s">
        <v>1511</v>
      </c>
      <c r="C4658" t="s">
        <v>6</v>
      </c>
      <c r="D4658" t="s">
        <v>2370</v>
      </c>
      <c r="F4658" s="1">
        <v>45814</v>
      </c>
      <c r="G4658" t="str">
        <f>IF(Table3[[#This Row],[Top Parent Account]]="",Table3[[#This Row],[Account Legal Name]],Table3[[#This Row],[Top Parent Account]])</f>
        <v>KNZ Logística</v>
      </c>
      <c r="H4658" s="1"/>
    </row>
    <row r="4659" spans="1:8" x14ac:dyDescent="0.35">
      <c r="A4659" s="21"/>
      <c r="B4659" t="s">
        <v>37</v>
      </c>
      <c r="C4659" t="s">
        <v>6</v>
      </c>
      <c r="D4659" t="s">
        <v>2293</v>
      </c>
      <c r="E4659" t="s">
        <v>2294</v>
      </c>
      <c r="F4659" s="1">
        <v>45814</v>
      </c>
      <c r="G4659" t="str">
        <f>IF(Table3[[#This Row],[Top Parent Account]]="",Table3[[#This Row],[Account Legal Name]],Table3[[#This Row],[Top Parent Account]])</f>
        <v>ESCO del Noroeste</v>
      </c>
      <c r="H4659" s="1"/>
    </row>
    <row r="4660" spans="1:8" x14ac:dyDescent="0.35">
      <c r="A4660" s="21"/>
      <c r="B4660" t="s">
        <v>121</v>
      </c>
      <c r="C4660" t="s">
        <v>6</v>
      </c>
      <c r="D4660" t="s">
        <v>939</v>
      </c>
      <c r="F4660" s="1">
        <v>45814</v>
      </c>
      <c r="G4660" t="str">
        <f>IF(Table3[[#This Row],[Top Parent Account]]="",Table3[[#This Row],[Account Legal Name]],Table3[[#This Row],[Top Parent Account]])</f>
        <v>AGRO SOIL DE MEXICO</v>
      </c>
      <c r="H4660" s="1"/>
    </row>
    <row r="4661" spans="1:8" x14ac:dyDescent="0.35">
      <c r="A4661" s="21"/>
      <c r="B4661" t="s">
        <v>121</v>
      </c>
      <c r="C4661" t="s">
        <v>6</v>
      </c>
      <c r="D4661" t="s">
        <v>2292</v>
      </c>
      <c r="F4661" s="1">
        <v>45814</v>
      </c>
      <c r="G4661" t="str">
        <f>IF(Table3[[#This Row],[Top Parent Account]]="",Table3[[#This Row],[Account Legal Name]],Table3[[#This Row],[Top Parent Account]])</f>
        <v>Silos San Rafael</v>
      </c>
      <c r="H4661" s="1"/>
    </row>
    <row r="4662" spans="1:8" x14ac:dyDescent="0.35">
      <c r="A4662" s="21"/>
      <c r="B4662" t="s">
        <v>1131</v>
      </c>
      <c r="C4662" t="s">
        <v>6</v>
      </c>
      <c r="D4662" t="s">
        <v>2295</v>
      </c>
      <c r="F4662" s="1">
        <v>45814</v>
      </c>
      <c r="G4662" t="str">
        <f>IF(Table3[[#This Row],[Top Parent Account]]="",Table3[[#This Row],[Account Legal Name]],Table3[[#This Row],[Top Parent Account]])</f>
        <v>Raising Brands</v>
      </c>
      <c r="H4662" s="1"/>
    </row>
    <row r="4663" spans="1:8" x14ac:dyDescent="0.35">
      <c r="A4663" s="21"/>
      <c r="B4663" t="s">
        <v>169</v>
      </c>
      <c r="C4663" t="s">
        <v>6</v>
      </c>
      <c r="D4663" t="s">
        <v>1270</v>
      </c>
      <c r="F4663" s="1">
        <v>45814</v>
      </c>
      <c r="G4663" t="str">
        <f>IF(Table3[[#This Row],[Top Parent Account]]="",Table3[[#This Row],[Account Legal Name]],Table3[[#This Row],[Top Parent Account]])</f>
        <v>GRUPO EMPRESARIAL MIXERPLUS</v>
      </c>
      <c r="H4663" s="1"/>
    </row>
    <row r="4664" spans="1:8" x14ac:dyDescent="0.35">
      <c r="A4664" s="21"/>
      <c r="B4664" t="s">
        <v>18</v>
      </c>
      <c r="C4664" t="s">
        <v>6</v>
      </c>
      <c r="D4664" t="s">
        <v>2296</v>
      </c>
      <c r="F4664" s="1">
        <v>45814</v>
      </c>
      <c r="G4664" t="str">
        <f>IF(Table3[[#This Row],[Top Parent Account]]="",Table3[[#This Row],[Account Legal Name]],Table3[[#This Row],[Top Parent Account]])</f>
        <v>Packaging</v>
      </c>
      <c r="H4664" s="1"/>
    </row>
    <row r="4665" spans="1:8" x14ac:dyDescent="0.35">
      <c r="A4665" s="21"/>
      <c r="B4665" t="s">
        <v>925</v>
      </c>
      <c r="C4665" t="s">
        <v>6</v>
      </c>
      <c r="D4665" t="s">
        <v>2089</v>
      </c>
      <c r="F4665" s="1">
        <v>45814</v>
      </c>
      <c r="G4665" t="str">
        <f>IF(Table3[[#This Row],[Top Parent Account]]="",Table3[[#This Row],[Account Legal Name]],Table3[[#This Row],[Top Parent Account]])</f>
        <v>RAFMEX</v>
      </c>
      <c r="H4665" s="1"/>
    </row>
    <row r="4666" spans="1:8" x14ac:dyDescent="0.35">
      <c r="A4666" s="21"/>
      <c r="B4666" t="s">
        <v>27</v>
      </c>
      <c r="C4666" t="s">
        <v>6</v>
      </c>
      <c r="D4666" t="s">
        <v>1284</v>
      </c>
      <c r="F4666" s="1">
        <v>45813</v>
      </c>
      <c r="G4666" t="str">
        <f>IF(Table3[[#This Row],[Top Parent Account]]="",Table3[[#This Row],[Account Legal Name]],Table3[[#This Row],[Top Parent Account]])</f>
        <v>Asfaltos Guadalajara</v>
      </c>
      <c r="H4666" s="1"/>
    </row>
    <row r="4667" spans="1:8" x14ac:dyDescent="0.35">
      <c r="A4667" s="21"/>
      <c r="B4667" t="s">
        <v>38</v>
      </c>
      <c r="C4667" t="s">
        <v>6</v>
      </c>
      <c r="D4667" t="s">
        <v>2297</v>
      </c>
      <c r="F4667" s="1">
        <v>45813</v>
      </c>
      <c r="G4667" t="str">
        <f>IF(Table3[[#This Row],[Top Parent Account]]="",Table3[[#This Row],[Account Legal Name]],Table3[[#This Row],[Top Parent Account]])</f>
        <v>Ibtest</v>
      </c>
      <c r="H4667" s="1"/>
    </row>
    <row r="4668" spans="1:8" x14ac:dyDescent="0.35">
      <c r="A4668" s="21"/>
      <c r="B4668" t="s">
        <v>51</v>
      </c>
      <c r="C4668" t="s">
        <v>6</v>
      </c>
      <c r="D4668" t="s">
        <v>2298</v>
      </c>
      <c r="F4668" s="1">
        <v>45813</v>
      </c>
      <c r="G4668" t="str">
        <f>IF(Table3[[#This Row],[Top Parent Account]]="",Table3[[#This Row],[Account Legal Name]],Table3[[#This Row],[Top Parent Account]])</f>
        <v>Operadora Comercial Purépecha</v>
      </c>
      <c r="H4668" s="1"/>
    </row>
    <row r="4669" spans="1:8" x14ac:dyDescent="0.35">
      <c r="A4669" s="21"/>
      <c r="B4669" t="s">
        <v>26</v>
      </c>
      <c r="C4669" t="s">
        <v>6</v>
      </c>
      <c r="D4669" t="s">
        <v>1487</v>
      </c>
      <c r="F4669" s="1">
        <v>45813</v>
      </c>
      <c r="G4669" t="str">
        <f>IF(Table3[[#This Row],[Top Parent Account]]="",Table3[[#This Row],[Account Legal Name]],Table3[[#This Row],[Top Parent Account]])</f>
        <v>Leonali</v>
      </c>
      <c r="H4669" s="1"/>
    </row>
    <row r="4670" spans="1:8" x14ac:dyDescent="0.35">
      <c r="A4670" s="21"/>
      <c r="B4670" t="s">
        <v>820</v>
      </c>
      <c r="C4670" t="s">
        <v>6</v>
      </c>
      <c r="D4670" t="s">
        <v>2299</v>
      </c>
      <c r="F4670" s="1">
        <v>45813</v>
      </c>
      <c r="G4670" t="str">
        <f>IF(Table3[[#This Row],[Top Parent Account]]="",Table3[[#This Row],[Account Legal Name]],Table3[[#This Row],[Top Parent Account]])</f>
        <v>Colliers Lomelin</v>
      </c>
      <c r="H4670" s="1"/>
    </row>
    <row r="4671" spans="1:8" x14ac:dyDescent="0.35">
      <c r="A4671" s="21"/>
      <c r="B4671" t="s">
        <v>820</v>
      </c>
      <c r="C4671" t="s">
        <v>6</v>
      </c>
      <c r="D4671" t="s">
        <v>319</v>
      </c>
      <c r="F4671" s="1">
        <v>45813</v>
      </c>
      <c r="G4671" t="str">
        <f>IF(Table3[[#This Row],[Top Parent Account]]="",Table3[[#This Row],[Account Legal Name]],Table3[[#This Row],[Top Parent Account]])</f>
        <v>Aspid</v>
      </c>
      <c r="H4671" s="1"/>
    </row>
    <row r="4672" spans="1:8" x14ac:dyDescent="0.35">
      <c r="A4672" s="21"/>
      <c r="B4672" t="s">
        <v>27</v>
      </c>
      <c r="C4672" t="s">
        <v>2300</v>
      </c>
      <c r="D4672" t="s">
        <v>2301</v>
      </c>
      <c r="E4672" t="s">
        <v>36</v>
      </c>
      <c r="F4672" s="1">
        <v>45813</v>
      </c>
      <c r="G4672" t="str">
        <f>IF(Table3[[#This Row],[Top Parent Account]]="",Table3[[#This Row],[Account Legal Name]],Table3[[#This Row],[Top Parent Account]])</f>
        <v>Grupo TRACSA</v>
      </c>
      <c r="H4672" s="1"/>
    </row>
    <row r="4673" spans="1:8" x14ac:dyDescent="0.35">
      <c r="A4673" s="21"/>
      <c r="B4673" t="s">
        <v>11</v>
      </c>
      <c r="C4673" t="s">
        <v>6</v>
      </c>
      <c r="D4673" t="s">
        <v>2302</v>
      </c>
      <c r="F4673" s="1">
        <v>45813</v>
      </c>
      <c r="G4673" t="str">
        <f>IF(Table3[[#This Row],[Top Parent Account]]="",Table3[[#This Row],[Account Legal Name]],Table3[[#This Row],[Top Parent Account]])</f>
        <v>Emsan Consultoria y Asesoria</v>
      </c>
      <c r="H4673" s="1"/>
    </row>
    <row r="4674" spans="1:8" x14ac:dyDescent="0.35">
      <c r="A4674" s="21"/>
      <c r="B4674" t="s">
        <v>589</v>
      </c>
      <c r="C4674" t="s">
        <v>6</v>
      </c>
      <c r="D4674" t="s">
        <v>2303</v>
      </c>
      <c r="F4674" s="1">
        <v>45813</v>
      </c>
      <c r="G4674" t="str">
        <f>IF(Table3[[#This Row],[Top Parent Account]]="",Table3[[#This Row],[Account Legal Name]],Table3[[#This Row],[Top Parent Account]])</f>
        <v>Suburban</v>
      </c>
      <c r="H4674" s="1"/>
    </row>
    <row r="4675" spans="1:8" x14ac:dyDescent="0.35">
      <c r="A4675" s="21"/>
      <c r="B4675" t="s">
        <v>1643</v>
      </c>
      <c r="C4675" t="s">
        <v>6</v>
      </c>
      <c r="D4675" t="s">
        <v>1017</v>
      </c>
      <c r="F4675" s="1">
        <v>45813</v>
      </c>
      <c r="G4675" t="str">
        <f>IF(Table3[[#This Row],[Top Parent Account]]="",Table3[[#This Row],[Account Legal Name]],Table3[[#This Row],[Top Parent Account]])</f>
        <v>Kold Roll De Monterrey</v>
      </c>
      <c r="H4675" s="1"/>
    </row>
    <row r="4676" spans="1:8" x14ac:dyDescent="0.35">
      <c r="A4676" s="21"/>
      <c r="B4676" t="s">
        <v>37</v>
      </c>
      <c r="C4676" t="s">
        <v>6</v>
      </c>
      <c r="D4676" t="s">
        <v>870</v>
      </c>
      <c r="F4676" s="1">
        <v>45813</v>
      </c>
      <c r="G4676" t="str">
        <f>IF(Table3[[#This Row],[Top Parent Account]]="",Table3[[#This Row],[Account Legal Name]],Table3[[#This Row],[Top Parent Account]])</f>
        <v>NNA DEVELOPMENTS</v>
      </c>
      <c r="H4676" s="1"/>
    </row>
    <row r="4677" spans="1:8" x14ac:dyDescent="0.35">
      <c r="A4677" s="21"/>
      <c r="B4677" t="s">
        <v>739</v>
      </c>
      <c r="C4677" t="s">
        <v>22</v>
      </c>
      <c r="D4677" t="s">
        <v>370</v>
      </c>
      <c r="F4677" s="1">
        <v>45813</v>
      </c>
      <c r="G4677" t="str">
        <f>IF(Table3[[#This Row],[Top Parent Account]]="",Table3[[#This Row],[Account Legal Name]],Table3[[#This Row],[Top Parent Account]])</f>
        <v>Grupo Kuo</v>
      </c>
      <c r="H4677" s="1"/>
    </row>
    <row r="4678" spans="1:8" x14ac:dyDescent="0.35">
      <c r="A4678" s="21"/>
      <c r="B4678" t="s">
        <v>32</v>
      </c>
      <c r="C4678" t="s">
        <v>6</v>
      </c>
      <c r="D4678" t="s">
        <v>351</v>
      </c>
      <c r="E4678" t="s">
        <v>195</v>
      </c>
      <c r="F4678" s="1">
        <v>45813</v>
      </c>
      <c r="G4678" t="str">
        <f>IF(Table3[[#This Row],[Top Parent Account]]="",Table3[[#This Row],[Account Legal Name]],Table3[[#This Row],[Top Parent Account]])</f>
        <v>Grupo Indi</v>
      </c>
      <c r="H4678" s="1"/>
    </row>
    <row r="4679" spans="1:8" x14ac:dyDescent="0.35">
      <c r="A4679" s="21"/>
      <c r="B4679" t="s">
        <v>10</v>
      </c>
      <c r="C4679" t="s">
        <v>6</v>
      </c>
      <c r="D4679" t="s">
        <v>912</v>
      </c>
      <c r="E4679" t="s">
        <v>3554</v>
      </c>
      <c r="F4679" s="1">
        <v>45813</v>
      </c>
      <c r="G4679" t="str">
        <f>IF(Table3[[#This Row],[Top Parent Account]]="",Table3[[#This Row],[Account Legal Name]],Table3[[#This Row],[Top Parent Account]])</f>
        <v>Sesajal</v>
      </c>
      <c r="H4679" s="1"/>
    </row>
    <row r="4680" spans="1:8" x14ac:dyDescent="0.35">
      <c r="A4680" s="21"/>
      <c r="B4680" t="s">
        <v>30</v>
      </c>
      <c r="C4680" t="s">
        <v>6</v>
      </c>
      <c r="D4680" t="s">
        <v>93</v>
      </c>
      <c r="F4680" s="1">
        <v>45813</v>
      </c>
      <c r="G4680" t="str">
        <f>IF(Table3[[#This Row],[Top Parent Account]]="",Table3[[#This Row],[Account Legal Name]],Table3[[#This Row],[Top Parent Account]])</f>
        <v>Beta San Miguel</v>
      </c>
      <c r="H4680" s="1"/>
    </row>
    <row r="4681" spans="1:8" x14ac:dyDescent="0.35">
      <c r="A4681" s="21"/>
      <c r="B4681" t="s">
        <v>11</v>
      </c>
      <c r="C4681" t="s">
        <v>6</v>
      </c>
      <c r="D4681" t="s">
        <v>111</v>
      </c>
      <c r="F4681" s="1">
        <v>45813</v>
      </c>
      <c r="G4681" t="str">
        <f>IF(Table3[[#This Row],[Top Parent Account]]="",Table3[[#This Row],[Account Legal Name]],Table3[[#This Row],[Top Parent Account]])</f>
        <v>Regiomontana de Construcción y Servicios</v>
      </c>
      <c r="H4681" s="1"/>
    </row>
    <row r="4682" spans="1:8" x14ac:dyDescent="0.35">
      <c r="A4682" s="21"/>
      <c r="B4682" t="s">
        <v>24</v>
      </c>
      <c r="C4682" t="s">
        <v>6</v>
      </c>
      <c r="D4682" t="s">
        <v>614</v>
      </c>
      <c r="F4682" s="1">
        <v>45813</v>
      </c>
      <c r="G4682" t="str">
        <f>IF(Table3[[#This Row],[Top Parent Account]]="",Table3[[#This Row],[Account Legal Name]],Table3[[#This Row],[Top Parent Account]])</f>
        <v>HellermannTyton</v>
      </c>
      <c r="H4682" s="1"/>
    </row>
    <row r="4683" spans="1:8" x14ac:dyDescent="0.35">
      <c r="A4683" s="21"/>
      <c r="B4683" t="s">
        <v>739</v>
      </c>
      <c r="C4683" t="s">
        <v>6</v>
      </c>
      <c r="D4683" t="s">
        <v>304</v>
      </c>
      <c r="F4683" s="1">
        <v>45813</v>
      </c>
      <c r="G4683" t="str">
        <f>IF(Table3[[#This Row],[Top Parent Account]]="",Table3[[#This Row],[Account Legal Name]],Table3[[#This Row],[Top Parent Account]])</f>
        <v>Robert Bosch Gmbh</v>
      </c>
      <c r="H4683" s="1"/>
    </row>
    <row r="4684" spans="1:8" x14ac:dyDescent="0.35">
      <c r="A4684" s="21"/>
      <c r="B4684" t="s">
        <v>169</v>
      </c>
      <c r="C4684" t="s">
        <v>6</v>
      </c>
      <c r="D4684" t="s">
        <v>2270</v>
      </c>
      <c r="F4684" s="1">
        <v>45813</v>
      </c>
      <c r="G4684" t="str">
        <f>IF(Table3[[#This Row],[Top Parent Account]]="",Table3[[#This Row],[Account Legal Name]],Table3[[#This Row],[Top Parent Account]])</f>
        <v>Manzanilla La Pastora</v>
      </c>
      <c r="H4684" s="1"/>
    </row>
    <row r="4685" spans="1:8" x14ac:dyDescent="0.35">
      <c r="A4685" s="21"/>
      <c r="B4685" t="s">
        <v>70</v>
      </c>
      <c r="C4685" t="s">
        <v>6</v>
      </c>
      <c r="D4685" t="s">
        <v>2304</v>
      </c>
      <c r="F4685" s="1">
        <v>45813</v>
      </c>
      <c r="G4685" t="str">
        <f>IF(Table3[[#This Row],[Top Parent Account]]="",Table3[[#This Row],[Account Legal Name]],Table3[[#This Row],[Top Parent Account]])</f>
        <v>Centro Oncologico Privado</v>
      </c>
      <c r="H4685" s="1"/>
    </row>
    <row r="4686" spans="1:8" x14ac:dyDescent="0.35">
      <c r="A4686" s="21"/>
      <c r="B4686" t="s">
        <v>1006</v>
      </c>
      <c r="C4686" t="s">
        <v>6</v>
      </c>
      <c r="D4686" t="s">
        <v>349</v>
      </c>
      <c r="F4686" s="1">
        <v>45813</v>
      </c>
      <c r="G4686" t="str">
        <f>IF(Table3[[#This Row],[Top Parent Account]]="",Table3[[#This Row],[Account Legal Name]],Table3[[#This Row],[Top Parent Account]])</f>
        <v>Distribuidora Alimenticia Maravatio</v>
      </c>
      <c r="H4686" s="1"/>
    </row>
    <row r="4687" spans="1:8" x14ac:dyDescent="0.35">
      <c r="A4687" s="21"/>
      <c r="B4687" t="s">
        <v>56</v>
      </c>
      <c r="C4687" t="s">
        <v>6</v>
      </c>
      <c r="D4687" t="s">
        <v>2305</v>
      </c>
      <c r="F4687" s="1">
        <v>45813</v>
      </c>
      <c r="G4687" t="str">
        <f>IF(Table3[[#This Row],[Top Parent Account]]="",Table3[[#This Row],[Account Legal Name]],Table3[[#This Row],[Top Parent Account]])</f>
        <v>ASCENDUM MAQUINARIA MEXICO</v>
      </c>
      <c r="H4687" s="1"/>
    </row>
    <row r="4688" spans="1:8" x14ac:dyDescent="0.35">
      <c r="A4688" s="21"/>
      <c r="B4688" t="s">
        <v>820</v>
      </c>
      <c r="C4688" t="s">
        <v>6</v>
      </c>
      <c r="D4688" t="s">
        <v>2307</v>
      </c>
      <c r="F4688" s="1">
        <v>45813</v>
      </c>
      <c r="G4688" t="str">
        <f>IF(Table3[[#This Row],[Top Parent Account]]="",Table3[[#This Row],[Account Legal Name]],Table3[[#This Row],[Top Parent Account]])</f>
        <v>Corporate Travel Services Worldwide</v>
      </c>
      <c r="H4688" s="1"/>
    </row>
    <row r="4689" spans="1:8" x14ac:dyDescent="0.35">
      <c r="A4689" s="21"/>
      <c r="B4689" t="s">
        <v>8</v>
      </c>
      <c r="C4689" t="s">
        <v>22</v>
      </c>
      <c r="D4689" t="s">
        <v>349</v>
      </c>
      <c r="F4689" s="1">
        <v>45813</v>
      </c>
      <c r="G4689" t="str">
        <f>IF(Table3[[#This Row],[Top Parent Account]]="",Table3[[#This Row],[Account Legal Name]],Table3[[#This Row],[Top Parent Account]])</f>
        <v>Distribuidora Alimenticia Maravatio</v>
      </c>
      <c r="H4689" s="1"/>
    </row>
    <row r="4690" spans="1:8" x14ac:dyDescent="0.35">
      <c r="A4690" s="21"/>
      <c r="B4690" t="s">
        <v>14</v>
      </c>
      <c r="C4690" t="s">
        <v>6</v>
      </c>
      <c r="D4690" t="s">
        <v>2306</v>
      </c>
      <c r="F4690" s="1">
        <v>45813</v>
      </c>
      <c r="G4690" t="str">
        <f>IF(Table3[[#This Row],[Top Parent Account]]="",Table3[[#This Row],[Account Legal Name]],Table3[[#This Row],[Top Parent Account]])</f>
        <v>AGRICOLA HERMANOS MONDRAGON</v>
      </c>
      <c r="H4690" s="1"/>
    </row>
    <row r="4691" spans="1:8" x14ac:dyDescent="0.35">
      <c r="A4691" s="21"/>
      <c r="B4691" t="s">
        <v>32</v>
      </c>
      <c r="C4691" t="s">
        <v>6</v>
      </c>
      <c r="D4691" t="s">
        <v>495</v>
      </c>
      <c r="F4691" s="1">
        <v>45813</v>
      </c>
      <c r="G4691" t="str">
        <f>IF(Table3[[#This Row],[Top Parent Account]]="",Table3[[#This Row],[Account Legal Name]],Table3[[#This Row],[Top Parent Account]])</f>
        <v>Mota-Engil México</v>
      </c>
      <c r="H4691" s="1"/>
    </row>
    <row r="4692" spans="1:8" x14ac:dyDescent="0.35">
      <c r="A4692" s="21"/>
      <c r="B4692" t="s">
        <v>24</v>
      </c>
      <c r="C4692" t="s">
        <v>6</v>
      </c>
      <c r="D4692" t="s">
        <v>681</v>
      </c>
      <c r="F4692" s="1">
        <v>45813</v>
      </c>
      <c r="G4692" t="str">
        <f>IF(Table3[[#This Row],[Top Parent Account]]="",Table3[[#This Row],[Account Legal Name]],Table3[[#This Row],[Top Parent Account]])</f>
        <v>Industrializadora Integral Del Agave</v>
      </c>
      <c r="H4692" s="1"/>
    </row>
    <row r="4693" spans="1:8" x14ac:dyDescent="0.35">
      <c r="A4693" s="21"/>
      <c r="B4693" t="s">
        <v>280</v>
      </c>
      <c r="C4693" t="s">
        <v>6</v>
      </c>
      <c r="D4693" t="s">
        <v>2371</v>
      </c>
      <c r="F4693" s="1">
        <v>45813</v>
      </c>
      <c r="G4693" t="str">
        <f>IF(Table3[[#This Row],[Top Parent Account]]="",Table3[[#This Row],[Account Legal Name]],Table3[[#This Row],[Top Parent Account]])</f>
        <v>COMUNIPETS LOGISTICS</v>
      </c>
      <c r="H4693" s="1"/>
    </row>
    <row r="4694" spans="1:8" x14ac:dyDescent="0.35">
      <c r="A4694" s="21"/>
      <c r="B4694" t="s">
        <v>114</v>
      </c>
      <c r="C4694" t="s">
        <v>6</v>
      </c>
      <c r="D4694" t="s">
        <v>442</v>
      </c>
      <c r="F4694" s="1">
        <v>45813</v>
      </c>
      <c r="G4694" t="str">
        <f>IF(Table3[[#This Row],[Top Parent Account]]="",Table3[[#This Row],[Account Legal Name]],Table3[[#This Row],[Top Parent Account]])</f>
        <v>Grupo Radiodifusoras</v>
      </c>
      <c r="H4694" s="1"/>
    </row>
    <row r="4695" spans="1:8" x14ac:dyDescent="0.35">
      <c r="A4695" s="21"/>
      <c r="B4695" t="s">
        <v>88</v>
      </c>
      <c r="C4695" t="s">
        <v>6</v>
      </c>
      <c r="D4695" t="s">
        <v>2308</v>
      </c>
      <c r="F4695" s="1">
        <v>45813</v>
      </c>
      <c r="G4695" t="str">
        <f>IF(Table3[[#This Row],[Top Parent Account]]="",Table3[[#This Row],[Account Legal Name]],Table3[[#This Row],[Top Parent Account]])</f>
        <v>Comercons Gaisa</v>
      </c>
      <c r="H4695" s="1"/>
    </row>
    <row r="4696" spans="1:8" x14ac:dyDescent="0.35">
      <c r="A4696" s="21"/>
      <c r="B4696" t="s">
        <v>590</v>
      </c>
      <c r="C4696" t="s">
        <v>6</v>
      </c>
      <c r="D4696" t="s">
        <v>991</v>
      </c>
      <c r="F4696" s="1">
        <v>45813</v>
      </c>
      <c r="G4696" t="str">
        <f>IF(Table3[[#This Row],[Top Parent Account]]="",Table3[[#This Row],[Account Legal Name]],Table3[[#This Row],[Top Parent Account]])</f>
        <v>Reciclados Plásticos Alvarado</v>
      </c>
      <c r="H4696" s="1"/>
    </row>
    <row r="4697" spans="1:8" x14ac:dyDescent="0.35">
      <c r="A4697" s="21"/>
      <c r="B4697" t="s">
        <v>375</v>
      </c>
      <c r="C4697" t="s">
        <v>6</v>
      </c>
      <c r="D4697" t="s">
        <v>1426</v>
      </c>
      <c r="F4697" s="1">
        <v>45813</v>
      </c>
      <c r="G4697" t="str">
        <f>IF(Table3[[#This Row],[Top Parent Account]]="",Table3[[#This Row],[Account Legal Name]],Table3[[#This Row],[Top Parent Account]])</f>
        <v>Silodisa Servicio Integral De Logística y Distribución</v>
      </c>
      <c r="H4697" s="1"/>
    </row>
    <row r="4698" spans="1:8" x14ac:dyDescent="0.35">
      <c r="A4698" s="21"/>
      <c r="B4698" t="s">
        <v>10</v>
      </c>
      <c r="C4698" t="s">
        <v>6</v>
      </c>
      <c r="D4698" t="s">
        <v>295</v>
      </c>
      <c r="F4698" s="1">
        <v>45813</v>
      </c>
      <c r="G4698" t="str">
        <f>IF(Table3[[#This Row],[Top Parent Account]]="",Table3[[#This Row],[Account Legal Name]],Table3[[#This Row],[Top Parent Account]])</f>
        <v>TRANSPORTE EMPRESARIAL DEL BAJIO</v>
      </c>
      <c r="H4698" s="1"/>
    </row>
    <row r="4699" spans="1:8" x14ac:dyDescent="0.35">
      <c r="A4699" s="21"/>
      <c r="B4699" t="s">
        <v>2309</v>
      </c>
      <c r="C4699" t="s">
        <v>1150</v>
      </c>
      <c r="D4699" t="s">
        <v>676</v>
      </c>
      <c r="F4699" s="1">
        <v>45813</v>
      </c>
      <c r="G4699" t="str">
        <f>IF(Table3[[#This Row],[Top Parent Account]]="",Table3[[#This Row],[Account Legal Name]],Table3[[#This Row],[Top Parent Account]])</f>
        <v>Distribuidora Rodín</v>
      </c>
      <c r="H4699" s="1"/>
    </row>
    <row r="4700" spans="1:8" x14ac:dyDescent="0.35">
      <c r="A4700" s="21"/>
      <c r="B4700" t="s">
        <v>24</v>
      </c>
      <c r="C4700" t="s">
        <v>6</v>
      </c>
      <c r="D4700" t="s">
        <v>1658</v>
      </c>
      <c r="E4700" t="s">
        <v>1065</v>
      </c>
      <c r="F4700" s="1">
        <v>45813</v>
      </c>
      <c r="G4700" t="str">
        <f>IF(Table3[[#This Row],[Top Parent Account]]="",Table3[[#This Row],[Account Legal Name]],Table3[[#This Row],[Top Parent Account]])</f>
        <v>Aleaciones Dentales Zeyco</v>
      </c>
      <c r="H4700" s="1"/>
    </row>
    <row r="4701" spans="1:8" x14ac:dyDescent="0.35">
      <c r="A4701" s="21"/>
      <c r="B4701" t="s">
        <v>1511</v>
      </c>
      <c r="C4701" t="s">
        <v>22</v>
      </c>
      <c r="D4701" t="s">
        <v>439</v>
      </c>
      <c r="F4701" s="1">
        <v>45813</v>
      </c>
      <c r="G4701" t="str">
        <f>IF(Table3[[#This Row],[Top Parent Account]]="",Table3[[#This Row],[Account Legal Name]],Table3[[#This Row],[Top Parent Account]])</f>
        <v>Copamex</v>
      </c>
      <c r="H4701" s="1"/>
    </row>
    <row r="4702" spans="1:8" x14ac:dyDescent="0.35">
      <c r="A4702" s="21"/>
      <c r="B4702" t="s">
        <v>32</v>
      </c>
      <c r="C4702" t="s">
        <v>6</v>
      </c>
      <c r="D4702" t="s">
        <v>953</v>
      </c>
      <c r="F4702" s="1">
        <v>45813</v>
      </c>
      <c r="G4702" t="str">
        <f>IF(Table3[[#This Row],[Top Parent Account]]="",Table3[[#This Row],[Account Legal Name]],Table3[[#This Row],[Top Parent Account]])</f>
        <v>Kensa Logistics México</v>
      </c>
      <c r="H4702" s="1"/>
    </row>
    <row r="4703" spans="1:8" x14ac:dyDescent="0.35">
      <c r="A4703" s="21"/>
      <c r="B4703" t="s">
        <v>11</v>
      </c>
      <c r="C4703" t="s">
        <v>6</v>
      </c>
      <c r="D4703" t="s">
        <v>81</v>
      </c>
      <c r="F4703" s="1">
        <v>45812</v>
      </c>
      <c r="G4703" t="str">
        <f>IF(Table3[[#This Row],[Top Parent Account]]="",Table3[[#This Row],[Account Legal Name]],Table3[[#This Row],[Top Parent Account]])</f>
        <v>Valle Redondo</v>
      </c>
      <c r="H4703" s="1"/>
    </row>
    <row r="4704" spans="1:8" x14ac:dyDescent="0.35">
      <c r="A4704" s="21"/>
      <c r="B4704" t="s">
        <v>18</v>
      </c>
      <c r="C4704" t="s">
        <v>6</v>
      </c>
      <c r="D4704" t="s">
        <v>720</v>
      </c>
      <c r="F4704" s="1">
        <v>45812</v>
      </c>
      <c r="G4704" t="str">
        <f>IF(Table3[[#This Row],[Top Parent Account]]="",Table3[[#This Row],[Account Legal Name]],Table3[[#This Row],[Top Parent Account]])</f>
        <v>Grupo Etimex</v>
      </c>
      <c r="H4704" s="1"/>
    </row>
    <row r="4705" spans="1:8" x14ac:dyDescent="0.35">
      <c r="A4705" s="21"/>
      <c r="B4705" t="s">
        <v>38</v>
      </c>
      <c r="C4705" t="s">
        <v>6</v>
      </c>
      <c r="D4705" t="s">
        <v>456</v>
      </c>
      <c r="F4705" s="1">
        <v>45812</v>
      </c>
      <c r="G4705" t="str">
        <f>IF(Table3[[#This Row],[Top Parent Account]]="",Table3[[#This Row],[Account Legal Name]],Table3[[#This Row],[Top Parent Account]])</f>
        <v>Corporación Dalton</v>
      </c>
      <c r="H4705" s="1"/>
    </row>
    <row r="4706" spans="1:8" x14ac:dyDescent="0.35">
      <c r="A4706" s="21"/>
      <c r="B4706" t="s">
        <v>88</v>
      </c>
      <c r="C4706" t="s">
        <v>22</v>
      </c>
      <c r="D4706" t="s">
        <v>2154</v>
      </c>
      <c r="F4706" s="1">
        <v>45812</v>
      </c>
      <c r="G4706" t="str">
        <f>IF(Table3[[#This Row],[Top Parent Account]]="",Table3[[#This Row],[Account Legal Name]],Table3[[#This Row],[Top Parent Account]])</f>
        <v>OLE A&amp;D Mexico</v>
      </c>
      <c r="H4706" s="1"/>
    </row>
    <row r="4707" spans="1:8" x14ac:dyDescent="0.35">
      <c r="A4707" s="21"/>
      <c r="B4707" t="s">
        <v>27</v>
      </c>
      <c r="C4707" t="s">
        <v>22</v>
      </c>
      <c r="D4707" t="s">
        <v>1291</v>
      </c>
      <c r="F4707" s="1">
        <v>45812</v>
      </c>
      <c r="G4707" t="str">
        <f>IF(Table3[[#This Row],[Top Parent Account]]="",Table3[[#This Row],[Account Legal Name]],Table3[[#This Row],[Top Parent Account]])</f>
        <v>Beta Procesos</v>
      </c>
      <c r="H4707" s="1"/>
    </row>
    <row r="4708" spans="1:8" x14ac:dyDescent="0.35">
      <c r="A4708" s="21"/>
      <c r="B4708" t="s">
        <v>27</v>
      </c>
      <c r="C4708" t="s">
        <v>22</v>
      </c>
      <c r="D4708" t="s">
        <v>1290</v>
      </c>
      <c r="F4708" s="1">
        <v>45812</v>
      </c>
      <c r="G4708" t="str">
        <f>IF(Table3[[#This Row],[Top Parent Account]]="",Table3[[#This Row],[Account Legal Name]],Table3[[#This Row],[Top Parent Account]])</f>
        <v>Aligerados Padda</v>
      </c>
      <c r="H4708" s="1"/>
    </row>
    <row r="4709" spans="1:8" x14ac:dyDescent="0.35">
      <c r="A4709" s="21"/>
      <c r="B4709" t="s">
        <v>169</v>
      </c>
      <c r="C4709" t="s">
        <v>6</v>
      </c>
      <c r="D4709" t="s">
        <v>2310</v>
      </c>
      <c r="F4709" s="1">
        <v>45812</v>
      </c>
      <c r="G4709" t="str">
        <f>IF(Table3[[#This Row],[Top Parent Account]]="",Table3[[#This Row],[Account Legal Name]],Table3[[#This Row],[Top Parent Account]])</f>
        <v>Texturizados y Tejidos Windsor</v>
      </c>
      <c r="H4709" s="1"/>
    </row>
    <row r="4710" spans="1:8" x14ac:dyDescent="0.35">
      <c r="A4710" s="21"/>
      <c r="B4710" t="s">
        <v>1006</v>
      </c>
      <c r="C4710" t="s">
        <v>6</v>
      </c>
      <c r="D4710" t="s">
        <v>1491</v>
      </c>
      <c r="F4710" s="1">
        <v>45812</v>
      </c>
      <c r="G4710" t="str">
        <f>IF(Table3[[#This Row],[Top Parent Account]]="",Table3[[#This Row],[Account Legal Name]],Table3[[#This Row],[Top Parent Account]])</f>
        <v>GRUPO MOC</v>
      </c>
      <c r="H4710" s="1"/>
    </row>
    <row r="4711" spans="1:8" x14ac:dyDescent="0.35">
      <c r="A4711" s="21"/>
      <c r="B4711" t="s">
        <v>28</v>
      </c>
      <c r="C4711" t="s">
        <v>6</v>
      </c>
      <c r="D4711" t="s">
        <v>2311</v>
      </c>
      <c r="F4711" s="1">
        <v>45812</v>
      </c>
      <c r="G4711" t="str">
        <f>IF(Table3[[#This Row],[Top Parent Account]]="",Table3[[#This Row],[Account Legal Name]],Table3[[#This Row],[Top Parent Account]])</f>
        <v>CIA DE MINERALES AVE FENIX</v>
      </c>
      <c r="H4711" s="1"/>
    </row>
    <row r="4712" spans="1:8" x14ac:dyDescent="0.35">
      <c r="A4712" s="21"/>
      <c r="B4712" t="s">
        <v>590</v>
      </c>
      <c r="C4712" t="s">
        <v>6</v>
      </c>
      <c r="D4712" t="s">
        <v>2312</v>
      </c>
      <c r="F4712" s="1">
        <v>45812</v>
      </c>
      <c r="G4712" t="str">
        <f>IF(Table3[[#This Row],[Top Parent Account]]="",Table3[[#This Row],[Account Legal Name]],Table3[[#This Row],[Top Parent Account]])</f>
        <v>Concretos La Silla</v>
      </c>
      <c r="H4712" s="1"/>
    </row>
    <row r="4713" spans="1:8" x14ac:dyDescent="0.35">
      <c r="A4713" s="21"/>
      <c r="B4713" t="s">
        <v>896</v>
      </c>
      <c r="C4713" t="s">
        <v>6</v>
      </c>
      <c r="D4713" t="s">
        <v>2423</v>
      </c>
      <c r="F4713" s="1">
        <v>45812</v>
      </c>
      <c r="G4713" t="str">
        <f>IF(Table3[[#This Row],[Top Parent Account]]="",Table3[[#This Row],[Account Legal Name]],Table3[[#This Row],[Top Parent Account]])</f>
        <v>PREMEZCLADOS NAZAS</v>
      </c>
      <c r="H4713" s="1"/>
    </row>
    <row r="4714" spans="1:8" x14ac:dyDescent="0.35">
      <c r="A4714" s="21"/>
      <c r="B4714" t="s">
        <v>88</v>
      </c>
      <c r="C4714" t="s">
        <v>6</v>
      </c>
      <c r="D4714" t="s">
        <v>1760</v>
      </c>
      <c r="F4714" s="1">
        <v>45812</v>
      </c>
      <c r="G4714" t="str">
        <f>IF(Table3[[#This Row],[Top Parent Account]]="",Table3[[#This Row],[Account Legal Name]],Table3[[#This Row],[Top Parent Account]])</f>
        <v>Embutidos De Luna</v>
      </c>
      <c r="H4714" s="1"/>
    </row>
    <row r="4715" spans="1:8" x14ac:dyDescent="0.35">
      <c r="A4715" s="21"/>
      <c r="B4715" t="s">
        <v>1511</v>
      </c>
      <c r="C4715" t="s">
        <v>22</v>
      </c>
      <c r="D4715" t="s">
        <v>2194</v>
      </c>
      <c r="F4715" s="1">
        <v>45812</v>
      </c>
      <c r="G4715" t="str">
        <f>IF(Table3[[#This Row],[Top Parent Account]]="",Table3[[#This Row],[Account Legal Name]],Table3[[#This Row],[Top Parent Account]])</f>
        <v>Forestal La Reforma</v>
      </c>
      <c r="H4715" s="1"/>
    </row>
    <row r="4716" spans="1:8" x14ac:dyDescent="0.35">
      <c r="A4716" s="21"/>
      <c r="B4716" t="s">
        <v>10</v>
      </c>
      <c r="C4716" t="s">
        <v>6</v>
      </c>
      <c r="D4716" t="s">
        <v>359</v>
      </c>
      <c r="F4716" s="1">
        <v>45812</v>
      </c>
      <c r="G4716" t="str">
        <f>IF(Table3[[#This Row],[Top Parent Account]]="",Table3[[#This Row],[Account Legal Name]],Table3[[#This Row],[Top Parent Account]])</f>
        <v>Grupo Ampm</v>
      </c>
      <c r="H4716" s="1"/>
    </row>
    <row r="4717" spans="1:8" x14ac:dyDescent="0.35">
      <c r="A4717" s="21"/>
      <c r="B4717" t="s">
        <v>11</v>
      </c>
      <c r="C4717" t="s">
        <v>6</v>
      </c>
      <c r="D4717" t="s">
        <v>402</v>
      </c>
      <c r="F4717" s="1">
        <v>45812</v>
      </c>
      <c r="G4717" t="str">
        <f>IF(Table3[[#This Row],[Top Parent Account]]="",Table3[[#This Row],[Account Legal Name]],Table3[[#This Row],[Top Parent Account]])</f>
        <v>Bocar</v>
      </c>
      <c r="H4717" s="1"/>
    </row>
    <row r="4718" spans="1:8" x14ac:dyDescent="0.35">
      <c r="A4718" s="21"/>
      <c r="B4718" t="s">
        <v>78</v>
      </c>
      <c r="C4718" t="s">
        <v>6</v>
      </c>
      <c r="D4718" t="s">
        <v>2033</v>
      </c>
      <c r="F4718" s="1">
        <v>45812</v>
      </c>
      <c r="G4718" t="str">
        <f>IF(Table3[[#This Row],[Top Parent Account]]="",Table3[[#This Row],[Account Legal Name]],Table3[[#This Row],[Top Parent Account]])</f>
        <v>UELITINI TONATIUTEOTL</v>
      </c>
      <c r="H4718" s="1"/>
    </row>
    <row r="4719" spans="1:8" x14ac:dyDescent="0.35">
      <c r="A4719" s="21"/>
      <c r="B4719" t="s">
        <v>51</v>
      </c>
      <c r="C4719" t="s">
        <v>6</v>
      </c>
      <c r="D4719" t="s">
        <v>1857</v>
      </c>
      <c r="F4719" s="1">
        <v>45812</v>
      </c>
      <c r="G4719" t="str">
        <f>IF(Table3[[#This Row],[Top Parent Account]]="",Table3[[#This Row],[Account Legal Name]],Table3[[#This Row],[Top Parent Account]])</f>
        <v>Soluciones Flexoplasticas</v>
      </c>
      <c r="H4719" s="1"/>
    </row>
    <row r="4720" spans="1:8" x14ac:dyDescent="0.35">
      <c r="A4720" s="21"/>
      <c r="B4720" t="s">
        <v>280</v>
      </c>
      <c r="C4720" t="s">
        <v>6</v>
      </c>
      <c r="D4720" t="s">
        <v>959</v>
      </c>
      <c r="F4720" s="1">
        <v>45812</v>
      </c>
      <c r="G4720" t="str">
        <f>IF(Table3[[#This Row],[Top Parent Account]]="",Table3[[#This Row],[Account Legal Name]],Table3[[#This Row],[Top Parent Account]])</f>
        <v>Supollo</v>
      </c>
      <c r="H4720" s="1"/>
    </row>
    <row r="4721" spans="1:8" x14ac:dyDescent="0.35">
      <c r="A4721" s="21"/>
      <c r="B4721" t="s">
        <v>925</v>
      </c>
      <c r="C4721" t="s">
        <v>6</v>
      </c>
      <c r="D4721" t="s">
        <v>2280</v>
      </c>
      <c r="F4721" s="1">
        <v>45812</v>
      </c>
      <c r="G4721" t="str">
        <f>IF(Table3[[#This Row],[Top Parent Account]]="",Table3[[#This Row],[Account Legal Name]],Table3[[#This Row],[Top Parent Account]])</f>
        <v>Ballotini Panamericana</v>
      </c>
      <c r="H4721" s="1"/>
    </row>
    <row r="4722" spans="1:8" x14ac:dyDescent="0.35">
      <c r="A4722" s="21"/>
      <c r="B4722" t="s">
        <v>970</v>
      </c>
      <c r="C4722" t="s">
        <v>6</v>
      </c>
      <c r="D4722" t="s">
        <v>814</v>
      </c>
      <c r="F4722" s="1">
        <v>45812</v>
      </c>
      <c r="G4722" t="str">
        <f>IF(Table3[[#This Row],[Top Parent Account]]="",Table3[[#This Row],[Account Legal Name]],Table3[[#This Row],[Top Parent Account]])</f>
        <v>Peri Cimbras y Andamios</v>
      </c>
      <c r="H4722" s="1"/>
    </row>
    <row r="4723" spans="1:8" x14ac:dyDescent="0.35">
      <c r="A4723" s="21"/>
      <c r="B4723" t="s">
        <v>25</v>
      </c>
      <c r="C4723" t="s">
        <v>6</v>
      </c>
      <c r="D4723" t="s">
        <v>1059</v>
      </c>
      <c r="F4723" s="1">
        <v>45812</v>
      </c>
      <c r="G4723" t="str">
        <f>IF(Table3[[#This Row],[Top Parent Account]]="",Table3[[#This Row],[Account Legal Name]],Table3[[#This Row],[Top Parent Account]])</f>
        <v>Enviopack Mexico</v>
      </c>
      <c r="H4723" s="1"/>
    </row>
    <row r="4724" spans="1:8" x14ac:dyDescent="0.35">
      <c r="A4724" s="21"/>
      <c r="B4724" t="s">
        <v>25</v>
      </c>
      <c r="C4724" t="s">
        <v>6</v>
      </c>
      <c r="D4724" t="s">
        <v>2313</v>
      </c>
      <c r="F4724" s="1">
        <v>45812</v>
      </c>
      <c r="G4724" t="str">
        <f>IF(Table3[[#This Row],[Top Parent Account]]="",Table3[[#This Row],[Account Legal Name]],Table3[[#This Row],[Top Parent Account]])</f>
        <v>Pinturas Y Recubrimientos Piramides</v>
      </c>
      <c r="H4724" s="1"/>
    </row>
    <row r="4725" spans="1:8" x14ac:dyDescent="0.35">
      <c r="A4725" s="21"/>
      <c r="B4725" t="s">
        <v>172</v>
      </c>
      <c r="C4725" t="s">
        <v>6</v>
      </c>
      <c r="D4725" t="s">
        <v>2372</v>
      </c>
      <c r="F4725" s="1">
        <v>45812</v>
      </c>
      <c r="G4725" t="str">
        <f>IF(Table3[[#This Row],[Top Parent Account]]="",Table3[[#This Row],[Account Legal Name]],Table3[[#This Row],[Top Parent Account]])</f>
        <v>Titanx Engine Cooling de México</v>
      </c>
      <c r="H4725" s="1"/>
    </row>
    <row r="4726" spans="1:8" x14ac:dyDescent="0.35">
      <c r="A4726" s="21"/>
      <c r="B4726" t="s">
        <v>932</v>
      </c>
      <c r="C4726" t="s">
        <v>1156</v>
      </c>
      <c r="D4726" t="s">
        <v>2373</v>
      </c>
      <c r="F4726" s="1">
        <v>45812</v>
      </c>
      <c r="G4726" t="str">
        <f>IF(Table3[[#This Row],[Top Parent Account]]="",Table3[[#This Row],[Account Legal Name]],Table3[[#This Row],[Top Parent Account]])</f>
        <v>Hospitales Familiares</v>
      </c>
      <c r="H4726" s="1"/>
    </row>
    <row r="4727" spans="1:8" x14ac:dyDescent="0.35">
      <c r="A4727" s="21"/>
      <c r="B4727" t="s">
        <v>37</v>
      </c>
      <c r="C4727" t="s">
        <v>6</v>
      </c>
      <c r="D4727" t="s">
        <v>2314</v>
      </c>
      <c r="F4727" s="1">
        <v>45812</v>
      </c>
      <c r="G4727" t="str">
        <f>IF(Table3[[#This Row],[Top Parent Account]]="",Table3[[#This Row],[Account Legal Name]],Table3[[#This Row],[Top Parent Account]])</f>
        <v>ARES METALS</v>
      </c>
      <c r="H4727" s="1"/>
    </row>
    <row r="4728" spans="1:8" x14ac:dyDescent="0.35">
      <c r="A4728" s="21"/>
      <c r="B4728" t="s">
        <v>78</v>
      </c>
      <c r="C4728" t="s">
        <v>6</v>
      </c>
      <c r="D4728" t="s">
        <v>678</v>
      </c>
      <c r="F4728" s="1">
        <v>45812</v>
      </c>
      <c r="G4728" t="str">
        <f>IF(Table3[[#This Row],[Top Parent Account]]="",Table3[[#This Row],[Account Legal Name]],Table3[[#This Row],[Top Parent Account]])</f>
        <v>Transportes Terrestres Novillero</v>
      </c>
      <c r="H4728" s="1"/>
    </row>
    <row r="4729" spans="1:8" x14ac:dyDescent="0.35">
      <c r="A4729" s="21"/>
      <c r="B4729" t="s">
        <v>77</v>
      </c>
      <c r="C4729" t="s">
        <v>6</v>
      </c>
      <c r="D4729" t="s">
        <v>2316</v>
      </c>
      <c r="E4729" t="s">
        <v>2317</v>
      </c>
      <c r="F4729" s="1">
        <v>45812</v>
      </c>
      <c r="G4729" t="str">
        <f>IF(Table3[[#This Row],[Top Parent Account]]="",Table3[[#This Row],[Account Legal Name]],Table3[[#This Row],[Top Parent Account]])</f>
        <v>TRANSPORTE DE PERSONAL JOSELYN</v>
      </c>
      <c r="H4729" s="1"/>
    </row>
    <row r="4730" spans="1:8" x14ac:dyDescent="0.35">
      <c r="A4730" s="21"/>
      <c r="B4730" t="s">
        <v>169</v>
      </c>
      <c r="C4730" t="s">
        <v>6</v>
      </c>
      <c r="D4730" t="s">
        <v>576</v>
      </c>
      <c r="F4730" s="1">
        <v>45812</v>
      </c>
      <c r="G4730" t="str">
        <f>IF(Table3[[#This Row],[Top Parent Account]]="",Table3[[#This Row],[Account Legal Name]],Table3[[#This Row],[Top Parent Account]])</f>
        <v>Dsf Industrias</v>
      </c>
      <c r="H4730" s="1"/>
    </row>
    <row r="4731" spans="1:8" x14ac:dyDescent="0.35">
      <c r="A4731" s="21"/>
      <c r="B4731" t="s">
        <v>169</v>
      </c>
      <c r="C4731" t="s">
        <v>6</v>
      </c>
      <c r="D4731" t="s">
        <v>2315</v>
      </c>
      <c r="F4731" s="1">
        <v>45812</v>
      </c>
      <c r="G4731" t="str">
        <f>IF(Table3[[#This Row],[Top Parent Account]]="",Table3[[#This Row],[Account Legal Name]],Table3[[#This Row],[Top Parent Account]])</f>
        <v>HANGCHA MEXICO</v>
      </c>
      <c r="H4731" s="1"/>
    </row>
    <row r="4732" spans="1:8" x14ac:dyDescent="0.35">
      <c r="A4732" s="21"/>
      <c r="B4732" t="s">
        <v>39</v>
      </c>
      <c r="C4732" t="s">
        <v>2318</v>
      </c>
      <c r="D4732" t="s">
        <v>1981</v>
      </c>
      <c r="F4732" s="1">
        <v>45812</v>
      </c>
      <c r="G4732" t="str">
        <f>IF(Table3[[#This Row],[Top Parent Account]]="",Table3[[#This Row],[Account Legal Name]],Table3[[#This Row],[Top Parent Account]])</f>
        <v>Consultoría y Asesoría De Redes</v>
      </c>
      <c r="H4732" s="1"/>
    </row>
    <row r="4733" spans="1:8" x14ac:dyDescent="0.35">
      <c r="A4733" s="21"/>
      <c r="B4733" t="s">
        <v>23</v>
      </c>
      <c r="C4733" t="s">
        <v>6</v>
      </c>
      <c r="D4733" t="s">
        <v>2319</v>
      </c>
      <c r="F4733" s="1">
        <v>45812</v>
      </c>
      <c r="G4733" t="str">
        <f>IF(Table3[[#This Row],[Top Parent Account]]="",Table3[[#This Row],[Account Legal Name]],Table3[[#This Row],[Top Parent Account]])</f>
        <v>GRUPO EMPRESARIAL ENLACE EN SISTEMAS DE AUTOTRANSPORTE</v>
      </c>
      <c r="H4733" s="1"/>
    </row>
    <row r="4734" spans="1:8" x14ac:dyDescent="0.35">
      <c r="A4734" s="21"/>
      <c r="B4734" t="s">
        <v>70</v>
      </c>
      <c r="C4734" t="s">
        <v>6</v>
      </c>
      <c r="D4734" t="s">
        <v>447</v>
      </c>
      <c r="F4734" s="1">
        <v>45812</v>
      </c>
      <c r="G4734" t="str">
        <f>IF(Table3[[#This Row],[Top Parent Account]]="",Table3[[#This Row],[Account Legal Name]],Table3[[#This Row],[Top Parent Account]])</f>
        <v>Intermet</v>
      </c>
      <c r="H4734" s="1"/>
    </row>
    <row r="4735" spans="1:8" x14ac:dyDescent="0.35">
      <c r="A4735" s="21"/>
      <c r="B4735" t="s">
        <v>27</v>
      </c>
      <c r="C4735" t="s">
        <v>6</v>
      </c>
      <c r="D4735" t="s">
        <v>2229</v>
      </c>
      <c r="F4735" s="1">
        <v>45812</v>
      </c>
      <c r="G4735" t="str">
        <f>IF(Table3[[#This Row],[Top Parent Account]]="",Table3[[#This Row],[Account Legal Name]],Table3[[#This Row],[Top Parent Account]])</f>
        <v>Eléctrica Ab</v>
      </c>
      <c r="H4735" s="1"/>
    </row>
    <row r="4736" spans="1:8" x14ac:dyDescent="0.35">
      <c r="A4736" s="21"/>
      <c r="B4736" t="s">
        <v>172</v>
      </c>
      <c r="C4736" t="s">
        <v>6</v>
      </c>
      <c r="D4736" t="s">
        <v>952</v>
      </c>
      <c r="F4736" s="1">
        <v>45812</v>
      </c>
      <c r="G4736" t="str">
        <f>IF(Table3[[#This Row],[Top Parent Account]]="",Table3[[#This Row],[Account Legal Name]],Table3[[#This Row],[Top Parent Account]])</f>
        <v>Productos Santa Ofelia</v>
      </c>
      <c r="H4736" s="1"/>
    </row>
    <row r="4737" spans="1:8" x14ac:dyDescent="0.35">
      <c r="A4737" s="21"/>
      <c r="B4737" t="s">
        <v>969</v>
      </c>
      <c r="C4737" t="s">
        <v>6</v>
      </c>
      <c r="D4737" t="s">
        <v>2320</v>
      </c>
      <c r="F4737" s="1">
        <v>45812</v>
      </c>
      <c r="G4737" t="str">
        <f>IF(Table3[[#This Row],[Top Parent Account]]="",Table3[[#This Row],[Account Legal Name]],Table3[[#This Row],[Top Parent Account]])</f>
        <v>Plegadizos y Corrugados Apolo</v>
      </c>
      <c r="H4737" s="1"/>
    </row>
    <row r="4738" spans="1:8" x14ac:dyDescent="0.35">
      <c r="A4738" s="21"/>
      <c r="B4738" t="s">
        <v>51</v>
      </c>
      <c r="C4738" t="s">
        <v>6</v>
      </c>
      <c r="D4738" t="s">
        <v>2321</v>
      </c>
      <c r="F4738" s="1">
        <v>45812</v>
      </c>
      <c r="G4738" t="str">
        <f>IF(Table3[[#This Row],[Top Parent Account]]="",Table3[[#This Row],[Account Legal Name]],Table3[[#This Row],[Top Parent Account]])</f>
        <v>LG Frutas</v>
      </c>
      <c r="H4738" s="1"/>
    </row>
    <row r="4739" spans="1:8" x14ac:dyDescent="0.35">
      <c r="A4739" s="21"/>
      <c r="B4739" t="s">
        <v>207</v>
      </c>
      <c r="C4739" t="s">
        <v>6</v>
      </c>
      <c r="D4739" t="s">
        <v>834</v>
      </c>
      <c r="F4739" s="1">
        <v>45812</v>
      </c>
      <c r="G4739" t="str">
        <f>IF(Table3[[#This Row],[Top Parent Account]]="",Table3[[#This Row],[Account Legal Name]],Table3[[#This Row],[Top Parent Account]])</f>
        <v>Envases Plasticos la Vaca</v>
      </c>
      <c r="H4739" s="1"/>
    </row>
    <row r="4740" spans="1:8" x14ac:dyDescent="0.35">
      <c r="A4740" s="21"/>
      <c r="B4740" t="s">
        <v>207</v>
      </c>
      <c r="C4740" t="s">
        <v>6</v>
      </c>
      <c r="D4740" t="s">
        <v>1525</v>
      </c>
      <c r="F4740" s="1">
        <v>45812</v>
      </c>
      <c r="G4740" t="str">
        <f>IF(Table3[[#This Row],[Top Parent Account]]="",Table3[[#This Row],[Account Legal Name]],Table3[[#This Row],[Top Parent Account]])</f>
        <v>Eysen</v>
      </c>
      <c r="H4740" s="1"/>
    </row>
    <row r="4741" spans="1:8" x14ac:dyDescent="0.35">
      <c r="A4741" s="21"/>
      <c r="B4741" t="s">
        <v>14</v>
      </c>
      <c r="C4741" t="s">
        <v>6</v>
      </c>
      <c r="D4741" t="s">
        <v>2322</v>
      </c>
      <c r="F4741" s="1">
        <v>45812</v>
      </c>
      <c r="G4741" t="str">
        <f>IF(Table3[[#This Row],[Top Parent Account]]="",Table3[[#This Row],[Account Legal Name]],Table3[[#This Row],[Top Parent Account]])</f>
        <v>Jose Jaime Paulin Cisneros</v>
      </c>
      <c r="H4741" s="1"/>
    </row>
    <row r="4742" spans="1:8" x14ac:dyDescent="0.35">
      <c r="A4742" s="21"/>
      <c r="B4742" t="s">
        <v>78</v>
      </c>
      <c r="C4742" t="s">
        <v>6</v>
      </c>
      <c r="D4742" t="s">
        <v>2323</v>
      </c>
      <c r="F4742" s="1">
        <v>45812</v>
      </c>
      <c r="G4742" t="str">
        <f>IF(Table3[[#This Row],[Top Parent Account]]="",Table3[[#This Row],[Account Legal Name]],Table3[[#This Row],[Top Parent Account]])</f>
        <v>Fabrica de Dulces y chocolates La poblana</v>
      </c>
      <c r="H4742" s="1"/>
    </row>
    <row r="4743" spans="1:8" x14ac:dyDescent="0.35">
      <c r="A4743" s="21"/>
      <c r="B4743" t="s">
        <v>1899</v>
      </c>
      <c r="C4743" t="s">
        <v>6</v>
      </c>
      <c r="D4743" t="s">
        <v>2324</v>
      </c>
      <c r="F4743" s="1">
        <v>45812</v>
      </c>
      <c r="G4743" t="str">
        <f>IF(Table3[[#This Row],[Top Parent Account]]="",Table3[[#This Row],[Account Legal Name]],Table3[[#This Row],[Top Parent Account]])</f>
        <v>Alimentos Mager</v>
      </c>
      <c r="H4743" s="1"/>
    </row>
    <row r="4744" spans="1:8" x14ac:dyDescent="0.35">
      <c r="A4744" s="21"/>
      <c r="B4744" t="s">
        <v>1031</v>
      </c>
      <c r="C4744" t="s">
        <v>6</v>
      </c>
      <c r="D4744" t="s">
        <v>2424</v>
      </c>
      <c r="F4744" s="1">
        <v>45812</v>
      </c>
      <c r="G4744" t="str">
        <f>IF(Table3[[#This Row],[Top Parent Account]]="",Table3[[#This Row],[Account Legal Name]],Table3[[#This Row],[Top Parent Account]])</f>
        <v>Magueyeras</v>
      </c>
      <c r="H4744" s="1"/>
    </row>
    <row r="4745" spans="1:8" x14ac:dyDescent="0.35">
      <c r="A4745" s="21"/>
      <c r="B4745" t="s">
        <v>51</v>
      </c>
      <c r="C4745" t="s">
        <v>6</v>
      </c>
      <c r="D4745" t="s">
        <v>2325</v>
      </c>
      <c r="F4745" s="1">
        <v>45812</v>
      </c>
      <c r="G4745" t="str">
        <f>IF(Table3[[#This Row],[Top Parent Account]]="",Table3[[#This Row],[Account Legal Name]],Table3[[#This Row],[Top Parent Account]])</f>
        <v>Optimal Berry Group</v>
      </c>
      <c r="H4745" s="1"/>
    </row>
    <row r="4746" spans="1:8" x14ac:dyDescent="0.35">
      <c r="A4746" s="21"/>
      <c r="B4746" t="s">
        <v>1031</v>
      </c>
      <c r="C4746" t="s">
        <v>6</v>
      </c>
      <c r="D4746" t="s">
        <v>2425</v>
      </c>
      <c r="F4746" s="1">
        <v>45812</v>
      </c>
      <c r="G4746" t="str">
        <f>IF(Table3[[#This Row],[Top Parent Account]]="",Table3[[#This Row],[Account Legal Name]],Table3[[#This Row],[Top Parent Account]])</f>
        <v>Hotel Via Dorada</v>
      </c>
      <c r="H4746" s="1"/>
    </row>
    <row r="4747" spans="1:8" x14ac:dyDescent="0.35">
      <c r="A4747" s="21"/>
      <c r="B4747" t="s">
        <v>1511</v>
      </c>
      <c r="C4747" t="s">
        <v>22</v>
      </c>
      <c r="D4747" t="s">
        <v>1249</v>
      </c>
      <c r="F4747" s="1">
        <v>45812</v>
      </c>
      <c r="G4747" t="str">
        <f>IF(Table3[[#This Row],[Top Parent Account]]="",Table3[[#This Row],[Account Legal Name]],Table3[[#This Row],[Top Parent Account]])</f>
        <v>Grupo Regional Santa Fé</v>
      </c>
      <c r="H4747" s="1"/>
    </row>
    <row r="4748" spans="1:8" x14ac:dyDescent="0.35">
      <c r="A4748" s="21"/>
      <c r="B4748" t="s">
        <v>172</v>
      </c>
      <c r="C4748" t="s">
        <v>6</v>
      </c>
      <c r="D4748" t="s">
        <v>2374</v>
      </c>
      <c r="F4748" s="1">
        <v>45812</v>
      </c>
      <c r="G4748" t="str">
        <f>IF(Table3[[#This Row],[Top Parent Account]]="",Table3[[#This Row],[Account Legal Name]],Table3[[#This Row],[Top Parent Account]])</f>
        <v>Agroservicios Del Norte</v>
      </c>
      <c r="H4748" s="1"/>
    </row>
    <row r="4749" spans="1:8" x14ac:dyDescent="0.35">
      <c r="A4749" s="21"/>
      <c r="B4749" t="s">
        <v>590</v>
      </c>
      <c r="C4749" t="s">
        <v>6</v>
      </c>
      <c r="D4749" t="s">
        <v>2327</v>
      </c>
      <c r="E4749" t="s">
        <v>2328</v>
      </c>
      <c r="F4749" s="1">
        <v>45812</v>
      </c>
      <c r="G4749" t="str">
        <f>IF(Table3[[#This Row],[Top Parent Account]]="",Table3[[#This Row],[Account Legal Name]],Table3[[#This Row],[Top Parent Account]])</f>
        <v>Proeza</v>
      </c>
      <c r="H4749" s="1"/>
    </row>
    <row r="4750" spans="1:8" x14ac:dyDescent="0.35">
      <c r="A4750" s="21"/>
      <c r="B4750" t="s">
        <v>1643</v>
      </c>
      <c r="C4750" t="s">
        <v>6</v>
      </c>
      <c r="D4750" t="s">
        <v>3441</v>
      </c>
      <c r="F4750" s="1">
        <v>45812</v>
      </c>
      <c r="G4750" t="str">
        <f>IF(Table3[[#This Row],[Top Parent Account]]="",Table3[[#This Row],[Account Legal Name]],Table3[[#This Row],[Top Parent Account]])</f>
        <v>Protexa Construcciones</v>
      </c>
      <c r="H4750" s="1"/>
    </row>
    <row r="4751" spans="1:8" x14ac:dyDescent="0.35">
      <c r="A4751" s="21"/>
      <c r="B4751" t="s">
        <v>78</v>
      </c>
      <c r="C4751" t="s">
        <v>6</v>
      </c>
      <c r="D4751" t="s">
        <v>2326</v>
      </c>
      <c r="F4751" s="1">
        <v>45812</v>
      </c>
      <c r="G4751" t="str">
        <f>IF(Table3[[#This Row],[Top Parent Account]]="",Table3[[#This Row],[Account Legal Name]],Table3[[#This Row],[Top Parent Account]])</f>
        <v>Politriturados del Sur</v>
      </c>
      <c r="H4751" s="1"/>
    </row>
    <row r="4752" spans="1:8" x14ac:dyDescent="0.35">
      <c r="A4752" s="21"/>
      <c r="B4752" t="s">
        <v>172</v>
      </c>
      <c r="C4752" t="s">
        <v>6</v>
      </c>
      <c r="D4752" t="s">
        <v>1917</v>
      </c>
      <c r="F4752" s="1">
        <v>45812</v>
      </c>
      <c r="G4752" t="str">
        <f>IF(Table3[[#This Row],[Top Parent Account]]="",Table3[[#This Row],[Account Legal Name]],Table3[[#This Row],[Top Parent Account]])</f>
        <v>CAU</v>
      </c>
      <c r="H4752" s="1"/>
    </row>
    <row r="4753" spans="1:8" x14ac:dyDescent="0.35">
      <c r="A4753" s="21"/>
      <c r="B4753" t="s">
        <v>14</v>
      </c>
      <c r="C4753" t="s">
        <v>6</v>
      </c>
      <c r="D4753" t="s">
        <v>2329</v>
      </c>
      <c r="F4753" s="1">
        <v>45812</v>
      </c>
      <c r="G4753" t="str">
        <f>IF(Table3[[#This Row],[Top Parent Account]]="",Table3[[#This Row],[Account Legal Name]],Table3[[#This Row],[Top Parent Account]])</f>
        <v>EDICOM MRZZANINE RACKS</v>
      </c>
      <c r="H4753" s="1"/>
    </row>
    <row r="4754" spans="1:8" x14ac:dyDescent="0.35">
      <c r="A4754" s="21"/>
      <c r="B4754" t="s">
        <v>1006</v>
      </c>
      <c r="C4754" t="s">
        <v>6</v>
      </c>
      <c r="D4754" t="s">
        <v>2330</v>
      </c>
      <c r="F4754" s="1">
        <v>45811</v>
      </c>
      <c r="G4754" t="str">
        <f>IF(Table3[[#This Row],[Top Parent Account]]="",Table3[[#This Row],[Account Legal Name]],Table3[[#This Row],[Top Parent Account]])</f>
        <v>Tmis Equipos Industriales</v>
      </c>
      <c r="H4754" s="1"/>
    </row>
    <row r="4755" spans="1:8" x14ac:dyDescent="0.35">
      <c r="A4755" s="21"/>
      <c r="B4755" t="s">
        <v>11</v>
      </c>
      <c r="C4755" t="s">
        <v>6</v>
      </c>
      <c r="D4755" t="s">
        <v>89</v>
      </c>
      <c r="F4755" s="1">
        <v>45811</v>
      </c>
      <c r="G4755" t="str">
        <f>IF(Table3[[#This Row],[Top Parent Account]]="",Table3[[#This Row],[Account Legal Name]],Table3[[#This Row],[Top Parent Account]])</f>
        <v>Anheuser-Busch México Holding</v>
      </c>
      <c r="H4755" s="1"/>
    </row>
    <row r="4756" spans="1:8" x14ac:dyDescent="0.35">
      <c r="A4756" s="21"/>
      <c r="B4756" t="s">
        <v>18</v>
      </c>
      <c r="C4756" t="s">
        <v>6</v>
      </c>
      <c r="D4756" t="s">
        <v>702</v>
      </c>
      <c r="F4756" s="1">
        <v>45811</v>
      </c>
      <c r="G4756" t="str">
        <f>IF(Table3[[#This Row],[Top Parent Account]]="",Table3[[#This Row],[Account Legal Name]],Table3[[#This Row],[Top Parent Account]])</f>
        <v>Lm Transportaciones</v>
      </c>
      <c r="H4756" s="1"/>
    </row>
    <row r="4757" spans="1:8" x14ac:dyDescent="0.35">
      <c r="A4757" s="21"/>
      <c r="B4757" t="s">
        <v>28</v>
      </c>
      <c r="C4757" t="s">
        <v>6</v>
      </c>
      <c r="D4757" t="s">
        <v>2331</v>
      </c>
      <c r="F4757" s="1">
        <v>45811</v>
      </c>
      <c r="G4757" t="str">
        <f>IF(Table3[[#This Row],[Top Parent Account]]="",Table3[[#This Row],[Account Legal Name]],Table3[[#This Row],[Top Parent Account]])</f>
        <v>CORELA</v>
      </c>
      <c r="H4757" s="1"/>
    </row>
    <row r="4758" spans="1:8" x14ac:dyDescent="0.35">
      <c r="A4758" s="21"/>
      <c r="B4758" t="s">
        <v>26</v>
      </c>
      <c r="C4758" t="s">
        <v>6</v>
      </c>
      <c r="D4758" t="s">
        <v>2332</v>
      </c>
      <c r="F4758" s="1">
        <v>45811</v>
      </c>
      <c r="G4758" t="str">
        <f>IF(Table3[[#This Row],[Top Parent Account]]="",Table3[[#This Row],[Account Legal Name]],Table3[[#This Row],[Top Parent Account]])</f>
        <v>Seglo Mexicana</v>
      </c>
      <c r="H4758" s="1"/>
    </row>
    <row r="4759" spans="1:8" x14ac:dyDescent="0.35">
      <c r="A4759" s="21"/>
      <c r="B4759" t="s">
        <v>1511</v>
      </c>
      <c r="C4759" t="s">
        <v>22</v>
      </c>
      <c r="D4759" t="s">
        <v>2121</v>
      </c>
      <c r="F4759" s="1">
        <v>45811</v>
      </c>
      <c r="G4759" t="str">
        <f>IF(Table3[[#This Row],[Top Parent Account]]="",Table3[[#This Row],[Account Legal Name]],Table3[[#This Row],[Top Parent Account]])</f>
        <v>Grupo Inmobiliario Arrendador</v>
      </c>
      <c r="H4759" s="1"/>
    </row>
    <row r="4760" spans="1:8" x14ac:dyDescent="0.35">
      <c r="A4760" s="21"/>
      <c r="B4760" t="s">
        <v>30</v>
      </c>
      <c r="C4760" t="s">
        <v>6</v>
      </c>
      <c r="D4760" t="s">
        <v>412</v>
      </c>
      <c r="E4760" t="s">
        <v>35</v>
      </c>
      <c r="F4760" s="1">
        <v>45811</v>
      </c>
      <c r="G4760" t="str">
        <f>IF(Table3[[#This Row],[Top Parent Account]]="",Table3[[#This Row],[Account Legal Name]],Table3[[#This Row],[Top Parent Account]])</f>
        <v>Bayer de México</v>
      </c>
      <c r="H4760" s="1"/>
    </row>
    <row r="4761" spans="1:8" x14ac:dyDescent="0.35">
      <c r="A4761" s="21"/>
      <c r="B4761" t="s">
        <v>172</v>
      </c>
      <c r="C4761" t="s">
        <v>6</v>
      </c>
      <c r="D4761" t="s">
        <v>2375</v>
      </c>
      <c r="F4761" s="1">
        <v>45811</v>
      </c>
      <c r="G4761" t="str">
        <f>IF(Table3[[#This Row],[Top Parent Account]]="",Table3[[#This Row],[Account Legal Name]],Table3[[#This Row],[Top Parent Account]])</f>
        <v>Montaña ATP de México</v>
      </c>
      <c r="H4761" s="1"/>
    </row>
    <row r="4762" spans="1:8" x14ac:dyDescent="0.35">
      <c r="A4762" s="21"/>
      <c r="B4762" t="s">
        <v>969</v>
      </c>
      <c r="C4762" t="s">
        <v>6</v>
      </c>
      <c r="D4762" t="s">
        <v>2333</v>
      </c>
      <c r="F4762" s="1">
        <v>45811</v>
      </c>
      <c r="G4762" t="str">
        <f>IF(Table3[[#This Row],[Top Parent Account]]="",Table3[[#This Row],[Account Legal Name]],Table3[[#This Row],[Top Parent Account]])</f>
        <v>Flexotecnia</v>
      </c>
      <c r="H4762" s="1"/>
    </row>
    <row r="4763" spans="1:8" x14ac:dyDescent="0.35">
      <c r="A4763" s="21"/>
      <c r="B4763" t="s">
        <v>14</v>
      </c>
      <c r="C4763" t="s">
        <v>6</v>
      </c>
      <c r="D4763" t="s">
        <v>2005</v>
      </c>
      <c r="F4763" s="1">
        <v>45811</v>
      </c>
      <c r="G4763" t="str">
        <f>IF(Table3[[#This Row],[Top Parent Account]]="",Table3[[#This Row],[Account Legal Name]],Table3[[#This Row],[Top Parent Account]])</f>
        <v>INDUSTRIAS PLASTICAS TARKUS</v>
      </c>
      <c r="H4763" s="1"/>
    </row>
    <row r="4764" spans="1:8" x14ac:dyDescent="0.35">
      <c r="A4764" s="21"/>
      <c r="B4764" t="s">
        <v>1006</v>
      </c>
      <c r="C4764" t="s">
        <v>6</v>
      </c>
      <c r="D4764" t="s">
        <v>2334</v>
      </c>
      <c r="F4764" s="1">
        <v>45811</v>
      </c>
      <c r="G4764" t="str">
        <f>IF(Table3[[#This Row],[Top Parent Account]]="",Table3[[#This Row],[Account Legal Name]],Table3[[#This Row],[Top Parent Account]])</f>
        <v>Ejecución de Proyectos Industriales</v>
      </c>
      <c r="H4764" s="1"/>
    </row>
    <row r="4765" spans="1:8" x14ac:dyDescent="0.35">
      <c r="A4765" s="21"/>
      <c r="B4765" t="s">
        <v>116</v>
      </c>
      <c r="C4765" t="s">
        <v>6</v>
      </c>
      <c r="D4765" t="s">
        <v>2335</v>
      </c>
      <c r="F4765" s="1">
        <v>45811</v>
      </c>
      <c r="G4765" t="str">
        <f>IF(Table3[[#This Row],[Top Parent Account]]="",Table3[[#This Row],[Account Legal Name]],Table3[[#This Row],[Top Parent Account]])</f>
        <v>The Gund Company</v>
      </c>
      <c r="H4765" s="1"/>
    </row>
    <row r="4766" spans="1:8" x14ac:dyDescent="0.35">
      <c r="A4766" s="21"/>
      <c r="B4766" t="s">
        <v>172</v>
      </c>
      <c r="C4766" t="s">
        <v>6</v>
      </c>
      <c r="D4766" t="s">
        <v>2376</v>
      </c>
      <c r="F4766" s="1">
        <v>45811</v>
      </c>
      <c r="G4766" t="str">
        <f>IF(Table3[[#This Row],[Top Parent Account]]="",Table3[[#This Row],[Account Legal Name]],Table3[[#This Row],[Top Parent Account]])</f>
        <v>Agroquimicos Versa</v>
      </c>
      <c r="H4766" s="1"/>
    </row>
    <row r="4767" spans="1:8" x14ac:dyDescent="0.35">
      <c r="A4767" s="21"/>
      <c r="B4767" t="s">
        <v>1006</v>
      </c>
      <c r="C4767" t="s">
        <v>6</v>
      </c>
      <c r="D4767" t="s">
        <v>2336</v>
      </c>
      <c r="E4767" t="s">
        <v>2141</v>
      </c>
      <c r="F4767" s="1">
        <v>45811</v>
      </c>
      <c r="G4767" t="str">
        <f>IF(Table3[[#This Row],[Top Parent Account]]="",Table3[[#This Row],[Account Legal Name]],Table3[[#This Row],[Top Parent Account]])</f>
        <v>Refacciones y Servicio Automotriz Denisse</v>
      </c>
      <c r="H4767" s="1"/>
    </row>
    <row r="4768" spans="1:8" x14ac:dyDescent="0.35">
      <c r="A4768" s="21"/>
      <c r="B4768" t="s">
        <v>208</v>
      </c>
      <c r="C4768" t="s">
        <v>6</v>
      </c>
      <c r="D4768" t="s">
        <v>2337</v>
      </c>
      <c r="E4768" t="s">
        <v>272</v>
      </c>
      <c r="F4768" s="1">
        <v>45811</v>
      </c>
      <c r="G4768" t="str">
        <f>IF(Table3[[#This Row],[Top Parent Account]]="",Table3[[#This Row],[Account Legal Name]],Table3[[#This Row],[Top Parent Account]])</f>
        <v>Quimica Rosmar</v>
      </c>
      <c r="H4768" s="1"/>
    </row>
    <row r="4769" spans="1:8" x14ac:dyDescent="0.35">
      <c r="A4769" s="21"/>
      <c r="B4769" t="s">
        <v>739</v>
      </c>
      <c r="C4769" t="s">
        <v>6</v>
      </c>
      <c r="D4769" t="s">
        <v>1889</v>
      </c>
      <c r="F4769" s="1">
        <v>45811</v>
      </c>
      <c r="G4769" t="str">
        <f>IF(Table3[[#This Row],[Top Parent Account]]="",Table3[[#This Row],[Account Legal Name]],Table3[[#This Row],[Top Parent Account]])</f>
        <v>OPERADORA MARRIOTT</v>
      </c>
      <c r="H4769" s="1"/>
    </row>
    <row r="4770" spans="1:8" x14ac:dyDescent="0.35">
      <c r="A4770" s="21"/>
      <c r="B4770" t="s">
        <v>989</v>
      </c>
      <c r="C4770" t="s">
        <v>6</v>
      </c>
      <c r="D4770" t="s">
        <v>2338</v>
      </c>
      <c r="F4770" s="1">
        <v>45811</v>
      </c>
      <c r="G4770" t="str">
        <f>IF(Table3[[#This Row],[Top Parent Account]]="",Table3[[#This Row],[Account Legal Name]],Table3[[#This Row],[Top Parent Account]])</f>
        <v>Bombas Verticales Bnj</v>
      </c>
      <c r="H4770" s="1"/>
    </row>
    <row r="4771" spans="1:8" x14ac:dyDescent="0.35">
      <c r="A4771" s="21"/>
      <c r="B4771" t="s">
        <v>51</v>
      </c>
      <c r="C4771" t="s">
        <v>6</v>
      </c>
      <c r="D4771" t="s">
        <v>373</v>
      </c>
      <c r="F4771" s="1">
        <v>45811</v>
      </c>
      <c r="G4771" t="str">
        <f>IF(Table3[[#This Row],[Top Parent Account]]="",Table3[[#This Row],[Account Legal Name]],Table3[[#This Row],[Top Parent Account]])</f>
        <v>Construcción De Caminos y Proyectos Interestatales</v>
      </c>
      <c r="H4771" s="1"/>
    </row>
    <row r="4772" spans="1:8" x14ac:dyDescent="0.35">
      <c r="A4772" s="21"/>
      <c r="B4772" t="s">
        <v>70</v>
      </c>
      <c r="C4772" t="s">
        <v>22</v>
      </c>
      <c r="D4772" t="s">
        <v>460</v>
      </c>
      <c r="F4772" s="1">
        <v>45811</v>
      </c>
      <c r="G4772" t="str">
        <f>IF(Table3[[#This Row],[Top Parent Account]]="",Table3[[#This Row],[Account Legal Name]],Table3[[#This Row],[Top Parent Account]])</f>
        <v>PROTEINAS KOTT</v>
      </c>
      <c r="H4772" s="1"/>
    </row>
    <row r="4773" spans="1:8" x14ac:dyDescent="0.35">
      <c r="A4773" s="21"/>
      <c r="B4773" t="s">
        <v>21</v>
      </c>
      <c r="C4773" t="s">
        <v>6</v>
      </c>
      <c r="D4773" t="s">
        <v>2339</v>
      </c>
      <c r="F4773" s="1">
        <v>45811</v>
      </c>
      <c r="G4773" t="str">
        <f>IF(Table3[[#This Row],[Top Parent Account]]="",Table3[[#This Row],[Account Legal Name]],Table3[[#This Row],[Top Parent Account]])</f>
        <v>Transportes Especializados Olmen</v>
      </c>
      <c r="H4773" s="1"/>
    </row>
    <row r="4774" spans="1:8" x14ac:dyDescent="0.35">
      <c r="A4774" s="21"/>
      <c r="B4774" t="s">
        <v>10</v>
      </c>
      <c r="C4774" t="s">
        <v>6</v>
      </c>
      <c r="D4774" t="s">
        <v>450</v>
      </c>
      <c r="F4774" s="1">
        <v>45811</v>
      </c>
      <c r="G4774" t="str">
        <f>IF(Table3[[#This Row],[Top Parent Account]]="",Table3[[#This Row],[Account Legal Name]],Table3[[#This Row],[Top Parent Account]])</f>
        <v>Cloe Moda</v>
      </c>
      <c r="H4774" s="1"/>
    </row>
    <row r="4775" spans="1:8" x14ac:dyDescent="0.35">
      <c r="A4775" s="21"/>
      <c r="B4775" t="s">
        <v>10</v>
      </c>
      <c r="C4775" t="s">
        <v>6</v>
      </c>
      <c r="D4775" t="s">
        <v>296</v>
      </c>
      <c r="F4775" s="1">
        <v>45811</v>
      </c>
      <c r="G4775" t="str">
        <f>IF(Table3[[#This Row],[Top Parent Account]]="",Table3[[#This Row],[Account Legal Name]],Table3[[#This Row],[Top Parent Account]])</f>
        <v>Express Mg</v>
      </c>
      <c r="H4775" s="1"/>
    </row>
    <row r="4776" spans="1:8" x14ac:dyDescent="0.35">
      <c r="A4776" s="21"/>
      <c r="B4776" t="s">
        <v>589</v>
      </c>
      <c r="C4776" t="s">
        <v>6</v>
      </c>
      <c r="D4776" t="s">
        <v>2340</v>
      </c>
      <c r="F4776" s="1">
        <v>45811</v>
      </c>
      <c r="G4776" t="str">
        <f>IF(Table3[[#This Row],[Top Parent Account]]="",Table3[[#This Row],[Account Legal Name]],Table3[[#This Row],[Top Parent Account]])</f>
        <v>Powerstein Paneles Solares</v>
      </c>
      <c r="H4776" s="1"/>
    </row>
    <row r="4777" spans="1:8" x14ac:dyDescent="0.35">
      <c r="A4777" s="21"/>
      <c r="B4777" t="s">
        <v>32</v>
      </c>
      <c r="C4777" t="s">
        <v>6</v>
      </c>
      <c r="D4777" t="s">
        <v>2342</v>
      </c>
      <c r="F4777" s="1">
        <v>45811</v>
      </c>
      <c r="G4777" t="str">
        <f>IF(Table3[[#This Row],[Top Parent Account]]="",Table3[[#This Row],[Account Legal Name]],Table3[[#This Row],[Top Parent Account]])</f>
        <v>GRUPO APE</v>
      </c>
      <c r="H4777" s="1"/>
    </row>
    <row r="4778" spans="1:8" x14ac:dyDescent="0.35">
      <c r="A4778" s="21"/>
      <c r="B4778" t="s">
        <v>14</v>
      </c>
      <c r="C4778" t="s">
        <v>6</v>
      </c>
      <c r="D4778" t="s">
        <v>2341</v>
      </c>
      <c r="F4778" s="1">
        <v>45811</v>
      </c>
      <c r="G4778" t="str">
        <f>IF(Table3[[#This Row],[Top Parent Account]]="",Table3[[#This Row],[Account Legal Name]],Table3[[#This Row],[Top Parent Account]])</f>
        <v>Die Cut Solutions</v>
      </c>
      <c r="H4778" s="1"/>
    </row>
    <row r="4779" spans="1:8" x14ac:dyDescent="0.35">
      <c r="A4779" s="21"/>
      <c r="B4779" t="s">
        <v>1899</v>
      </c>
      <c r="C4779" t="s">
        <v>6</v>
      </c>
      <c r="D4779" t="s">
        <v>2343</v>
      </c>
      <c r="F4779" s="1">
        <v>45811</v>
      </c>
      <c r="G4779" t="str">
        <f>IF(Table3[[#This Row],[Top Parent Account]]="",Table3[[#This Row],[Account Legal Name]],Table3[[#This Row],[Top Parent Account]])</f>
        <v>Servicios Alimenticios Elma</v>
      </c>
      <c r="H4779" s="1"/>
    </row>
    <row r="4780" spans="1:8" x14ac:dyDescent="0.35">
      <c r="A4780" s="21"/>
      <c r="B4780" t="s">
        <v>896</v>
      </c>
      <c r="C4780" t="s">
        <v>6</v>
      </c>
      <c r="D4780" t="s">
        <v>2344</v>
      </c>
      <c r="F4780" s="1">
        <v>45811</v>
      </c>
      <c r="G4780" t="str">
        <f>IF(Table3[[#This Row],[Top Parent Account]]="",Table3[[#This Row],[Account Legal Name]],Table3[[#This Row],[Top Parent Account]])</f>
        <v>Comercial Ferbera</v>
      </c>
      <c r="H4780" s="1"/>
    </row>
    <row r="4781" spans="1:8" x14ac:dyDescent="0.35">
      <c r="A4781" s="21"/>
      <c r="B4781" t="s">
        <v>2345</v>
      </c>
      <c r="C4781" t="s">
        <v>6</v>
      </c>
      <c r="D4781" t="s">
        <v>2346</v>
      </c>
      <c r="F4781" s="1">
        <v>45811</v>
      </c>
      <c r="G4781" t="str">
        <f>IF(Table3[[#This Row],[Top Parent Account]]="",Table3[[#This Row],[Account Legal Name]],Table3[[#This Row],[Top Parent Account]])</f>
        <v>Derecho y Naturaleza</v>
      </c>
      <c r="H4781" s="1"/>
    </row>
    <row r="4782" spans="1:8" x14ac:dyDescent="0.35">
      <c r="A4782" s="21"/>
      <c r="B4782" t="s">
        <v>11</v>
      </c>
      <c r="C4782" t="s">
        <v>6</v>
      </c>
      <c r="D4782" t="s">
        <v>2347</v>
      </c>
      <c r="F4782" s="1">
        <v>45811</v>
      </c>
      <c r="G4782" t="str">
        <f>IF(Table3[[#This Row],[Top Parent Account]]="",Table3[[#This Row],[Account Legal Name]],Table3[[#This Row],[Top Parent Account]])</f>
        <v>Co2 Liquid</v>
      </c>
      <c r="H4782" s="1"/>
    </row>
    <row r="4783" spans="1:8" x14ac:dyDescent="0.35">
      <c r="A4783" s="21"/>
      <c r="B4783" t="s">
        <v>12</v>
      </c>
      <c r="C4783" t="s">
        <v>6</v>
      </c>
      <c r="D4783" t="s">
        <v>855</v>
      </c>
      <c r="F4783" s="1">
        <v>45811</v>
      </c>
      <c r="G4783" t="str">
        <f>IF(Table3[[#This Row],[Top Parent Account]]="",Table3[[#This Row],[Account Legal Name]],Table3[[#This Row],[Top Parent Account]])</f>
        <v>Sumacasa</v>
      </c>
      <c r="H4783" s="1"/>
    </row>
    <row r="4784" spans="1:8" x14ac:dyDescent="0.35">
      <c r="A4784" s="21"/>
      <c r="B4784" t="s">
        <v>169</v>
      </c>
      <c r="C4784" t="s">
        <v>6</v>
      </c>
      <c r="D4784" t="s">
        <v>986</v>
      </c>
      <c r="E4784" t="s">
        <v>352</v>
      </c>
      <c r="F4784" s="1">
        <v>45811</v>
      </c>
      <c r="G4784" t="str">
        <f>IF(Table3[[#This Row],[Top Parent Account]]="",Table3[[#This Row],[Account Legal Name]],Table3[[#This Row],[Top Parent Account]])</f>
        <v>EDUARDO CORTES AYALA</v>
      </c>
      <c r="H4784" s="1"/>
    </row>
    <row r="4785" spans="1:8" x14ac:dyDescent="0.35">
      <c r="A4785" s="21"/>
      <c r="B4785" t="s">
        <v>39</v>
      </c>
      <c r="C4785" t="s">
        <v>2348</v>
      </c>
      <c r="D4785" t="s">
        <v>2349</v>
      </c>
      <c r="F4785" s="1">
        <v>45811</v>
      </c>
      <c r="G4785" t="str">
        <f>IF(Table3[[#This Row],[Top Parent Account]]="",Table3[[#This Row],[Account Legal Name]],Table3[[#This Row],[Top Parent Account]])</f>
        <v>QM Comercializadora</v>
      </c>
      <c r="H4785" s="1"/>
    </row>
    <row r="4786" spans="1:8" x14ac:dyDescent="0.35">
      <c r="A4786" s="21"/>
      <c r="B4786" t="s">
        <v>77</v>
      </c>
      <c r="C4786" t="s">
        <v>6</v>
      </c>
      <c r="D4786" t="s">
        <v>2426</v>
      </c>
      <c r="F4786" s="1">
        <v>45811</v>
      </c>
      <c r="G4786" t="str">
        <f>IF(Table3[[#This Row],[Top Parent Account]]="",Table3[[#This Row],[Account Legal Name]],Table3[[#This Row],[Top Parent Account]])</f>
        <v>JESUS JOSE SAENZ GABALDON</v>
      </c>
      <c r="H4786" s="1"/>
    </row>
    <row r="4787" spans="1:8" x14ac:dyDescent="0.35">
      <c r="A4787" s="21"/>
      <c r="B4787" t="s">
        <v>7</v>
      </c>
      <c r="C4787" t="s">
        <v>6</v>
      </c>
      <c r="D4787" t="s">
        <v>2350</v>
      </c>
      <c r="F4787" s="1">
        <v>45810</v>
      </c>
      <c r="G4787" t="str">
        <f>IF(Table3[[#This Row],[Top Parent Account]]="",Table3[[#This Row],[Account Legal Name]],Table3[[#This Row],[Top Parent Account]])</f>
        <v>COLTREGO</v>
      </c>
      <c r="H4787" s="1"/>
    </row>
    <row r="4788" spans="1:8" x14ac:dyDescent="0.35">
      <c r="A4788" s="21"/>
      <c r="B4788" t="s">
        <v>70</v>
      </c>
      <c r="C4788" t="s">
        <v>6</v>
      </c>
      <c r="D4788" t="s">
        <v>568</v>
      </c>
      <c r="F4788" s="1">
        <v>45810</v>
      </c>
      <c r="G4788" t="str">
        <f>IF(Table3[[#This Row],[Top Parent Account]]="",Table3[[#This Row],[Account Legal Name]],Table3[[#This Row],[Top Parent Account]])</f>
        <v>COI Centro Oncológico Internacional</v>
      </c>
      <c r="H4788" s="1"/>
    </row>
    <row r="4789" spans="1:8" x14ac:dyDescent="0.35">
      <c r="A4789" s="21"/>
      <c r="B4789" t="s">
        <v>10</v>
      </c>
      <c r="C4789" t="s">
        <v>6</v>
      </c>
      <c r="D4789" t="s">
        <v>239</v>
      </c>
      <c r="F4789" s="1">
        <v>45810</v>
      </c>
      <c r="G4789" t="str">
        <f>IF(Table3[[#This Row],[Top Parent Account]]="",Table3[[#This Row],[Account Legal Name]],Table3[[#This Row],[Top Parent Account]])</f>
        <v>High Pack</v>
      </c>
      <c r="H4789" s="1"/>
    </row>
    <row r="4790" spans="1:8" x14ac:dyDescent="0.35">
      <c r="A4790" s="21"/>
      <c r="B4790" t="s">
        <v>56</v>
      </c>
      <c r="C4790" t="s">
        <v>6</v>
      </c>
      <c r="D4790" t="s">
        <v>2427</v>
      </c>
      <c r="F4790" s="1">
        <v>45810</v>
      </c>
      <c r="G4790" t="str">
        <f>IF(Table3[[#This Row],[Top Parent Account]]="",Table3[[#This Row],[Account Legal Name]],Table3[[#This Row],[Top Parent Account]])</f>
        <v>Comercializadora De Frecuencias Satelitales</v>
      </c>
      <c r="H4790" s="1"/>
    </row>
    <row r="4791" spans="1:8" x14ac:dyDescent="0.35">
      <c r="A4791" s="21"/>
      <c r="B4791" t="s">
        <v>989</v>
      </c>
      <c r="C4791" t="s">
        <v>6</v>
      </c>
      <c r="D4791" t="s">
        <v>2351</v>
      </c>
      <c r="F4791" s="1">
        <v>45810</v>
      </c>
      <c r="G4791" t="str">
        <f>IF(Table3[[#This Row],[Top Parent Account]]="",Table3[[#This Row],[Account Legal Name]],Table3[[#This Row],[Top Parent Account]])</f>
        <v>Tubos y Depresibles Mexicanos</v>
      </c>
      <c r="H4791" s="1"/>
    </row>
    <row r="4792" spans="1:8" x14ac:dyDescent="0.35">
      <c r="A4792" s="21"/>
      <c r="B4792" t="s">
        <v>14</v>
      </c>
      <c r="C4792" t="s">
        <v>6</v>
      </c>
      <c r="D4792" t="s">
        <v>728</v>
      </c>
      <c r="F4792" s="1">
        <v>45810</v>
      </c>
      <c r="G4792" t="str">
        <f>IF(Table3[[#This Row],[Top Parent Account]]="",Table3[[#This Row],[Account Legal Name]],Table3[[#This Row],[Top Parent Account]])</f>
        <v>Keymax Comercializadora</v>
      </c>
      <c r="H4792" s="1"/>
    </row>
    <row r="4793" spans="1:8" x14ac:dyDescent="0.35">
      <c r="A4793" s="21"/>
      <c r="B4793" t="s">
        <v>969</v>
      </c>
      <c r="C4793" t="s">
        <v>6</v>
      </c>
      <c r="D4793" t="s">
        <v>320</v>
      </c>
      <c r="F4793" s="1">
        <v>45810</v>
      </c>
      <c r="G4793" t="str">
        <f>IF(Table3[[#This Row],[Top Parent Account]]="",Table3[[#This Row],[Account Legal Name]],Table3[[#This Row],[Top Parent Account]])</f>
        <v>ALI &amp; PROPEC</v>
      </c>
      <c r="H4793" s="1"/>
    </row>
    <row r="4794" spans="1:8" x14ac:dyDescent="0.35">
      <c r="A4794" s="21"/>
      <c r="B4794" t="s">
        <v>88</v>
      </c>
      <c r="C4794" t="s">
        <v>22</v>
      </c>
      <c r="D4794" t="s">
        <v>2352</v>
      </c>
      <c r="F4794" s="1">
        <v>45810</v>
      </c>
      <c r="G4794" t="str">
        <f>IF(Table3[[#This Row],[Top Parent Account]]="",Table3[[#This Row],[Account Legal Name]],Table3[[#This Row],[Top Parent Account]])</f>
        <v>TVT LOGISTIC AND TRANSPORT</v>
      </c>
      <c r="H4794" s="1"/>
    </row>
    <row r="4795" spans="1:8" x14ac:dyDescent="0.35">
      <c r="A4795" s="21"/>
      <c r="B4795" t="s">
        <v>820</v>
      </c>
      <c r="C4795" t="s">
        <v>6</v>
      </c>
      <c r="D4795" t="s">
        <v>2353</v>
      </c>
      <c r="E4795" t="s">
        <v>2354</v>
      </c>
      <c r="F4795" s="1">
        <v>45810</v>
      </c>
      <c r="G4795" t="str">
        <f>IF(Table3[[#This Row],[Top Parent Account]]="",Table3[[#This Row],[Account Legal Name]],Table3[[#This Row],[Top Parent Account]])</f>
        <v>Com foundry</v>
      </c>
      <c r="H4795" s="1"/>
    </row>
    <row r="4796" spans="1:8" x14ac:dyDescent="0.35">
      <c r="A4796" s="21"/>
      <c r="B4796" t="s">
        <v>665</v>
      </c>
      <c r="C4796" t="s">
        <v>6</v>
      </c>
      <c r="D4796" t="s">
        <v>1163</v>
      </c>
      <c r="F4796" s="1">
        <v>45810</v>
      </c>
      <c r="G4796" t="str">
        <f>IF(Table3[[#This Row],[Top Parent Account]]="",Table3[[#This Row],[Account Legal Name]],Table3[[#This Row],[Top Parent Account]])</f>
        <v>Quimica Sagal</v>
      </c>
      <c r="H4796" s="1"/>
    </row>
    <row r="4797" spans="1:8" x14ac:dyDescent="0.35">
      <c r="A4797" s="21"/>
      <c r="B4797" t="s">
        <v>1006</v>
      </c>
      <c r="C4797" t="s">
        <v>6</v>
      </c>
      <c r="D4797" t="s">
        <v>2355</v>
      </c>
      <c r="F4797" s="1">
        <v>45810</v>
      </c>
      <c r="G4797" t="str">
        <f>IF(Table3[[#This Row],[Top Parent Account]]="",Table3[[#This Row],[Account Legal Name]],Table3[[#This Row],[Top Parent Account]])</f>
        <v>Maquinox Comercial</v>
      </c>
      <c r="H4797" s="1"/>
    </row>
    <row r="4798" spans="1:8" x14ac:dyDescent="0.35">
      <c r="A4798" s="21"/>
      <c r="B4798" t="s">
        <v>121</v>
      </c>
      <c r="C4798" t="s">
        <v>6</v>
      </c>
      <c r="D4798" t="s">
        <v>2356</v>
      </c>
      <c r="F4798" s="1">
        <v>45810</v>
      </c>
      <c r="G4798" t="str">
        <f>IF(Table3[[#This Row],[Top Parent Account]]="",Table3[[#This Row],[Account Legal Name]],Table3[[#This Row],[Top Parent Account]])</f>
        <v>Industrias Sandarey</v>
      </c>
      <c r="H4798" s="1"/>
    </row>
    <row r="4799" spans="1:8" x14ac:dyDescent="0.35">
      <c r="A4799" s="21"/>
      <c r="B4799" t="s">
        <v>37</v>
      </c>
      <c r="C4799" t="s">
        <v>6</v>
      </c>
      <c r="D4799" t="s">
        <v>1090</v>
      </c>
      <c r="F4799" s="1">
        <v>45810</v>
      </c>
      <c r="G4799" t="str">
        <f>IF(Table3[[#This Row],[Top Parent Account]]="",Table3[[#This Row],[Account Legal Name]],Table3[[#This Row],[Top Parent Account]])</f>
        <v>Aselec Electricidad</v>
      </c>
      <c r="H4799" s="1"/>
    </row>
    <row r="4800" spans="1:8" x14ac:dyDescent="0.35">
      <c r="A4800" s="21"/>
      <c r="B4800" t="s">
        <v>77</v>
      </c>
      <c r="C4800" t="s">
        <v>6</v>
      </c>
      <c r="D4800" t="s">
        <v>2357</v>
      </c>
      <c r="F4800" s="1">
        <v>45810</v>
      </c>
      <c r="G4800" t="str">
        <f>IF(Table3[[#This Row],[Top Parent Account]]="",Table3[[#This Row],[Account Legal Name]],Table3[[#This Row],[Top Parent Account]])</f>
        <v>productos de limpieza Alondra</v>
      </c>
      <c r="H4800" s="1"/>
    </row>
    <row r="4801" spans="1:8" x14ac:dyDescent="0.35">
      <c r="A4801" s="21"/>
      <c r="B4801" t="s">
        <v>10</v>
      </c>
      <c r="C4801" t="s">
        <v>6</v>
      </c>
      <c r="D4801" t="s">
        <v>353</v>
      </c>
      <c r="F4801" s="1">
        <v>45810</v>
      </c>
      <c r="G4801" t="str">
        <f>IF(Table3[[#This Row],[Top Parent Account]]="",Table3[[#This Row],[Account Legal Name]],Table3[[#This Row],[Top Parent Account]])</f>
        <v>Alimentación Empresarial Mayán</v>
      </c>
      <c r="H4801" s="1"/>
    </row>
    <row r="4802" spans="1:8" x14ac:dyDescent="0.35">
      <c r="A4802" s="21"/>
      <c r="B4802" t="s">
        <v>23</v>
      </c>
      <c r="C4802" t="s">
        <v>6</v>
      </c>
      <c r="D4802" t="s">
        <v>983</v>
      </c>
      <c r="F4802" s="1">
        <v>45810</v>
      </c>
      <c r="G4802" t="str">
        <f>IF(Table3[[#This Row],[Top Parent Account]]="",Table3[[#This Row],[Account Legal Name]],Table3[[#This Row],[Top Parent Account]])</f>
        <v>PROCESADORA DE CARBONATO DE CALCIO</v>
      </c>
      <c r="H4802" s="1"/>
    </row>
    <row r="4803" spans="1:8" x14ac:dyDescent="0.35">
      <c r="A4803" s="21"/>
      <c r="B4803" t="s">
        <v>932</v>
      </c>
      <c r="C4803" t="s">
        <v>1693</v>
      </c>
      <c r="D4803" t="s">
        <v>2358</v>
      </c>
      <c r="F4803" s="1">
        <v>45810</v>
      </c>
      <c r="G4803" t="str">
        <f>IF(Table3[[#This Row],[Top Parent Account]]="",Table3[[#This Row],[Account Legal Name]],Table3[[#This Row],[Top Parent Account]])</f>
        <v>Juama</v>
      </c>
      <c r="H4803" s="1"/>
    </row>
    <row r="4804" spans="1:8" x14ac:dyDescent="0.35">
      <c r="A4804" s="21"/>
      <c r="B4804" t="s">
        <v>56</v>
      </c>
      <c r="C4804" t="s">
        <v>6</v>
      </c>
      <c r="D4804" t="s">
        <v>452</v>
      </c>
      <c r="F4804" s="1">
        <v>45810</v>
      </c>
      <c r="G4804" t="str">
        <f>IF(Table3[[#This Row],[Top Parent Account]]="",Table3[[#This Row],[Account Legal Name]],Table3[[#This Row],[Top Parent Account]])</f>
        <v>Tiendas Tres B</v>
      </c>
      <c r="H4804" s="1"/>
    </row>
    <row r="4805" spans="1:8" x14ac:dyDescent="0.35">
      <c r="A4805" s="21"/>
      <c r="B4805" t="s">
        <v>38</v>
      </c>
      <c r="C4805" t="s">
        <v>6</v>
      </c>
      <c r="D4805" t="s">
        <v>2359</v>
      </c>
      <c r="F4805" s="1">
        <v>45809</v>
      </c>
      <c r="G4805" t="str">
        <f>IF(Table3[[#This Row],[Top Parent Account]]="",Table3[[#This Row],[Account Legal Name]],Table3[[#This Row],[Top Parent Account]])</f>
        <v>Gramosa Agroalimentos</v>
      </c>
      <c r="H4805" s="1"/>
    </row>
    <row r="4806" spans="1:8" x14ac:dyDescent="0.35">
      <c r="A4806" s="21"/>
      <c r="B4806" t="s">
        <v>1511</v>
      </c>
      <c r="C4806" t="s">
        <v>22</v>
      </c>
      <c r="D4806" t="s">
        <v>2194</v>
      </c>
      <c r="F4806" s="1">
        <v>45807</v>
      </c>
      <c r="G4806" t="str">
        <f>IF(Table3[[#This Row],[Top Parent Account]]="",Table3[[#This Row],[Account Legal Name]],Table3[[#This Row],[Top Parent Account]])</f>
        <v>Forestal La Reforma</v>
      </c>
      <c r="H4806" s="1"/>
    </row>
    <row r="4807" spans="1:8" x14ac:dyDescent="0.35">
      <c r="A4807" s="21"/>
      <c r="B4807" t="s">
        <v>24</v>
      </c>
      <c r="C4807" t="s">
        <v>6</v>
      </c>
      <c r="D4807" t="s">
        <v>2269</v>
      </c>
      <c r="F4807" s="1">
        <v>45807</v>
      </c>
      <c r="G4807" t="str">
        <f>IF(Table3[[#This Row],[Top Parent Account]]="",Table3[[#This Row],[Account Legal Name]],Table3[[#This Row],[Top Parent Account]])</f>
        <v>Mayan Resorts</v>
      </c>
      <c r="H4807" s="1"/>
    </row>
    <row r="4808" spans="1:8" x14ac:dyDescent="0.35">
      <c r="A4808" s="21"/>
      <c r="B4808" t="s">
        <v>29</v>
      </c>
      <c r="C4808" t="s">
        <v>6</v>
      </c>
      <c r="D4808" t="s">
        <v>1013</v>
      </c>
      <c r="F4808" s="1">
        <v>45807</v>
      </c>
      <c r="G4808" t="str">
        <f>IF(Table3[[#This Row],[Top Parent Account]]="",Table3[[#This Row],[Account Legal Name]],Table3[[#This Row],[Top Parent Account]])</f>
        <v>Laminados Extruidos Plásticos</v>
      </c>
      <c r="H4808" s="1"/>
    </row>
    <row r="4809" spans="1:8" x14ac:dyDescent="0.35">
      <c r="A4809" s="21"/>
      <c r="B4809" t="s">
        <v>989</v>
      </c>
      <c r="C4809" t="s">
        <v>6</v>
      </c>
      <c r="D4809" t="s">
        <v>1847</v>
      </c>
      <c r="F4809" s="1">
        <v>45807</v>
      </c>
      <c r="G4809" t="str">
        <f>IF(Table3[[#This Row],[Top Parent Account]]="",Table3[[#This Row],[Account Legal Name]],Table3[[#This Row],[Top Parent Account]])</f>
        <v>China Depot</v>
      </c>
      <c r="H4809" s="1"/>
    </row>
    <row r="4810" spans="1:8" x14ac:dyDescent="0.35">
      <c r="A4810" s="21"/>
      <c r="B4810" t="s">
        <v>121</v>
      </c>
      <c r="C4810" t="s">
        <v>6</v>
      </c>
      <c r="D4810" t="s">
        <v>2287</v>
      </c>
      <c r="F4810" s="1">
        <v>45807</v>
      </c>
      <c r="G4810" t="str">
        <f>IF(Table3[[#This Row],[Top Parent Account]]="",Table3[[#This Row],[Account Legal Name]],Table3[[#This Row],[Top Parent Account]])</f>
        <v>Industrias Geoeko</v>
      </c>
      <c r="H4810" s="1"/>
    </row>
    <row r="4811" spans="1:8" x14ac:dyDescent="0.35">
      <c r="A4811" s="21"/>
      <c r="B4811" t="s">
        <v>1511</v>
      </c>
      <c r="C4811" t="s">
        <v>22</v>
      </c>
      <c r="D4811" t="s">
        <v>1681</v>
      </c>
      <c r="F4811" s="1">
        <v>45807</v>
      </c>
      <c r="G4811" t="str">
        <f>IF(Table3[[#This Row],[Top Parent Account]]="",Table3[[#This Row],[Account Legal Name]],Table3[[#This Row],[Top Parent Account]])</f>
        <v>K-FLEX DE MEXICO</v>
      </c>
      <c r="H4811" s="1"/>
    </row>
    <row r="4812" spans="1:8" x14ac:dyDescent="0.35">
      <c r="A4812" s="21"/>
      <c r="B4812" t="s">
        <v>70</v>
      </c>
      <c r="C4812" t="s">
        <v>6</v>
      </c>
      <c r="D4812" t="s">
        <v>472</v>
      </c>
      <c r="F4812" s="1">
        <v>45807</v>
      </c>
      <c r="G4812" t="str">
        <f>IF(Table3[[#This Row],[Top Parent Account]]="",Table3[[#This Row],[Account Legal Name]],Table3[[#This Row],[Top Parent Account]])</f>
        <v>Carzor Group Hospital</v>
      </c>
      <c r="H4812" s="1"/>
    </row>
    <row r="4813" spans="1:8" x14ac:dyDescent="0.35">
      <c r="A4813" s="21"/>
      <c r="B4813" t="s">
        <v>28</v>
      </c>
      <c r="C4813" t="s">
        <v>6</v>
      </c>
      <c r="D4813" t="s">
        <v>2286</v>
      </c>
      <c r="F4813" s="1">
        <v>45807</v>
      </c>
      <c r="G4813" t="str">
        <f>IF(Table3[[#This Row],[Top Parent Account]]="",Table3[[#This Row],[Account Legal Name]],Table3[[#This Row],[Top Parent Account]])</f>
        <v>SERVICIOS INDUSTRIALES FAFACI</v>
      </c>
      <c r="H4813" s="1"/>
    </row>
    <row r="4814" spans="1:8" x14ac:dyDescent="0.35">
      <c r="A4814" s="21"/>
      <c r="B4814" t="s">
        <v>18</v>
      </c>
      <c r="C4814" t="s">
        <v>6</v>
      </c>
      <c r="D4814" t="s">
        <v>2272</v>
      </c>
      <c r="E4814" t="s">
        <v>2239</v>
      </c>
      <c r="F4814" s="1">
        <v>45807</v>
      </c>
      <c r="G4814" t="str">
        <f>IF(Table3[[#This Row],[Top Parent Account]]="",Table3[[#This Row],[Account Legal Name]],Table3[[#This Row],[Top Parent Account]])</f>
        <v>Multiceras</v>
      </c>
      <c r="H4814" s="1"/>
    </row>
    <row r="4815" spans="1:8" x14ac:dyDescent="0.35">
      <c r="A4815" s="21"/>
      <c r="B4815" t="s">
        <v>169</v>
      </c>
      <c r="C4815" t="s">
        <v>33</v>
      </c>
      <c r="D4815" t="s">
        <v>2270</v>
      </c>
      <c r="F4815" s="1">
        <v>45807</v>
      </c>
      <c r="G4815" t="str">
        <f>IF(Table3[[#This Row],[Top Parent Account]]="",Table3[[#This Row],[Account Legal Name]],Table3[[#This Row],[Top Parent Account]])</f>
        <v>Manzanilla La Pastora</v>
      </c>
      <c r="H4815" s="1"/>
    </row>
    <row r="4816" spans="1:8" x14ac:dyDescent="0.35">
      <c r="A4816" s="21"/>
      <c r="B4816" t="s">
        <v>589</v>
      </c>
      <c r="C4816" t="s">
        <v>6</v>
      </c>
      <c r="D4816" t="s">
        <v>2271</v>
      </c>
      <c r="F4816" s="1">
        <v>45807</v>
      </c>
      <c r="G4816" t="str">
        <f>IF(Table3[[#This Row],[Top Parent Account]]="",Table3[[#This Row],[Account Legal Name]],Table3[[#This Row],[Top Parent Account]])</f>
        <v>Transportes Davila</v>
      </c>
      <c r="H4816" s="1"/>
    </row>
    <row r="4817" spans="1:8" x14ac:dyDescent="0.35">
      <c r="A4817" s="21"/>
      <c r="B4817" t="s">
        <v>1511</v>
      </c>
      <c r="C4817" t="s">
        <v>33</v>
      </c>
      <c r="D4817" t="s">
        <v>2192</v>
      </c>
      <c r="F4817" s="1">
        <v>45807</v>
      </c>
      <c r="G4817" t="str">
        <f>IF(Table3[[#This Row],[Top Parent Account]]="",Table3[[#This Row],[Account Legal Name]],Table3[[#This Row],[Top Parent Account]])</f>
        <v>Sermec</v>
      </c>
      <c r="H4817" s="1"/>
    </row>
    <row r="4818" spans="1:8" x14ac:dyDescent="0.35">
      <c r="A4818" s="21"/>
      <c r="B4818" t="s">
        <v>121</v>
      </c>
      <c r="C4818" t="s">
        <v>6</v>
      </c>
      <c r="D4818" t="s">
        <v>2288</v>
      </c>
      <c r="F4818" s="1">
        <v>45807</v>
      </c>
      <c r="G4818" t="str">
        <f>IF(Table3[[#This Row],[Top Parent Account]]="",Table3[[#This Row],[Account Legal Name]],Table3[[#This Row],[Top Parent Account]])</f>
        <v>mekanisch</v>
      </c>
      <c r="H4818" s="1"/>
    </row>
    <row r="4819" spans="1:8" x14ac:dyDescent="0.35">
      <c r="A4819" s="21"/>
      <c r="B4819" t="s">
        <v>208</v>
      </c>
      <c r="C4819" t="s">
        <v>6</v>
      </c>
      <c r="D4819" t="s">
        <v>2273</v>
      </c>
      <c r="F4819" s="1">
        <v>45807</v>
      </c>
      <c r="G4819" t="str">
        <f>IF(Table3[[#This Row],[Top Parent Account]]="",Table3[[#This Row],[Account Legal Name]],Table3[[#This Row],[Top Parent Account]])</f>
        <v>Medidores Industriales y Médicos</v>
      </c>
      <c r="H4819" s="1"/>
    </row>
    <row r="4820" spans="1:8" x14ac:dyDescent="0.35">
      <c r="A4820" s="21"/>
      <c r="B4820" t="s">
        <v>60</v>
      </c>
      <c r="C4820" t="s">
        <v>6</v>
      </c>
      <c r="D4820" t="s">
        <v>309</v>
      </c>
      <c r="F4820" s="1">
        <v>45807</v>
      </c>
      <c r="G4820" t="str">
        <f>IF(Table3[[#This Row],[Top Parent Account]]="",Table3[[#This Row],[Account Legal Name]],Table3[[#This Row],[Top Parent Account]])</f>
        <v>Fletes Hesa</v>
      </c>
      <c r="H4820" s="1"/>
    </row>
    <row r="4821" spans="1:8" x14ac:dyDescent="0.35">
      <c r="A4821" s="21"/>
      <c r="B4821" t="s">
        <v>1643</v>
      </c>
      <c r="C4821" t="s">
        <v>6</v>
      </c>
      <c r="D4821" t="s">
        <v>698</v>
      </c>
      <c r="F4821" s="1">
        <v>45807</v>
      </c>
      <c r="G4821" t="str">
        <f>IF(Table3[[#This Row],[Top Parent Account]]="",Table3[[#This Row],[Account Legal Name]],Table3[[#This Row],[Top Parent Account]])</f>
        <v>Grupo Industrial L.M.</v>
      </c>
      <c r="H4821" s="1"/>
    </row>
    <row r="4822" spans="1:8" x14ac:dyDescent="0.35">
      <c r="A4822" s="21"/>
      <c r="B4822" t="s">
        <v>172</v>
      </c>
      <c r="C4822" t="s">
        <v>6</v>
      </c>
      <c r="D4822" t="s">
        <v>1072</v>
      </c>
      <c r="F4822" s="1">
        <v>45807</v>
      </c>
      <c r="G4822" t="str">
        <f>IF(Table3[[#This Row],[Top Parent Account]]="",Table3[[#This Row],[Account Legal Name]],Table3[[#This Row],[Top Parent Account]])</f>
        <v>INMOBILIARIA THH</v>
      </c>
      <c r="H4822" s="1"/>
    </row>
    <row r="4823" spans="1:8" x14ac:dyDescent="0.35">
      <c r="A4823" s="21"/>
      <c r="B4823" t="s">
        <v>207</v>
      </c>
      <c r="C4823" t="s">
        <v>6</v>
      </c>
      <c r="D4823" t="s">
        <v>644</v>
      </c>
      <c r="F4823" s="1">
        <v>45807</v>
      </c>
      <c r="G4823" t="str">
        <f>IF(Table3[[#This Row],[Top Parent Account]]="",Table3[[#This Row],[Account Legal Name]],Table3[[#This Row],[Top Parent Account]])</f>
        <v>Astrollantas</v>
      </c>
      <c r="H4823" s="1"/>
    </row>
    <row r="4824" spans="1:8" x14ac:dyDescent="0.35">
      <c r="A4824" s="21"/>
      <c r="B4824" t="s">
        <v>989</v>
      </c>
      <c r="C4824" t="s">
        <v>6</v>
      </c>
      <c r="D4824" t="s">
        <v>611</v>
      </c>
      <c r="F4824" s="1">
        <v>45807</v>
      </c>
      <c r="G4824" t="str">
        <f>IF(Table3[[#This Row],[Top Parent Account]]="",Table3[[#This Row],[Account Legal Name]],Table3[[#This Row],[Top Parent Account]])</f>
        <v>Grupo Funsam</v>
      </c>
      <c r="H4824" s="1"/>
    </row>
    <row r="4825" spans="1:8" x14ac:dyDescent="0.35">
      <c r="A4825" s="21"/>
      <c r="B4825" t="s">
        <v>172</v>
      </c>
      <c r="C4825" t="s">
        <v>6</v>
      </c>
      <c r="D4825" t="s">
        <v>674</v>
      </c>
      <c r="F4825" s="1">
        <v>45807</v>
      </c>
      <c r="G4825" t="str">
        <f>IF(Table3[[#This Row],[Top Parent Account]]="",Table3[[#This Row],[Account Legal Name]],Table3[[#This Row],[Top Parent Account]])</f>
        <v>Grupo Fox</v>
      </c>
      <c r="H4825" s="1"/>
    </row>
    <row r="4826" spans="1:8" x14ac:dyDescent="0.35">
      <c r="A4826" s="21"/>
      <c r="B4826" t="s">
        <v>23</v>
      </c>
      <c r="C4826" t="s">
        <v>6</v>
      </c>
      <c r="D4826" t="s">
        <v>498</v>
      </c>
      <c r="F4826" s="1">
        <v>45807</v>
      </c>
      <c r="G4826" t="str">
        <f>IF(Table3[[#This Row],[Top Parent Account]]="",Table3[[#This Row],[Account Legal Name]],Table3[[#This Row],[Top Parent Account]])</f>
        <v>Grupo ESCAPHMEX</v>
      </c>
      <c r="H4826" s="1"/>
    </row>
    <row r="4827" spans="1:8" x14ac:dyDescent="0.35">
      <c r="A4827" s="21"/>
      <c r="B4827" t="s">
        <v>12</v>
      </c>
      <c r="C4827" t="s">
        <v>6</v>
      </c>
      <c r="D4827" t="s">
        <v>2274</v>
      </c>
      <c r="F4827" s="1">
        <v>45807</v>
      </c>
      <c r="G4827" t="str">
        <f>IF(Table3[[#This Row],[Top Parent Account]]="",Table3[[#This Row],[Account Legal Name]],Table3[[#This Row],[Top Parent Account]])</f>
        <v>ABASTECEDORA DE HOTELES Y RESTAURANTES GARBHO</v>
      </c>
      <c r="H4827" s="1"/>
    </row>
    <row r="4828" spans="1:8" x14ac:dyDescent="0.35">
      <c r="A4828" s="21"/>
      <c r="B4828" t="s">
        <v>38</v>
      </c>
      <c r="C4828" t="s">
        <v>6</v>
      </c>
      <c r="D4828" t="s">
        <v>648</v>
      </c>
      <c r="F4828" s="1">
        <v>45806</v>
      </c>
      <c r="G4828" t="str">
        <f>IF(Table3[[#This Row],[Top Parent Account]]="",Table3[[#This Row],[Account Legal Name]],Table3[[#This Row],[Top Parent Account]])</f>
        <v>TS Trucking (Charger Logisitcs)</v>
      </c>
      <c r="H4828" s="1"/>
    </row>
    <row r="4829" spans="1:8" x14ac:dyDescent="0.35">
      <c r="A4829" s="21"/>
      <c r="B4829" t="s">
        <v>38</v>
      </c>
      <c r="C4829" t="s">
        <v>6</v>
      </c>
      <c r="D4829" t="s">
        <v>471</v>
      </c>
      <c r="F4829" s="1">
        <v>45806</v>
      </c>
      <c r="G4829" t="str">
        <f>IF(Table3[[#This Row],[Top Parent Account]]="",Table3[[#This Row],[Account Legal Name]],Table3[[#This Row],[Top Parent Account]])</f>
        <v>Ciudad Maderas</v>
      </c>
      <c r="H4829" s="1"/>
    </row>
    <row r="4830" spans="1:8" x14ac:dyDescent="0.35">
      <c r="A4830" s="21"/>
      <c r="B4830" t="s">
        <v>1031</v>
      </c>
      <c r="C4830" t="s">
        <v>6</v>
      </c>
      <c r="D4830" t="s">
        <v>2143</v>
      </c>
      <c r="F4830" s="1">
        <v>45806</v>
      </c>
      <c r="G4830" t="str">
        <f>IF(Table3[[#This Row],[Top Parent Account]]="",Table3[[#This Row],[Account Legal Name]],Table3[[#This Row],[Top Parent Account]])</f>
        <v>Saroma</v>
      </c>
      <c r="H4830" s="1"/>
    </row>
    <row r="4831" spans="1:8" x14ac:dyDescent="0.35">
      <c r="A4831" s="21"/>
      <c r="B4831" t="s">
        <v>28</v>
      </c>
      <c r="C4831" t="s">
        <v>6</v>
      </c>
      <c r="D4831" t="s">
        <v>2741</v>
      </c>
      <c r="F4831" s="1">
        <v>45806</v>
      </c>
      <c r="G4831" t="str">
        <f>IF(Table3[[#This Row],[Top Parent Account]]="",Table3[[#This Row],[Account Legal Name]],Table3[[#This Row],[Top Parent Account]])</f>
        <v>SERVICIOS INTEGRALES DE INGENIERIA Y ADMINISTRACION DE OBRAS</v>
      </c>
      <c r="H4831" s="1"/>
    </row>
    <row r="4832" spans="1:8" x14ac:dyDescent="0.35">
      <c r="A4832" s="21"/>
      <c r="B4832" t="s">
        <v>14</v>
      </c>
      <c r="C4832" t="s">
        <v>6</v>
      </c>
      <c r="D4832" t="s">
        <v>1921</v>
      </c>
      <c r="F4832" s="1">
        <v>45806</v>
      </c>
      <c r="G4832" t="str">
        <f>IF(Table3[[#This Row],[Top Parent Account]]="",Table3[[#This Row],[Account Legal Name]],Table3[[#This Row],[Top Parent Account]])</f>
        <v>Impresiones Eloram</v>
      </c>
      <c r="H4832" s="1"/>
    </row>
    <row r="4833" spans="1:8" x14ac:dyDescent="0.35">
      <c r="A4833" s="21"/>
      <c r="B4833" t="s">
        <v>56</v>
      </c>
      <c r="C4833" t="s">
        <v>6</v>
      </c>
      <c r="D4833" t="s">
        <v>818</v>
      </c>
      <c r="F4833" s="1">
        <v>45806</v>
      </c>
      <c r="G4833" t="str">
        <f>IF(Table3[[#This Row],[Top Parent Account]]="",Table3[[#This Row],[Account Legal Name]],Table3[[#This Row],[Top Parent Account]])</f>
        <v>Lactoproductos La Loma</v>
      </c>
      <c r="H4833" s="1"/>
    </row>
    <row r="4834" spans="1:8" x14ac:dyDescent="0.35">
      <c r="A4834" s="21"/>
      <c r="B4834" t="s">
        <v>88</v>
      </c>
      <c r="C4834" t="s">
        <v>6</v>
      </c>
      <c r="D4834" t="s">
        <v>2221</v>
      </c>
      <c r="F4834" s="1">
        <v>45806</v>
      </c>
      <c r="G4834" t="str">
        <f>IF(Table3[[#This Row],[Top Parent Account]]="",Table3[[#This Row],[Account Legal Name]],Table3[[#This Row],[Top Parent Account]])</f>
        <v>REFACCIONARIA REYES ROANMA</v>
      </c>
      <c r="H4834" s="1"/>
    </row>
    <row r="4835" spans="1:8" x14ac:dyDescent="0.35">
      <c r="A4835" s="21"/>
      <c r="B4835" t="s">
        <v>28</v>
      </c>
      <c r="C4835" t="s">
        <v>6</v>
      </c>
      <c r="D4835" t="s">
        <v>2289</v>
      </c>
      <c r="F4835" s="1">
        <v>45806</v>
      </c>
      <c r="G4835" t="str">
        <f>IF(Table3[[#This Row],[Top Parent Account]]="",Table3[[#This Row],[Account Legal Name]],Table3[[#This Row],[Top Parent Account]])</f>
        <v>Hg Control Y Automatización</v>
      </c>
      <c r="H4835" s="1"/>
    </row>
    <row r="4836" spans="1:8" x14ac:dyDescent="0.35">
      <c r="A4836" s="21"/>
      <c r="B4836" t="s">
        <v>590</v>
      </c>
      <c r="C4836" t="s">
        <v>6</v>
      </c>
      <c r="D4836" t="s">
        <v>2275</v>
      </c>
      <c r="F4836" s="1">
        <v>45806</v>
      </c>
      <c r="G4836" t="str">
        <f>IF(Table3[[#This Row],[Top Parent Account]]="",Table3[[#This Row],[Account Legal Name]],Table3[[#This Row],[Top Parent Account]])</f>
        <v>Bagfort</v>
      </c>
      <c r="H4836" s="1"/>
    </row>
    <row r="4837" spans="1:8" x14ac:dyDescent="0.35">
      <c r="A4837" s="21"/>
      <c r="B4837" t="s">
        <v>989</v>
      </c>
      <c r="C4837" t="s">
        <v>6</v>
      </c>
      <c r="D4837" t="s">
        <v>2148</v>
      </c>
      <c r="F4837" s="1">
        <v>45806</v>
      </c>
      <c r="G4837" t="str">
        <f>IF(Table3[[#This Row],[Top Parent Account]]="",Table3[[#This Row],[Account Legal Name]],Table3[[#This Row],[Top Parent Account]])</f>
        <v>Alimentos Naturales Rancho Viejo</v>
      </c>
      <c r="H4837" s="1"/>
    </row>
    <row r="4838" spans="1:8" x14ac:dyDescent="0.35">
      <c r="A4838" s="21"/>
      <c r="B4838" t="s">
        <v>207</v>
      </c>
      <c r="C4838" t="s">
        <v>6</v>
      </c>
      <c r="D4838" t="s">
        <v>627</v>
      </c>
      <c r="F4838" s="1">
        <v>45806</v>
      </c>
      <c r="G4838" t="str">
        <f>IF(Table3[[#This Row],[Top Parent Account]]="",Table3[[#This Row],[Account Legal Name]],Table3[[#This Row],[Top Parent Account]])</f>
        <v>Fartu</v>
      </c>
      <c r="H4838" s="1"/>
    </row>
    <row r="4839" spans="1:8" x14ac:dyDescent="0.35">
      <c r="A4839" s="21"/>
      <c r="B4839" t="s">
        <v>84</v>
      </c>
      <c r="C4839" t="s">
        <v>2222</v>
      </c>
      <c r="D4839" t="s">
        <v>2223</v>
      </c>
      <c r="F4839" s="1">
        <v>45806</v>
      </c>
      <c r="G4839" t="str">
        <f>IF(Table3[[#This Row],[Top Parent Account]]="",Table3[[#This Row],[Account Legal Name]],Table3[[#This Row],[Top Parent Account]])</f>
        <v>Leon Plastics automotive de mexico</v>
      </c>
      <c r="H4839" s="1"/>
    </row>
    <row r="4840" spans="1:8" x14ac:dyDescent="0.35">
      <c r="A4840" s="21"/>
      <c r="B4840" t="s">
        <v>10</v>
      </c>
      <c r="C4840" t="s">
        <v>6</v>
      </c>
      <c r="D4840" t="s">
        <v>79</v>
      </c>
      <c r="F4840" s="1">
        <v>45806</v>
      </c>
      <c r="G4840" t="str">
        <f>IF(Table3[[#This Row],[Top Parent Account]]="",Table3[[#This Row],[Account Legal Name]],Table3[[#This Row],[Top Parent Account]])</f>
        <v>Cereales y Pastas</v>
      </c>
      <c r="H4840" s="1"/>
    </row>
    <row r="4841" spans="1:8" x14ac:dyDescent="0.35">
      <c r="A4841" s="21"/>
      <c r="B4841" t="s">
        <v>14</v>
      </c>
      <c r="C4841" t="s">
        <v>6</v>
      </c>
      <c r="D4841" t="s">
        <v>2047</v>
      </c>
      <c r="F4841" s="1">
        <v>45806</v>
      </c>
      <c r="G4841" t="str">
        <f>IF(Table3[[#This Row],[Top Parent Account]]="",Table3[[#This Row],[Account Legal Name]],Table3[[#This Row],[Top Parent Account]])</f>
        <v>Grupo Aldaramiz</v>
      </c>
      <c r="H4841" s="1"/>
    </row>
    <row r="4842" spans="1:8" x14ac:dyDescent="0.35">
      <c r="A4842" s="21"/>
      <c r="B4842" t="s">
        <v>169</v>
      </c>
      <c r="C4842" t="s">
        <v>6</v>
      </c>
      <c r="D4842" t="s">
        <v>2224</v>
      </c>
      <c r="F4842" s="1">
        <v>45806</v>
      </c>
      <c r="G4842" t="str">
        <f>IF(Table3[[#This Row],[Top Parent Account]]="",Table3[[#This Row],[Account Legal Name]],Table3[[#This Row],[Top Parent Account]])</f>
        <v>IRONPLAST</v>
      </c>
      <c r="H4842" s="1"/>
    </row>
    <row r="4843" spans="1:8" x14ac:dyDescent="0.35">
      <c r="A4843" s="21"/>
      <c r="B4843" t="s">
        <v>11</v>
      </c>
      <c r="C4843" t="s">
        <v>6</v>
      </c>
      <c r="D4843" t="s">
        <v>2225</v>
      </c>
      <c r="F4843" s="1">
        <v>45806</v>
      </c>
      <c r="G4843" t="str">
        <f>IF(Table3[[#This Row],[Top Parent Account]]="",Table3[[#This Row],[Account Legal Name]],Table3[[#This Row],[Top Parent Account]])</f>
        <v>Organizacion Papelera Mexicana</v>
      </c>
      <c r="H4843" s="1"/>
    </row>
    <row r="4844" spans="1:8" x14ac:dyDescent="0.35">
      <c r="A4844" s="21"/>
      <c r="B4844" t="s">
        <v>121</v>
      </c>
      <c r="C4844" t="s">
        <v>6</v>
      </c>
      <c r="D4844" t="s">
        <v>1890</v>
      </c>
      <c r="E4844" t="s">
        <v>274</v>
      </c>
      <c r="F4844" s="1">
        <v>45806</v>
      </c>
      <c r="G4844" t="str">
        <f>IF(Table3[[#This Row],[Top Parent Account]]="",Table3[[#This Row],[Account Legal Name]],Table3[[#This Row],[Top Parent Account]])</f>
        <v>MA. TERESA MACIAS RAMIREZ</v>
      </c>
      <c r="H4844" s="1"/>
    </row>
    <row r="4845" spans="1:8" x14ac:dyDescent="0.35">
      <c r="A4845" s="21"/>
      <c r="B4845" t="s">
        <v>88</v>
      </c>
      <c r="C4845" t="s">
        <v>6</v>
      </c>
      <c r="D4845" t="s">
        <v>2227</v>
      </c>
      <c r="F4845" s="1">
        <v>45806</v>
      </c>
      <c r="G4845" t="str">
        <f>IF(Table3[[#This Row],[Top Parent Account]]="",Table3[[#This Row],[Account Legal Name]],Table3[[#This Row],[Top Parent Account]])</f>
        <v>Transportes Oma</v>
      </c>
      <c r="H4845" s="1"/>
    </row>
    <row r="4846" spans="1:8" x14ac:dyDescent="0.35">
      <c r="A4846" s="21"/>
      <c r="B4846" t="s">
        <v>39</v>
      </c>
      <c r="C4846" t="s">
        <v>57</v>
      </c>
      <c r="D4846" t="s">
        <v>2228</v>
      </c>
      <c r="F4846" s="1">
        <v>45806</v>
      </c>
      <c r="G4846" t="str">
        <f>IF(Table3[[#This Row],[Top Parent Account]]="",Table3[[#This Row],[Account Legal Name]],Table3[[#This Row],[Top Parent Account]])</f>
        <v>G Y S Marketing</v>
      </c>
      <c r="H4846" s="1"/>
    </row>
    <row r="4847" spans="1:8" x14ac:dyDescent="0.35">
      <c r="A4847" s="21"/>
      <c r="B4847" t="s">
        <v>32</v>
      </c>
      <c r="C4847" t="s">
        <v>6</v>
      </c>
      <c r="D4847" t="s">
        <v>2276</v>
      </c>
      <c r="F4847" s="1">
        <v>45806</v>
      </c>
      <c r="G4847" t="str">
        <f>IF(Table3[[#This Row],[Top Parent Account]]="",Table3[[#This Row],[Account Legal Name]],Table3[[#This Row],[Top Parent Account]])</f>
        <v>CORNELIUS OFFSHORE</v>
      </c>
      <c r="H4847" s="1"/>
    </row>
    <row r="4848" spans="1:8" x14ac:dyDescent="0.35">
      <c r="A4848" s="21"/>
      <c r="B4848" t="s">
        <v>12</v>
      </c>
      <c r="C4848" t="s">
        <v>6</v>
      </c>
      <c r="D4848" t="s">
        <v>416</v>
      </c>
      <c r="F4848" s="1">
        <v>45806</v>
      </c>
      <c r="G4848" t="str">
        <f>IF(Table3[[#This Row],[Top Parent Account]]="",Table3[[#This Row],[Account Legal Name]],Table3[[#This Row],[Top Parent Account]])</f>
        <v>Promotora Mexicana de Vehículos</v>
      </c>
      <c r="H4848" s="1"/>
    </row>
    <row r="4849" spans="1:8" x14ac:dyDescent="0.35">
      <c r="A4849" s="21"/>
      <c r="B4849" t="s">
        <v>70</v>
      </c>
      <c r="C4849" t="s">
        <v>6</v>
      </c>
      <c r="D4849" t="s">
        <v>447</v>
      </c>
      <c r="F4849" s="1">
        <v>45806</v>
      </c>
      <c r="G4849" t="str">
        <f>IF(Table3[[#This Row],[Top Parent Account]]="",Table3[[#This Row],[Account Legal Name]],Table3[[#This Row],[Top Parent Account]])</f>
        <v>Intermet</v>
      </c>
      <c r="H4849" s="1"/>
    </row>
    <row r="4850" spans="1:8" x14ac:dyDescent="0.35">
      <c r="A4850" s="21"/>
      <c r="B4850" t="s">
        <v>280</v>
      </c>
      <c r="C4850" t="s">
        <v>6</v>
      </c>
      <c r="D4850" t="s">
        <v>2226</v>
      </c>
      <c r="F4850" s="1">
        <v>45806</v>
      </c>
      <c r="G4850" t="str">
        <f>IF(Table3[[#This Row],[Top Parent Account]]="",Table3[[#This Row],[Account Legal Name]],Table3[[#This Row],[Top Parent Account]])</f>
        <v>Alimentos y Servicios Pecuarios</v>
      </c>
      <c r="H4850" s="1"/>
    </row>
    <row r="4851" spans="1:8" x14ac:dyDescent="0.35">
      <c r="A4851" s="21"/>
      <c r="B4851" t="s">
        <v>1006</v>
      </c>
      <c r="C4851" t="s">
        <v>22</v>
      </c>
      <c r="D4851" t="s">
        <v>2360</v>
      </c>
      <c r="F4851" s="1">
        <v>45806</v>
      </c>
      <c r="G4851" t="str">
        <f>IF(Table3[[#This Row],[Top Parent Account]]="",Table3[[#This Row],[Account Legal Name]],Table3[[#This Row],[Top Parent Account]])</f>
        <v>Operadora Mexicana de Chile</v>
      </c>
      <c r="H4851" s="1"/>
    </row>
    <row r="4852" spans="1:8" x14ac:dyDescent="0.35">
      <c r="A4852" s="21"/>
      <c r="B4852" t="s">
        <v>27</v>
      </c>
      <c r="C4852" t="s">
        <v>6</v>
      </c>
      <c r="D4852" t="s">
        <v>2229</v>
      </c>
      <c r="F4852" s="1">
        <v>45806</v>
      </c>
      <c r="G4852" t="str">
        <f>IF(Table3[[#This Row],[Top Parent Account]]="",Table3[[#This Row],[Account Legal Name]],Table3[[#This Row],[Top Parent Account]])</f>
        <v>Eléctrica Ab</v>
      </c>
      <c r="H4852" s="1"/>
    </row>
    <row r="4853" spans="1:8" x14ac:dyDescent="0.35">
      <c r="A4853" s="21"/>
      <c r="B4853" t="s">
        <v>23</v>
      </c>
      <c r="C4853" t="s">
        <v>6</v>
      </c>
      <c r="D4853" t="s">
        <v>518</v>
      </c>
      <c r="F4853" s="1">
        <v>45806</v>
      </c>
      <c r="G4853" t="str">
        <f>IF(Table3[[#This Row],[Top Parent Account]]="",Table3[[#This Row],[Account Legal Name]],Table3[[#This Row],[Top Parent Account]])</f>
        <v>FUNDICION DE ALEACIONES METALURGICAS</v>
      </c>
      <c r="H4853" s="1"/>
    </row>
    <row r="4854" spans="1:8" x14ac:dyDescent="0.35">
      <c r="A4854" s="21"/>
      <c r="B4854" t="s">
        <v>21</v>
      </c>
      <c r="C4854" t="s">
        <v>6</v>
      </c>
      <c r="D4854" t="s">
        <v>2277</v>
      </c>
      <c r="F4854" s="1">
        <v>45806</v>
      </c>
      <c r="G4854" t="str">
        <f>IF(Table3[[#This Row],[Top Parent Account]]="",Table3[[#This Row],[Account Legal Name]],Table3[[#This Row],[Top Parent Account]])</f>
        <v>Industrias Komodo</v>
      </c>
      <c r="H4854" s="1"/>
    </row>
    <row r="4855" spans="1:8" x14ac:dyDescent="0.35">
      <c r="A4855" s="21"/>
      <c r="B4855" t="s">
        <v>1511</v>
      </c>
      <c r="C4855" t="s">
        <v>22</v>
      </c>
      <c r="D4855" t="s">
        <v>1249</v>
      </c>
      <c r="F4855" s="1">
        <v>45806</v>
      </c>
      <c r="G4855" t="str">
        <f>IF(Table3[[#This Row],[Top Parent Account]]="",Table3[[#This Row],[Account Legal Name]],Table3[[#This Row],[Top Parent Account]])</f>
        <v>Grupo Regional Santa Fé</v>
      </c>
      <c r="H4855" s="1"/>
    </row>
    <row r="4856" spans="1:8" x14ac:dyDescent="0.35">
      <c r="A4856" s="21"/>
      <c r="B4856" t="s">
        <v>26</v>
      </c>
      <c r="C4856" t="s">
        <v>6</v>
      </c>
      <c r="D4856" t="s">
        <v>254</v>
      </c>
      <c r="F4856" s="1">
        <v>45806</v>
      </c>
      <c r="G4856" t="str">
        <f>IF(Table3[[#This Row],[Top Parent Account]]="",Table3[[#This Row],[Account Legal Name]],Table3[[#This Row],[Top Parent Account]])</f>
        <v>Tubos y Barras Huecas</v>
      </c>
      <c r="H4856" s="1"/>
    </row>
    <row r="4857" spans="1:8" x14ac:dyDescent="0.35">
      <c r="A4857" s="21"/>
      <c r="B4857" t="s">
        <v>23</v>
      </c>
      <c r="C4857" t="s">
        <v>6</v>
      </c>
      <c r="D4857" t="s">
        <v>2278</v>
      </c>
      <c r="F4857" s="1">
        <v>45806</v>
      </c>
      <c r="G4857" t="str">
        <f>IF(Table3[[#This Row],[Top Parent Account]]="",Table3[[#This Row],[Account Legal Name]],Table3[[#This Row],[Top Parent Account]])</f>
        <v>GS GRUAS INDUSTRIALES</v>
      </c>
      <c r="H4857" s="1"/>
    </row>
    <row r="4858" spans="1:8" x14ac:dyDescent="0.35">
      <c r="A4858" s="21"/>
      <c r="B4858" t="s">
        <v>932</v>
      </c>
      <c r="C4858" t="s">
        <v>2230</v>
      </c>
      <c r="D4858" t="s">
        <v>2231</v>
      </c>
      <c r="F4858" s="1">
        <v>45806</v>
      </c>
      <c r="G4858" t="str">
        <f>IF(Table3[[#This Row],[Top Parent Account]]="",Table3[[#This Row],[Account Legal Name]],Table3[[#This Row],[Top Parent Account]])</f>
        <v>TRINITA GRUPO HOSPITALARIO</v>
      </c>
      <c r="H4858" s="1"/>
    </row>
    <row r="4859" spans="1:8" x14ac:dyDescent="0.35">
      <c r="A4859" s="21"/>
      <c r="B4859" t="s">
        <v>925</v>
      </c>
      <c r="C4859" t="s">
        <v>6</v>
      </c>
      <c r="D4859" t="s">
        <v>1483</v>
      </c>
      <c r="F4859" s="1">
        <v>45806</v>
      </c>
      <c r="G4859" t="str">
        <f>IF(Table3[[#This Row],[Top Parent Account]]="",Table3[[#This Row],[Account Legal Name]],Table3[[#This Row],[Top Parent Account]])</f>
        <v>Ingeniería y Productos de Acero</v>
      </c>
      <c r="H4859" s="1"/>
    </row>
    <row r="4860" spans="1:8" x14ac:dyDescent="0.35">
      <c r="A4860" s="21"/>
      <c r="B4860" t="s">
        <v>38</v>
      </c>
      <c r="C4860" t="s">
        <v>6</v>
      </c>
      <c r="D4860" t="s">
        <v>1073</v>
      </c>
      <c r="F4860" s="1">
        <v>45805</v>
      </c>
      <c r="G4860" t="str">
        <f>IF(Table3[[#This Row],[Top Parent Account]]="",Table3[[#This Row],[Account Legal Name]],Table3[[#This Row],[Top Parent Account]])</f>
        <v>Ronal Mexicana</v>
      </c>
      <c r="H4860" s="1"/>
    </row>
    <row r="4861" spans="1:8" x14ac:dyDescent="0.35">
      <c r="A4861" s="21"/>
      <c r="B4861" t="s">
        <v>38</v>
      </c>
      <c r="C4861" t="s">
        <v>6</v>
      </c>
      <c r="D4861" t="s">
        <v>635</v>
      </c>
      <c r="F4861" s="1">
        <v>45805</v>
      </c>
      <c r="G4861" t="str">
        <f>IF(Table3[[#This Row],[Top Parent Account]]="",Table3[[#This Row],[Account Legal Name]],Table3[[#This Row],[Top Parent Account]])</f>
        <v>Grupo Rifel</v>
      </c>
      <c r="H4861" s="1"/>
    </row>
    <row r="4862" spans="1:8" x14ac:dyDescent="0.35">
      <c r="A4862" s="21"/>
      <c r="B4862" t="s">
        <v>38</v>
      </c>
      <c r="C4862" t="s">
        <v>6</v>
      </c>
      <c r="D4862" t="s">
        <v>560</v>
      </c>
      <c r="F4862" s="1">
        <v>45805</v>
      </c>
      <c r="G4862" t="str">
        <f>IF(Table3[[#This Row],[Top Parent Account]]="",Table3[[#This Row],[Account Legal Name]],Table3[[#This Row],[Top Parent Account]])</f>
        <v>Constructora Chufani</v>
      </c>
      <c r="H4862" s="1"/>
    </row>
    <row r="4863" spans="1:8" x14ac:dyDescent="0.35">
      <c r="A4863" s="21"/>
      <c r="B4863" t="s">
        <v>375</v>
      </c>
      <c r="C4863" t="s">
        <v>6</v>
      </c>
      <c r="D4863" t="s">
        <v>2011</v>
      </c>
      <c r="F4863" s="1">
        <v>45805</v>
      </c>
      <c r="G4863" t="str">
        <f>IF(Table3[[#This Row],[Top Parent Account]]="",Table3[[#This Row],[Account Legal Name]],Table3[[#This Row],[Top Parent Account]])</f>
        <v>Enso Comunicacion</v>
      </c>
      <c r="H4863" s="1"/>
    </row>
    <row r="4864" spans="1:8" x14ac:dyDescent="0.35">
      <c r="A4864" s="21"/>
      <c r="B4864" t="s">
        <v>989</v>
      </c>
      <c r="C4864" t="s">
        <v>6</v>
      </c>
      <c r="D4864" t="s">
        <v>941</v>
      </c>
      <c r="E4864" t="s">
        <v>1230</v>
      </c>
      <c r="F4864" s="1">
        <v>45805</v>
      </c>
      <c r="G4864" t="str">
        <f>IF(Table3[[#This Row],[Top Parent Account]]="",Table3[[#This Row],[Account Legal Name]],Table3[[#This Row],[Top Parent Account]])</f>
        <v>Kante Industries</v>
      </c>
      <c r="H4864" s="1"/>
    </row>
    <row r="4865" spans="1:8" x14ac:dyDescent="0.35">
      <c r="A4865" s="21"/>
      <c r="B4865" t="s">
        <v>375</v>
      </c>
      <c r="C4865" t="s">
        <v>6</v>
      </c>
      <c r="D4865" t="s">
        <v>1084</v>
      </c>
      <c r="F4865" s="1">
        <v>45805</v>
      </c>
      <c r="G4865" t="str">
        <f>IF(Table3[[#This Row],[Top Parent Account]]="",Table3[[#This Row],[Account Legal Name]],Table3[[#This Row],[Top Parent Account]])</f>
        <v>Hi-Tec Medical</v>
      </c>
      <c r="H4865" s="1"/>
    </row>
    <row r="4866" spans="1:8" x14ac:dyDescent="0.35">
      <c r="A4866" s="21"/>
      <c r="B4866" t="s">
        <v>70</v>
      </c>
      <c r="C4866" t="s">
        <v>6</v>
      </c>
      <c r="D4866" t="s">
        <v>568</v>
      </c>
      <c r="F4866" s="1">
        <v>45805</v>
      </c>
      <c r="G4866" t="str">
        <f>IF(Table3[[#This Row],[Top Parent Account]]="",Table3[[#This Row],[Account Legal Name]],Table3[[#This Row],[Top Parent Account]])</f>
        <v>COI Centro Oncológico Internacional</v>
      </c>
      <c r="H4866" s="1"/>
    </row>
    <row r="4867" spans="1:8" x14ac:dyDescent="0.35">
      <c r="A4867" s="21"/>
      <c r="B4867" t="s">
        <v>1031</v>
      </c>
      <c r="C4867" t="s">
        <v>6</v>
      </c>
      <c r="D4867" t="s">
        <v>688</v>
      </c>
      <c r="F4867" s="1">
        <v>45805</v>
      </c>
      <c r="G4867" t="str">
        <f>IF(Table3[[#This Row],[Top Parent Account]]="",Table3[[#This Row],[Account Legal Name]],Table3[[#This Row],[Top Parent Account]])</f>
        <v>Industrias Jlc</v>
      </c>
      <c r="H4867" s="1"/>
    </row>
    <row r="4868" spans="1:8" x14ac:dyDescent="0.35">
      <c r="A4868" s="21"/>
      <c r="B4868" t="s">
        <v>820</v>
      </c>
      <c r="C4868" t="s">
        <v>6</v>
      </c>
      <c r="D4868" t="s">
        <v>554</v>
      </c>
      <c r="F4868" s="1">
        <v>45805</v>
      </c>
      <c r="G4868" t="str">
        <f>IF(Table3[[#This Row],[Top Parent Account]]="",Table3[[#This Row],[Account Legal Name]],Table3[[#This Row],[Top Parent Account]])</f>
        <v>Atco México</v>
      </c>
      <c r="H4868" s="1"/>
    </row>
    <row r="4869" spans="1:8" x14ac:dyDescent="0.35">
      <c r="A4869" s="21"/>
      <c r="B4869" t="s">
        <v>116</v>
      </c>
      <c r="C4869" t="s">
        <v>6</v>
      </c>
      <c r="D4869" t="s">
        <v>1310</v>
      </c>
      <c r="F4869" s="1">
        <v>45805</v>
      </c>
      <c r="G4869" t="str">
        <f>IF(Table3[[#This Row],[Top Parent Account]]="",Table3[[#This Row],[Account Legal Name]],Table3[[#This Row],[Top Parent Account]])</f>
        <v>Interdeli</v>
      </c>
      <c r="H4869" s="1"/>
    </row>
    <row r="4870" spans="1:8" x14ac:dyDescent="0.35">
      <c r="A4870" s="21"/>
      <c r="B4870" t="s">
        <v>172</v>
      </c>
      <c r="C4870" t="s">
        <v>6</v>
      </c>
      <c r="D4870" t="s">
        <v>457</v>
      </c>
      <c r="F4870" s="1">
        <v>45805</v>
      </c>
      <c r="G4870" t="str">
        <f>IF(Table3[[#This Row],[Top Parent Account]]="",Table3[[#This Row],[Account Legal Name]],Table3[[#This Row],[Top Parent Account]])</f>
        <v>Grupo Materias Primas de México</v>
      </c>
      <c r="H4870" s="1"/>
    </row>
    <row r="4871" spans="1:8" x14ac:dyDescent="0.35">
      <c r="A4871" s="21"/>
      <c r="B4871" t="s">
        <v>970</v>
      </c>
      <c r="C4871" t="s">
        <v>6</v>
      </c>
      <c r="D4871" t="s">
        <v>200</v>
      </c>
      <c r="F4871" s="1">
        <v>45805</v>
      </c>
      <c r="G4871" t="str">
        <f>IF(Table3[[#This Row],[Top Parent Account]]="",Table3[[#This Row],[Account Legal Name]],Table3[[#This Row],[Top Parent Account]])</f>
        <v>Grupo Industrial Summa</v>
      </c>
      <c r="H4871" s="1"/>
    </row>
    <row r="4872" spans="1:8" x14ac:dyDescent="0.35">
      <c r="A4872" s="21"/>
      <c r="B4872" t="s">
        <v>820</v>
      </c>
      <c r="C4872" t="s">
        <v>6</v>
      </c>
      <c r="D4872" t="s">
        <v>225</v>
      </c>
      <c r="E4872" t="s">
        <v>321</v>
      </c>
      <c r="F4872" s="1">
        <v>45805</v>
      </c>
      <c r="G4872" t="str">
        <f>IF(Table3[[#This Row],[Top Parent Account]]="",Table3[[#This Row],[Account Legal Name]],Table3[[#This Row],[Top Parent Account]])</f>
        <v>Conservas La Costena</v>
      </c>
      <c r="H4872" s="1"/>
    </row>
    <row r="4873" spans="1:8" x14ac:dyDescent="0.35">
      <c r="A4873" s="21"/>
      <c r="B4873" t="s">
        <v>375</v>
      </c>
      <c r="C4873" t="s">
        <v>6</v>
      </c>
      <c r="D4873" t="s">
        <v>2232</v>
      </c>
      <c r="F4873" s="1">
        <v>45805</v>
      </c>
      <c r="G4873" t="str">
        <f>IF(Table3[[#This Row],[Top Parent Account]]="",Table3[[#This Row],[Account Legal Name]],Table3[[#This Row],[Top Parent Account]])</f>
        <v>Operaciones Internacionales Sabre</v>
      </c>
      <c r="H4873" s="1"/>
    </row>
    <row r="4874" spans="1:8" x14ac:dyDescent="0.35">
      <c r="A4874" s="21"/>
      <c r="B4874" t="s">
        <v>969</v>
      </c>
      <c r="C4874" t="s">
        <v>6</v>
      </c>
      <c r="D4874" t="s">
        <v>2279</v>
      </c>
      <c r="F4874" s="1">
        <v>45805</v>
      </c>
      <c r="G4874" t="str">
        <f>IF(Table3[[#This Row],[Top Parent Account]]="",Table3[[#This Row],[Account Legal Name]],Table3[[#This Row],[Top Parent Account]])</f>
        <v>Abarrotes Hilo</v>
      </c>
      <c r="H4874" s="1"/>
    </row>
    <row r="4875" spans="1:8" x14ac:dyDescent="0.35">
      <c r="A4875" s="21"/>
      <c r="B4875" t="s">
        <v>925</v>
      </c>
      <c r="C4875" t="s">
        <v>6</v>
      </c>
      <c r="D4875" t="s">
        <v>2280</v>
      </c>
      <c r="F4875" s="1">
        <v>45805</v>
      </c>
      <c r="G4875" t="str">
        <f>IF(Table3[[#This Row],[Top Parent Account]]="",Table3[[#This Row],[Account Legal Name]],Table3[[#This Row],[Top Parent Account]])</f>
        <v>Ballotini Panamericana</v>
      </c>
      <c r="H4875" s="1"/>
    </row>
    <row r="4876" spans="1:8" x14ac:dyDescent="0.35">
      <c r="A4876" s="21"/>
      <c r="B4876" t="s">
        <v>1899</v>
      </c>
      <c r="C4876" t="s">
        <v>6</v>
      </c>
      <c r="D4876" t="s">
        <v>2233</v>
      </c>
      <c r="F4876" s="1">
        <v>45805</v>
      </c>
      <c r="G4876" t="str">
        <f>IF(Table3[[#This Row],[Top Parent Account]]="",Table3[[#This Row],[Account Legal Name]],Table3[[#This Row],[Top Parent Account]])</f>
        <v>INGENIERIA APLICADA</v>
      </c>
      <c r="H4876" s="1"/>
    </row>
    <row r="4877" spans="1:8" x14ac:dyDescent="0.35">
      <c r="A4877" s="21"/>
      <c r="B4877" t="s">
        <v>78</v>
      </c>
      <c r="C4877" t="s">
        <v>6</v>
      </c>
      <c r="D4877" t="s">
        <v>2132</v>
      </c>
      <c r="F4877" s="1">
        <v>45805</v>
      </c>
      <c r="G4877" t="str">
        <f>IF(Table3[[#This Row],[Top Parent Account]]="",Table3[[#This Row],[Account Legal Name]],Table3[[#This Row],[Top Parent Account]])</f>
        <v>Driller Cimentaciones</v>
      </c>
      <c r="H4877" s="1"/>
    </row>
    <row r="4878" spans="1:8" x14ac:dyDescent="0.35">
      <c r="A4878" s="21"/>
      <c r="B4878" t="s">
        <v>121</v>
      </c>
      <c r="C4878" t="s">
        <v>6</v>
      </c>
      <c r="D4878" t="s">
        <v>1227</v>
      </c>
      <c r="F4878" s="1">
        <v>45805</v>
      </c>
      <c r="G4878" t="str">
        <f>IF(Table3[[#This Row],[Top Parent Account]]="",Table3[[#This Row],[Account Legal Name]],Table3[[#This Row],[Top Parent Account]])</f>
        <v>Agroalimentos Fresh Harvest</v>
      </c>
      <c r="H4878" s="1"/>
    </row>
    <row r="4879" spans="1:8" x14ac:dyDescent="0.35">
      <c r="A4879" s="21"/>
      <c r="B4879" t="s">
        <v>589</v>
      </c>
      <c r="C4879" t="s">
        <v>6</v>
      </c>
      <c r="D4879" t="s">
        <v>2281</v>
      </c>
      <c r="F4879" s="1">
        <v>45805</v>
      </c>
      <c r="G4879" t="str">
        <f>IF(Table3[[#This Row],[Top Parent Account]]="",Table3[[#This Row],[Account Legal Name]],Table3[[#This Row],[Top Parent Account]])</f>
        <v>Auto Express Flores Guerra</v>
      </c>
      <c r="H4879" s="1"/>
    </row>
    <row r="4880" spans="1:8" x14ac:dyDescent="0.35">
      <c r="A4880" s="21"/>
      <c r="B4880" t="s">
        <v>169</v>
      </c>
      <c r="C4880" t="s">
        <v>6</v>
      </c>
      <c r="D4880" t="s">
        <v>2234</v>
      </c>
      <c r="F4880" s="1">
        <v>45805</v>
      </c>
      <c r="G4880" t="str">
        <f>IF(Table3[[#This Row],[Top Parent Account]]="",Table3[[#This Row],[Account Legal Name]],Table3[[#This Row],[Top Parent Account]])</f>
        <v>Modelos yasiro</v>
      </c>
      <c r="H4880" s="1"/>
    </row>
    <row r="4881" spans="1:8" x14ac:dyDescent="0.35">
      <c r="A4881" s="21"/>
      <c r="B4881" t="s">
        <v>8</v>
      </c>
      <c r="C4881" t="s">
        <v>6</v>
      </c>
      <c r="D4881" t="s">
        <v>2229</v>
      </c>
      <c r="F4881" s="1">
        <v>45805</v>
      </c>
      <c r="G4881" t="str">
        <f>IF(Table3[[#This Row],[Top Parent Account]]="",Table3[[#This Row],[Account Legal Name]],Table3[[#This Row],[Top Parent Account]])</f>
        <v>Eléctrica Ab</v>
      </c>
      <c r="H4881" s="1"/>
    </row>
    <row r="4882" spans="1:8" x14ac:dyDescent="0.35">
      <c r="A4882" s="21"/>
      <c r="B4882" t="s">
        <v>970</v>
      </c>
      <c r="C4882" t="s">
        <v>6</v>
      </c>
      <c r="D4882" t="s">
        <v>856</v>
      </c>
      <c r="F4882" s="1">
        <v>45805</v>
      </c>
      <c r="G4882" t="str">
        <f>IF(Table3[[#This Row],[Top Parent Account]]="",Table3[[#This Row],[Account Legal Name]],Table3[[#This Row],[Top Parent Account]])</f>
        <v>Grupo Gepp</v>
      </c>
      <c r="H4882" s="1"/>
    </row>
    <row r="4883" spans="1:8" x14ac:dyDescent="0.35">
      <c r="A4883" s="21"/>
      <c r="B4883" t="s">
        <v>1006</v>
      </c>
      <c r="C4883" t="s">
        <v>6</v>
      </c>
      <c r="D4883" t="s">
        <v>217</v>
      </c>
      <c r="F4883" s="1">
        <v>45805</v>
      </c>
      <c r="G4883" t="str">
        <f>IF(Table3[[#This Row],[Top Parent Account]]="",Table3[[#This Row],[Account Legal Name]],Table3[[#This Row],[Top Parent Account]])</f>
        <v>Chocolatera Moctezuma</v>
      </c>
      <c r="H4883" s="1"/>
    </row>
    <row r="4884" spans="1:8" x14ac:dyDescent="0.35">
      <c r="A4884" s="21"/>
      <c r="B4884" t="s">
        <v>116</v>
      </c>
      <c r="C4884" t="s">
        <v>6</v>
      </c>
      <c r="D4884" t="s">
        <v>536</v>
      </c>
      <c r="F4884" s="1">
        <v>45805</v>
      </c>
      <c r="G4884" t="str">
        <f>IF(Table3[[#This Row],[Top Parent Account]]="",Table3[[#This Row],[Account Legal Name]],Table3[[#This Row],[Top Parent Account]])</f>
        <v>Inox Market Messico</v>
      </c>
      <c r="H4884" s="1"/>
    </row>
    <row r="4885" spans="1:8" x14ac:dyDescent="0.35">
      <c r="A4885" s="21"/>
      <c r="B4885" t="s">
        <v>25</v>
      </c>
      <c r="C4885" t="s">
        <v>6</v>
      </c>
      <c r="D4885" t="s">
        <v>2236</v>
      </c>
      <c r="F4885" s="1">
        <v>45805</v>
      </c>
      <c r="G4885" t="str">
        <f>IF(Table3[[#This Row],[Top Parent Account]]="",Table3[[#This Row],[Account Legal Name]],Table3[[#This Row],[Top Parent Account]])</f>
        <v>Ernesto Escalante Rondero</v>
      </c>
      <c r="H4885" s="1"/>
    </row>
    <row r="4886" spans="1:8" x14ac:dyDescent="0.35">
      <c r="A4886" s="21"/>
      <c r="B4886" t="s">
        <v>169</v>
      </c>
      <c r="C4886" t="s">
        <v>6</v>
      </c>
      <c r="D4886" t="s">
        <v>2021</v>
      </c>
      <c r="F4886" s="1">
        <v>45805</v>
      </c>
      <c r="G4886" t="str">
        <f>IF(Table3[[#This Row],[Top Parent Account]]="",Table3[[#This Row],[Account Legal Name]],Table3[[#This Row],[Top Parent Account]])</f>
        <v>REVERGY</v>
      </c>
      <c r="H4886" s="1"/>
    </row>
    <row r="4887" spans="1:8" x14ac:dyDescent="0.35">
      <c r="A4887" s="21"/>
      <c r="B4887" t="s">
        <v>43</v>
      </c>
      <c r="C4887" t="s">
        <v>6</v>
      </c>
      <c r="D4887" t="s">
        <v>717</v>
      </c>
      <c r="F4887" s="1">
        <v>45805</v>
      </c>
      <c r="G4887" t="str">
        <f>IF(Table3[[#This Row],[Top Parent Account]]="",Table3[[#This Row],[Account Legal Name]],Table3[[#This Row],[Top Parent Account]])</f>
        <v>Litoprocess</v>
      </c>
      <c r="H4887" s="1"/>
    </row>
    <row r="4888" spans="1:8" x14ac:dyDescent="0.35">
      <c r="A4888" s="21"/>
      <c r="B4888" t="s">
        <v>23</v>
      </c>
      <c r="C4888" t="s">
        <v>6</v>
      </c>
      <c r="D4888" t="s">
        <v>2235</v>
      </c>
      <c r="F4888" s="1">
        <v>45805</v>
      </c>
      <c r="G4888" t="str">
        <f>IF(Table3[[#This Row],[Top Parent Account]]="",Table3[[#This Row],[Account Legal Name]],Table3[[#This Row],[Top Parent Account]])</f>
        <v>JUAN AGUILAR HERRERA</v>
      </c>
      <c r="H4888" s="1"/>
    </row>
    <row r="4889" spans="1:8" x14ac:dyDescent="0.35">
      <c r="A4889" s="21"/>
      <c r="B4889" t="s">
        <v>39</v>
      </c>
      <c r="C4889" t="s">
        <v>2237</v>
      </c>
      <c r="D4889" t="s">
        <v>2075</v>
      </c>
      <c r="F4889" s="1">
        <v>45805</v>
      </c>
      <c r="G4889" t="str">
        <f>IF(Table3[[#This Row],[Top Parent Account]]="",Table3[[#This Row],[Account Legal Name]],Table3[[#This Row],[Top Parent Account]])</f>
        <v>Agricola Mexicali</v>
      </c>
      <c r="H4889" s="1"/>
    </row>
    <row r="4890" spans="1:8" x14ac:dyDescent="0.35">
      <c r="A4890" s="21"/>
      <c r="B4890" t="s">
        <v>969</v>
      </c>
      <c r="C4890" t="s">
        <v>6</v>
      </c>
      <c r="D4890" t="s">
        <v>2282</v>
      </c>
      <c r="F4890" s="1">
        <v>45805</v>
      </c>
      <c r="G4890" t="str">
        <f>IF(Table3[[#This Row],[Top Parent Account]]="",Table3[[#This Row],[Account Legal Name]],Table3[[#This Row],[Top Parent Account]])</f>
        <v>CIRSADI GASOLINERAS</v>
      </c>
      <c r="H4890" s="1"/>
    </row>
    <row r="4891" spans="1:8" x14ac:dyDescent="0.35">
      <c r="A4891" s="21"/>
      <c r="B4891" t="s">
        <v>88</v>
      </c>
      <c r="C4891" t="s">
        <v>6</v>
      </c>
      <c r="D4891" t="s">
        <v>2238</v>
      </c>
      <c r="F4891" s="1">
        <v>45805</v>
      </c>
      <c r="G4891" t="str">
        <f>IF(Table3[[#This Row],[Top Parent Account]]="",Table3[[#This Row],[Account Legal Name]],Table3[[#This Row],[Top Parent Account]])</f>
        <v>C&amp;S DEL CENTRO</v>
      </c>
      <c r="H4891" s="1"/>
    </row>
    <row r="4892" spans="1:8" x14ac:dyDescent="0.35">
      <c r="A4892" s="21"/>
      <c r="B4892" t="s">
        <v>1511</v>
      </c>
      <c r="C4892" t="s">
        <v>22</v>
      </c>
      <c r="D4892" t="s">
        <v>439</v>
      </c>
      <c r="F4892" s="1">
        <v>45805</v>
      </c>
      <c r="G4892" t="str">
        <f>IF(Table3[[#This Row],[Top Parent Account]]="",Table3[[#This Row],[Account Legal Name]],Table3[[#This Row],[Top Parent Account]])</f>
        <v>Copamex</v>
      </c>
      <c r="H4892" s="1"/>
    </row>
    <row r="4893" spans="1:8" x14ac:dyDescent="0.35">
      <c r="A4893" s="21"/>
      <c r="B4893" t="s">
        <v>8</v>
      </c>
      <c r="C4893" t="s">
        <v>22</v>
      </c>
      <c r="D4893" t="s">
        <v>2361</v>
      </c>
      <c r="F4893" s="1">
        <v>45805</v>
      </c>
      <c r="G4893" t="str">
        <f>IF(Table3[[#This Row],[Top Parent Account]]="",Table3[[#This Row],[Account Legal Name]],Table3[[#This Row],[Top Parent Account]])</f>
        <v>Transbiaga Servicios</v>
      </c>
      <c r="H4893" s="1"/>
    </row>
    <row r="4894" spans="1:8" x14ac:dyDescent="0.35">
      <c r="A4894" s="21"/>
      <c r="B4894" t="s">
        <v>116</v>
      </c>
      <c r="C4894" t="s">
        <v>6</v>
      </c>
      <c r="D4894" t="s">
        <v>2283</v>
      </c>
      <c r="F4894" s="1">
        <v>45805</v>
      </c>
      <c r="G4894" t="str">
        <f>IF(Table3[[#This Row],[Top Parent Account]]="",Table3[[#This Row],[Account Legal Name]],Table3[[#This Row],[Top Parent Account]])</f>
        <v>Industria Plastica de Queretaro</v>
      </c>
      <c r="H4894" s="1"/>
    </row>
    <row r="4895" spans="1:8" x14ac:dyDescent="0.35">
      <c r="A4895" s="21"/>
      <c r="B4895" t="s">
        <v>18</v>
      </c>
      <c r="C4895" t="s">
        <v>6</v>
      </c>
      <c r="D4895" t="s">
        <v>2239</v>
      </c>
      <c r="F4895" s="1">
        <v>45805</v>
      </c>
      <c r="G4895" t="str">
        <f>IF(Table3[[#This Row],[Top Parent Account]]="",Table3[[#This Row],[Account Legal Name]],Table3[[#This Row],[Top Parent Account]])</f>
        <v>Multiceras</v>
      </c>
      <c r="H4895" s="1"/>
    </row>
    <row r="4896" spans="1:8" x14ac:dyDescent="0.35">
      <c r="A4896" s="21"/>
      <c r="B4896" t="s">
        <v>116</v>
      </c>
      <c r="C4896" t="s">
        <v>22</v>
      </c>
      <c r="D4896" t="s">
        <v>2240</v>
      </c>
      <c r="F4896" s="1">
        <v>45804</v>
      </c>
      <c r="G4896" t="str">
        <f>IF(Table3[[#This Row],[Top Parent Account]]="",Table3[[#This Row],[Account Legal Name]],Table3[[#This Row],[Top Parent Account]])</f>
        <v>Nephosit Consultores</v>
      </c>
      <c r="H4896" s="1"/>
    </row>
    <row r="4897" spans="1:8" x14ac:dyDescent="0.35">
      <c r="A4897" s="21"/>
      <c r="B4897" t="s">
        <v>121</v>
      </c>
      <c r="C4897" t="s">
        <v>6</v>
      </c>
      <c r="D4897" t="s">
        <v>853</v>
      </c>
      <c r="F4897" s="1">
        <v>45804</v>
      </c>
      <c r="G4897" t="str">
        <f>IF(Table3[[#This Row],[Top Parent Account]]="",Table3[[#This Row],[Account Legal Name]],Table3[[#This Row],[Top Parent Account]])</f>
        <v>MATERIALES Y BLOCKERA ARAMBURO</v>
      </c>
      <c r="H4897" s="1"/>
    </row>
    <row r="4898" spans="1:8" x14ac:dyDescent="0.35">
      <c r="A4898" s="21"/>
      <c r="B4898" t="s">
        <v>169</v>
      </c>
      <c r="C4898" t="s">
        <v>6</v>
      </c>
      <c r="D4898" t="s">
        <v>987</v>
      </c>
      <c r="F4898" s="1">
        <v>45804</v>
      </c>
      <c r="G4898" t="str">
        <f>IF(Table3[[#This Row],[Top Parent Account]]="",Table3[[#This Row],[Account Legal Name]],Table3[[#This Row],[Top Parent Account]])</f>
        <v>Elaboradora De Alimentos Pachuca</v>
      </c>
      <c r="H4898" s="1"/>
    </row>
    <row r="4899" spans="1:8" x14ac:dyDescent="0.35">
      <c r="A4899" s="21"/>
      <c r="B4899" t="s">
        <v>18</v>
      </c>
      <c r="C4899" t="s">
        <v>6</v>
      </c>
      <c r="D4899" t="s">
        <v>2241</v>
      </c>
      <c r="F4899" s="1">
        <v>45804</v>
      </c>
      <c r="G4899" t="str">
        <f>IF(Table3[[#This Row],[Top Parent Account]]="",Table3[[#This Row],[Account Legal Name]],Table3[[#This Row],[Top Parent Account]])</f>
        <v>Elizondo Agroalimentos</v>
      </c>
      <c r="H4899" s="1"/>
    </row>
    <row r="4900" spans="1:8" x14ac:dyDescent="0.35">
      <c r="A4900" s="21"/>
      <c r="B4900" t="s">
        <v>989</v>
      </c>
      <c r="C4900" t="s">
        <v>6</v>
      </c>
      <c r="D4900" t="s">
        <v>2154</v>
      </c>
      <c r="F4900" s="1">
        <v>45804</v>
      </c>
      <c r="G4900" t="str">
        <f>IF(Table3[[#This Row],[Top Parent Account]]="",Table3[[#This Row],[Account Legal Name]],Table3[[#This Row],[Top Parent Account]])</f>
        <v>OLE A&amp;D Mexico</v>
      </c>
      <c r="H4900" s="1"/>
    </row>
    <row r="4901" spans="1:8" x14ac:dyDescent="0.35">
      <c r="A4901" s="21"/>
      <c r="B4901" t="s">
        <v>1131</v>
      </c>
      <c r="C4901" t="s">
        <v>6</v>
      </c>
      <c r="D4901" t="s">
        <v>2242</v>
      </c>
      <c r="F4901" s="1">
        <v>45804</v>
      </c>
      <c r="G4901" t="str">
        <f>IF(Table3[[#This Row],[Top Parent Account]]="",Table3[[#This Row],[Account Legal Name]],Table3[[#This Row],[Top Parent Account]])</f>
        <v>Obrador San Pancho</v>
      </c>
      <c r="H4901" s="1"/>
    </row>
    <row r="4902" spans="1:8" x14ac:dyDescent="0.35">
      <c r="A4902" s="21"/>
      <c r="B4902" t="s">
        <v>116</v>
      </c>
      <c r="C4902" t="s">
        <v>6</v>
      </c>
      <c r="D4902" t="s">
        <v>2284</v>
      </c>
      <c r="F4902" s="1">
        <v>45804</v>
      </c>
      <c r="G4902" t="str">
        <f>IF(Table3[[#This Row],[Top Parent Account]]="",Table3[[#This Row],[Account Legal Name]],Table3[[#This Row],[Top Parent Account]])</f>
        <v>Bohn de México</v>
      </c>
      <c r="H4902" s="1"/>
    </row>
    <row r="4903" spans="1:8" x14ac:dyDescent="0.35">
      <c r="A4903" s="21"/>
      <c r="B4903" t="s">
        <v>21</v>
      </c>
      <c r="C4903" t="s">
        <v>6</v>
      </c>
      <c r="D4903" t="s">
        <v>2243</v>
      </c>
      <c r="F4903" s="1">
        <v>45804</v>
      </c>
      <c r="G4903" t="str">
        <f>IF(Table3[[#This Row],[Top Parent Account]]="",Table3[[#This Row],[Account Legal Name]],Table3[[#This Row],[Top Parent Account]])</f>
        <v>Consorcio Cuarzo JE</v>
      </c>
      <c r="H4903" s="1"/>
    </row>
    <row r="4904" spans="1:8" x14ac:dyDescent="0.35">
      <c r="A4904" s="21"/>
      <c r="B4904" t="s">
        <v>84</v>
      </c>
      <c r="C4904" t="s">
        <v>193</v>
      </c>
      <c r="D4904" t="s">
        <v>2244</v>
      </c>
      <c r="F4904" s="1">
        <v>45804</v>
      </c>
      <c r="G4904" t="str">
        <f>IF(Table3[[#This Row],[Top Parent Account]]="",Table3[[#This Row],[Account Legal Name]],Table3[[#This Row],[Top Parent Account]])</f>
        <v>Mimsa</v>
      </c>
      <c r="H4904" s="1"/>
    </row>
    <row r="4905" spans="1:8" x14ac:dyDescent="0.35">
      <c r="A4905" s="21"/>
      <c r="B4905" t="s">
        <v>23</v>
      </c>
      <c r="C4905" t="s">
        <v>6</v>
      </c>
      <c r="D4905" t="s">
        <v>2245</v>
      </c>
      <c r="F4905" s="1">
        <v>45804</v>
      </c>
      <c r="G4905" t="str">
        <f>IF(Table3[[#This Row],[Top Parent Account]]="",Table3[[#This Row],[Account Legal Name]],Table3[[#This Row],[Top Parent Account]])</f>
        <v>Proftech</v>
      </c>
      <c r="H4905" s="1"/>
    </row>
    <row r="4906" spans="1:8" x14ac:dyDescent="0.35">
      <c r="A4906" s="21"/>
      <c r="B4906" t="s">
        <v>1006</v>
      </c>
      <c r="C4906" t="s">
        <v>6</v>
      </c>
      <c r="D4906" t="s">
        <v>1832</v>
      </c>
      <c r="F4906" s="1">
        <v>45804</v>
      </c>
      <c r="G4906" t="str">
        <f>IF(Table3[[#This Row],[Top Parent Account]]="",Table3[[#This Row],[Account Legal Name]],Table3[[#This Row],[Top Parent Account]])</f>
        <v>Vegetal Prims</v>
      </c>
      <c r="H4906" s="1"/>
    </row>
    <row r="4907" spans="1:8" x14ac:dyDescent="0.35">
      <c r="A4907" s="21"/>
      <c r="B4907" t="s">
        <v>1131</v>
      </c>
      <c r="C4907" t="s">
        <v>6</v>
      </c>
      <c r="D4907" t="s">
        <v>2246</v>
      </c>
      <c r="F4907" s="1">
        <v>45804</v>
      </c>
      <c r="G4907" t="str">
        <f>IF(Table3[[#This Row],[Top Parent Account]]="",Table3[[#This Row],[Account Legal Name]],Table3[[#This Row],[Top Parent Account]])</f>
        <v>Ganaderos Industriales de la Leche</v>
      </c>
      <c r="H4907" s="1"/>
    </row>
    <row r="4908" spans="1:8" x14ac:dyDescent="0.35">
      <c r="A4908" s="21"/>
      <c r="B4908" t="s">
        <v>77</v>
      </c>
      <c r="C4908" t="s">
        <v>6</v>
      </c>
      <c r="D4908" t="s">
        <v>1420</v>
      </c>
      <c r="F4908" s="1">
        <v>45804</v>
      </c>
      <c r="G4908" t="str">
        <f>IF(Table3[[#This Row],[Top Parent Account]]="",Table3[[#This Row],[Account Legal Name]],Table3[[#This Row],[Top Parent Account]])</f>
        <v>Union De Ganaderos Lecheros De Juarez</v>
      </c>
      <c r="H4908" s="1"/>
    </row>
    <row r="4909" spans="1:8" x14ac:dyDescent="0.35">
      <c r="A4909" s="21"/>
      <c r="B4909" t="s">
        <v>51</v>
      </c>
      <c r="C4909" t="s">
        <v>6</v>
      </c>
      <c r="D4909" t="s">
        <v>2247</v>
      </c>
      <c r="F4909" s="1">
        <v>45804</v>
      </c>
      <c r="G4909" t="str">
        <f>IF(Table3[[#This Row],[Top Parent Account]]="",Table3[[#This Row],[Account Legal Name]],Table3[[#This Row],[Top Parent Account]])</f>
        <v>ALCOHOLERA COMEGSA</v>
      </c>
      <c r="H4909" s="1"/>
    </row>
    <row r="4910" spans="1:8" x14ac:dyDescent="0.35">
      <c r="A4910" s="21"/>
      <c r="B4910" t="s">
        <v>1006</v>
      </c>
      <c r="C4910" t="s">
        <v>22</v>
      </c>
      <c r="D4910" t="s">
        <v>2362</v>
      </c>
      <c r="F4910" s="1">
        <v>45804</v>
      </c>
      <c r="G4910" t="str">
        <f>IF(Table3[[#This Row],[Top Parent Account]]="",Table3[[#This Row],[Account Legal Name]],Table3[[#This Row],[Top Parent Account]])</f>
        <v>Quesos las Mesitas</v>
      </c>
      <c r="H4910" s="1"/>
    </row>
    <row r="4911" spans="1:8" x14ac:dyDescent="0.35">
      <c r="A4911" s="21"/>
      <c r="B4911" t="s">
        <v>37</v>
      </c>
      <c r="C4911" t="s">
        <v>22</v>
      </c>
      <c r="D4911" t="s">
        <v>312</v>
      </c>
      <c r="F4911" s="1">
        <v>45804</v>
      </c>
      <c r="G4911" t="str">
        <f>IF(Table3[[#This Row],[Top Parent Account]]="",Table3[[#This Row],[Account Legal Name]],Table3[[#This Row],[Top Parent Account]])</f>
        <v>Alinsumos</v>
      </c>
      <c r="H4911" s="1"/>
    </row>
    <row r="4912" spans="1:8" x14ac:dyDescent="0.35">
      <c r="A4912" s="21"/>
      <c r="B4912" t="s">
        <v>116</v>
      </c>
      <c r="C4912" t="s">
        <v>6</v>
      </c>
      <c r="D4912" t="s">
        <v>2249</v>
      </c>
      <c r="F4912" s="1">
        <v>45804</v>
      </c>
      <c r="G4912" t="str">
        <f>IF(Table3[[#This Row],[Top Parent Account]]="",Table3[[#This Row],[Account Legal Name]],Table3[[#This Row],[Top Parent Account]])</f>
        <v>Metecno</v>
      </c>
      <c r="H4912" s="1"/>
    </row>
    <row r="4913" spans="1:8" x14ac:dyDescent="0.35">
      <c r="A4913" s="21"/>
      <c r="B4913" t="s">
        <v>969</v>
      </c>
      <c r="C4913" t="s">
        <v>6</v>
      </c>
      <c r="D4913" t="s">
        <v>2248</v>
      </c>
      <c r="F4913" s="1">
        <v>45804</v>
      </c>
      <c r="G4913" t="str">
        <f>IF(Table3[[#This Row],[Top Parent Account]]="",Table3[[#This Row],[Account Legal Name]],Table3[[#This Row],[Top Parent Account]])</f>
        <v>Nutri Seleccion</v>
      </c>
      <c r="H4913" s="1"/>
    </row>
    <row r="4914" spans="1:8" x14ac:dyDescent="0.35">
      <c r="A4914" s="21"/>
      <c r="B4914" t="s">
        <v>925</v>
      </c>
      <c r="C4914" t="s">
        <v>6</v>
      </c>
      <c r="D4914" t="s">
        <v>94</v>
      </c>
      <c r="F4914" s="1">
        <v>45804</v>
      </c>
      <c r="G4914" t="str">
        <f>IF(Table3[[#This Row],[Top Parent Account]]="",Table3[[#This Row],[Account Legal Name]],Table3[[#This Row],[Top Parent Account]])</f>
        <v>Grupo Atsa</v>
      </c>
      <c r="H4914" s="1"/>
    </row>
    <row r="4915" spans="1:8" x14ac:dyDescent="0.35">
      <c r="A4915" s="21"/>
      <c r="B4915" t="s">
        <v>121</v>
      </c>
      <c r="C4915" t="s">
        <v>6</v>
      </c>
      <c r="D4915" t="s">
        <v>805</v>
      </c>
      <c r="F4915" s="1">
        <v>45804</v>
      </c>
      <c r="G4915" t="str">
        <f>IF(Table3[[#This Row],[Top Parent Account]]="",Table3[[#This Row],[Account Legal Name]],Table3[[#This Row],[Top Parent Account]])</f>
        <v>Embalajes Industriales del pino</v>
      </c>
      <c r="H4915" s="1"/>
    </row>
    <row r="4916" spans="1:8" x14ac:dyDescent="0.35">
      <c r="A4916" s="21"/>
      <c r="B4916" t="s">
        <v>121</v>
      </c>
      <c r="C4916" t="s">
        <v>6</v>
      </c>
      <c r="D4916" t="s">
        <v>1865</v>
      </c>
      <c r="F4916" s="1">
        <v>45804</v>
      </c>
      <c r="G4916" t="str">
        <f>IF(Table3[[#This Row],[Top Parent Account]]="",Table3[[#This Row],[Account Legal Name]],Table3[[#This Row],[Top Parent Account]])</f>
        <v>Ingenieros y Equipos Mecanicos</v>
      </c>
      <c r="H4916" s="1"/>
    </row>
    <row r="4917" spans="1:8" x14ac:dyDescent="0.35">
      <c r="A4917" s="21"/>
      <c r="B4917" t="s">
        <v>116</v>
      </c>
      <c r="C4917" t="s">
        <v>6</v>
      </c>
      <c r="D4917" t="s">
        <v>2250</v>
      </c>
      <c r="F4917" s="1">
        <v>45804</v>
      </c>
      <c r="G4917" t="str">
        <f>IF(Table3[[#This Row],[Top Parent Account]]="",Table3[[#This Row],[Account Legal Name]],Table3[[#This Row],[Top Parent Account]])</f>
        <v>Q-pumps</v>
      </c>
      <c r="H4917" s="1"/>
    </row>
    <row r="4918" spans="1:8" x14ac:dyDescent="0.35">
      <c r="A4918" s="21"/>
      <c r="B4918" t="s">
        <v>1006</v>
      </c>
      <c r="C4918" t="s">
        <v>22</v>
      </c>
      <c r="D4918" t="s">
        <v>2363</v>
      </c>
      <c r="F4918" s="1">
        <v>45804</v>
      </c>
      <c r="G4918" t="str">
        <f>IF(Table3[[#This Row],[Top Parent Account]]="",Table3[[#This Row],[Account Legal Name]],Table3[[#This Row],[Top Parent Account]])</f>
        <v>Lácteos Gama</v>
      </c>
      <c r="H4918" s="1"/>
    </row>
    <row r="4919" spans="1:8" x14ac:dyDescent="0.35">
      <c r="A4919" s="21"/>
      <c r="B4919" t="s">
        <v>1511</v>
      </c>
      <c r="C4919" t="s">
        <v>6</v>
      </c>
      <c r="D4919" t="s">
        <v>1913</v>
      </c>
      <c r="F4919" s="1">
        <v>45804</v>
      </c>
      <c r="G4919" t="str">
        <f>IF(Table3[[#This Row],[Top Parent Account]]="",Table3[[#This Row],[Account Legal Name]],Table3[[#This Row],[Top Parent Account]])</f>
        <v>SALERI MEXICO</v>
      </c>
      <c r="H4919" s="1"/>
    </row>
    <row r="4920" spans="1:8" x14ac:dyDescent="0.35">
      <c r="A4920" s="21"/>
      <c r="B4920" t="s">
        <v>1643</v>
      </c>
      <c r="C4920" t="s">
        <v>6</v>
      </c>
      <c r="D4920" t="s">
        <v>458</v>
      </c>
      <c r="F4920" s="1">
        <v>45804</v>
      </c>
      <c r="G4920" t="str">
        <f>IF(Table3[[#This Row],[Top Parent Account]]="",Table3[[#This Row],[Account Legal Name]],Table3[[#This Row],[Top Parent Account]])</f>
        <v>Plastirey</v>
      </c>
      <c r="H4920" s="1"/>
    </row>
    <row r="4921" spans="1:8" x14ac:dyDescent="0.35">
      <c r="A4921" s="21"/>
      <c r="B4921" t="s">
        <v>1006</v>
      </c>
      <c r="C4921" t="s">
        <v>22</v>
      </c>
      <c r="D4921" t="s">
        <v>2364</v>
      </c>
      <c r="F4921" s="1">
        <v>45804</v>
      </c>
      <c r="G4921" t="str">
        <f>IF(Table3[[#This Row],[Top Parent Account]]="",Table3[[#This Row],[Account Legal Name]],Table3[[#This Row],[Top Parent Account]])</f>
        <v>LACTEOS EL ANGEL</v>
      </c>
      <c r="H4921" s="1"/>
    </row>
    <row r="4922" spans="1:8" x14ac:dyDescent="0.35">
      <c r="A4922" s="21"/>
      <c r="B4922" t="s">
        <v>18</v>
      </c>
      <c r="C4922" t="s">
        <v>6</v>
      </c>
      <c r="D4922" t="s">
        <v>2251</v>
      </c>
      <c r="F4922" s="1">
        <v>45804</v>
      </c>
      <c r="G4922" t="str">
        <f>IF(Table3[[#This Row],[Top Parent Account]]="",Table3[[#This Row],[Account Legal Name]],Table3[[#This Row],[Top Parent Account]])</f>
        <v>Bingham de México</v>
      </c>
      <c r="H4922" s="1"/>
    </row>
    <row r="4923" spans="1:8" x14ac:dyDescent="0.35">
      <c r="A4923" s="21"/>
      <c r="B4923" t="s">
        <v>1511</v>
      </c>
      <c r="C4923" t="s">
        <v>22</v>
      </c>
      <c r="D4923" t="s">
        <v>1895</v>
      </c>
      <c r="F4923" s="1">
        <v>45804</v>
      </c>
      <c r="G4923" t="str">
        <f>IF(Table3[[#This Row],[Top Parent Account]]="",Table3[[#This Row],[Account Legal Name]],Table3[[#This Row],[Top Parent Account]])</f>
        <v>Casa Rivero</v>
      </c>
      <c r="H4923" s="1"/>
    </row>
    <row r="4924" spans="1:8" x14ac:dyDescent="0.35">
      <c r="A4924" s="21"/>
      <c r="B4924" t="s">
        <v>280</v>
      </c>
      <c r="C4924" t="s">
        <v>6</v>
      </c>
      <c r="D4924" t="s">
        <v>2252</v>
      </c>
      <c r="F4924" s="1">
        <v>45804</v>
      </c>
      <c r="G4924" t="str">
        <f>IF(Table3[[#This Row],[Top Parent Account]]="",Table3[[#This Row],[Account Legal Name]],Table3[[#This Row],[Top Parent Account]])</f>
        <v>Embutidos La Chicharronera</v>
      </c>
      <c r="H4924" s="1"/>
    </row>
    <row r="4925" spans="1:8" x14ac:dyDescent="0.35">
      <c r="A4925" s="21"/>
      <c r="B4925" t="s">
        <v>56</v>
      </c>
      <c r="C4925" t="s">
        <v>6</v>
      </c>
      <c r="D4925" t="s">
        <v>452</v>
      </c>
      <c r="F4925" s="1">
        <v>45804</v>
      </c>
      <c r="G4925" t="str">
        <f>IF(Table3[[#This Row],[Top Parent Account]]="",Table3[[#This Row],[Account Legal Name]],Table3[[#This Row],[Top Parent Account]])</f>
        <v>Tiendas Tres B</v>
      </c>
      <c r="H4925" s="1"/>
    </row>
    <row r="4926" spans="1:8" x14ac:dyDescent="0.35">
      <c r="A4926" s="21"/>
      <c r="B4926" t="s">
        <v>14</v>
      </c>
      <c r="C4926" t="s">
        <v>6</v>
      </c>
      <c r="D4926" t="s">
        <v>736</v>
      </c>
      <c r="E4926" t="s">
        <v>724</v>
      </c>
      <c r="F4926" s="1">
        <v>45804</v>
      </c>
      <c r="G4926" t="str">
        <f>IF(Table3[[#This Row],[Top Parent Account]]="",Table3[[#This Row],[Account Legal Name]],Table3[[#This Row],[Top Parent Account]])</f>
        <v>Berries Paradise</v>
      </c>
      <c r="H4926" s="1"/>
    </row>
    <row r="4927" spans="1:8" x14ac:dyDescent="0.35">
      <c r="A4927" s="21"/>
      <c r="B4927" t="s">
        <v>88</v>
      </c>
      <c r="C4927" t="s">
        <v>6</v>
      </c>
      <c r="D4927" t="s">
        <v>2254</v>
      </c>
      <c r="F4927" s="1">
        <v>45804</v>
      </c>
      <c r="G4927" t="str">
        <f>IF(Table3[[#This Row],[Top Parent Account]]="",Table3[[#This Row],[Account Legal Name]],Table3[[#This Row],[Top Parent Account]])</f>
        <v>Comercializadora Afzet</v>
      </c>
      <c r="H4927" s="1"/>
    </row>
    <row r="4928" spans="1:8" x14ac:dyDescent="0.35">
      <c r="A4928" s="21"/>
      <c r="B4928" t="s">
        <v>970</v>
      </c>
      <c r="C4928" t="s">
        <v>6</v>
      </c>
      <c r="D4928" t="s">
        <v>2253</v>
      </c>
      <c r="F4928" s="1">
        <v>45804</v>
      </c>
      <c r="G4928" t="str">
        <f>IF(Table3[[#This Row],[Top Parent Account]]="",Table3[[#This Row],[Account Legal Name]],Table3[[#This Row],[Top Parent Account]])</f>
        <v>CIALTIA</v>
      </c>
      <c r="H4928" s="1"/>
    </row>
    <row r="4929" spans="1:8" x14ac:dyDescent="0.35">
      <c r="A4929" s="21"/>
      <c r="B4929" t="s">
        <v>14</v>
      </c>
      <c r="C4929" t="s">
        <v>6</v>
      </c>
      <c r="D4929" t="s">
        <v>724</v>
      </c>
      <c r="F4929" s="1">
        <v>45804</v>
      </c>
      <c r="G4929" t="str">
        <f>IF(Table3[[#This Row],[Top Parent Account]]="",Table3[[#This Row],[Account Legal Name]],Table3[[#This Row],[Top Parent Account]])</f>
        <v>Berries Paradise</v>
      </c>
      <c r="H4929" s="1"/>
    </row>
    <row r="4930" spans="1:8" x14ac:dyDescent="0.35">
      <c r="A4930" s="21"/>
      <c r="B4930" t="s">
        <v>121</v>
      </c>
      <c r="C4930" t="s">
        <v>6</v>
      </c>
      <c r="D4930" t="s">
        <v>604</v>
      </c>
      <c r="F4930" s="1">
        <v>45804</v>
      </c>
      <c r="G4930" t="str">
        <f>IF(Table3[[#This Row],[Top Parent Account]]="",Table3[[#This Row],[Account Legal Name]],Table3[[#This Row],[Top Parent Account]])</f>
        <v>GRUPO AGC INTERNACIONAL</v>
      </c>
      <c r="H4930" s="1"/>
    </row>
    <row r="4931" spans="1:8" x14ac:dyDescent="0.35">
      <c r="A4931" s="21"/>
      <c r="B4931" t="s">
        <v>39</v>
      </c>
      <c r="C4931" t="s">
        <v>2255</v>
      </c>
      <c r="D4931" t="s">
        <v>1110</v>
      </c>
      <c r="E4931" t="s">
        <v>1024</v>
      </c>
      <c r="F4931" s="1">
        <v>45804</v>
      </c>
      <c r="G4931" t="str">
        <f>IF(Table3[[#This Row],[Top Parent Account]]="",Table3[[#This Row],[Account Legal Name]],Table3[[#This Row],[Top Parent Account]])</f>
        <v>Quimmco</v>
      </c>
      <c r="H4931" s="1"/>
    </row>
    <row r="4932" spans="1:8" x14ac:dyDescent="0.35">
      <c r="A4932" s="21"/>
      <c r="B4932" t="s">
        <v>121</v>
      </c>
      <c r="C4932" t="s">
        <v>6</v>
      </c>
      <c r="D4932" t="s">
        <v>2256</v>
      </c>
      <c r="F4932" s="1">
        <v>45804</v>
      </c>
      <c r="G4932" t="str">
        <f>IF(Table3[[#This Row],[Top Parent Account]]="",Table3[[#This Row],[Account Legal Name]],Table3[[#This Row],[Top Parent Account]])</f>
        <v>Tequila la piedra</v>
      </c>
      <c r="H4932" s="1"/>
    </row>
    <row r="4933" spans="1:8" x14ac:dyDescent="0.35">
      <c r="A4933" s="21"/>
      <c r="B4933" t="s">
        <v>38</v>
      </c>
      <c r="C4933" t="s">
        <v>6</v>
      </c>
      <c r="D4933" t="s">
        <v>2257</v>
      </c>
      <c r="E4933" t="s">
        <v>513</v>
      </c>
      <c r="F4933" s="1">
        <v>45803</v>
      </c>
      <c r="G4933" t="str">
        <f>IF(Table3[[#This Row],[Top Parent Account]]="",Table3[[#This Row],[Account Legal Name]],Table3[[#This Row],[Top Parent Account]])</f>
        <v>Oleofinos</v>
      </c>
      <c r="H4933" s="1"/>
    </row>
    <row r="4934" spans="1:8" x14ac:dyDescent="0.35">
      <c r="A4934" s="21"/>
      <c r="B4934" t="s">
        <v>989</v>
      </c>
      <c r="C4934" t="s">
        <v>6</v>
      </c>
      <c r="D4934" t="s">
        <v>2134</v>
      </c>
      <c r="F4934" s="1">
        <v>45803</v>
      </c>
      <c r="G4934" t="str">
        <f>IF(Table3[[#This Row],[Top Parent Account]]="",Table3[[#This Row],[Account Legal Name]],Table3[[#This Row],[Top Parent Account]])</f>
        <v>SINOBOOM</v>
      </c>
      <c r="H4934" s="1"/>
    </row>
    <row r="4935" spans="1:8" x14ac:dyDescent="0.35">
      <c r="A4935" s="21"/>
      <c r="B4935" t="s">
        <v>375</v>
      </c>
      <c r="C4935" t="s">
        <v>6</v>
      </c>
      <c r="D4935" t="s">
        <v>563</v>
      </c>
      <c r="F4935" s="1">
        <v>45803</v>
      </c>
      <c r="G4935" t="str">
        <f>IF(Table3[[#This Row],[Top Parent Account]]="",Table3[[#This Row],[Account Legal Name]],Table3[[#This Row],[Top Parent Account]])</f>
        <v>Integradora De Servicios De Transportación Xihutec</v>
      </c>
      <c r="H4935" s="1"/>
    </row>
    <row r="4936" spans="1:8" x14ac:dyDescent="0.35">
      <c r="A4936" s="21"/>
      <c r="B4936" t="s">
        <v>375</v>
      </c>
      <c r="C4936" t="s">
        <v>6</v>
      </c>
      <c r="D4936" t="s">
        <v>2258</v>
      </c>
      <c r="F4936" s="1">
        <v>45803</v>
      </c>
      <c r="G4936" t="str">
        <f>IF(Table3[[#This Row],[Top Parent Account]]="",Table3[[#This Row],[Account Legal Name]],Table3[[#This Row],[Top Parent Account]])</f>
        <v>FAST COLD</v>
      </c>
      <c r="H4936" s="1"/>
    </row>
    <row r="4937" spans="1:8" x14ac:dyDescent="0.35">
      <c r="A4937" s="21"/>
      <c r="B4937" t="s">
        <v>30</v>
      </c>
      <c r="C4937" t="s">
        <v>6</v>
      </c>
      <c r="D4937" t="s">
        <v>797</v>
      </c>
      <c r="F4937" s="1">
        <v>45803</v>
      </c>
      <c r="G4937" t="str">
        <f>IF(Table3[[#This Row],[Top Parent Account]]="",Table3[[#This Row],[Account Legal Name]],Table3[[#This Row],[Top Parent Account]])</f>
        <v>Chazki</v>
      </c>
      <c r="H4937" s="1"/>
    </row>
    <row r="4938" spans="1:8" x14ac:dyDescent="0.35">
      <c r="A4938" s="21"/>
      <c r="B4938" t="s">
        <v>1006</v>
      </c>
      <c r="C4938" t="s">
        <v>6</v>
      </c>
      <c r="D4938" t="s">
        <v>2141</v>
      </c>
      <c r="F4938" s="1">
        <v>45803</v>
      </c>
      <c r="G4938" t="str">
        <f>IF(Table3[[#This Row],[Top Parent Account]]="",Table3[[#This Row],[Account Legal Name]],Table3[[#This Row],[Top Parent Account]])</f>
        <v>Refacciones y Servicio Automotriz Denisse</v>
      </c>
      <c r="H4938" s="1"/>
    </row>
    <row r="4939" spans="1:8" x14ac:dyDescent="0.35">
      <c r="A4939" s="21"/>
      <c r="B4939" t="s">
        <v>739</v>
      </c>
      <c r="C4939" t="s">
        <v>6</v>
      </c>
      <c r="D4939" t="s">
        <v>304</v>
      </c>
      <c r="F4939" s="1">
        <v>45803</v>
      </c>
      <c r="G4939" t="str">
        <f>IF(Table3[[#This Row],[Top Parent Account]]="",Table3[[#This Row],[Account Legal Name]],Table3[[#This Row],[Top Parent Account]])</f>
        <v>Robert Bosch Gmbh</v>
      </c>
      <c r="H4939" s="1"/>
    </row>
    <row r="4940" spans="1:8" x14ac:dyDescent="0.35">
      <c r="A4940" s="21"/>
      <c r="B4940" t="s">
        <v>39</v>
      </c>
      <c r="C4940" t="s">
        <v>2259</v>
      </c>
      <c r="D4940" t="s">
        <v>2043</v>
      </c>
      <c r="F4940" s="1">
        <v>45803</v>
      </c>
      <c r="G4940" t="str">
        <f>IF(Table3[[#This Row],[Top Parent Account]]="",Table3[[#This Row],[Account Legal Name]],Table3[[#This Row],[Top Parent Account]])</f>
        <v>Mision 21</v>
      </c>
      <c r="H4940" s="1"/>
    </row>
    <row r="4941" spans="1:8" x14ac:dyDescent="0.35">
      <c r="A4941" s="21"/>
      <c r="B4941" t="s">
        <v>121</v>
      </c>
      <c r="C4941" t="s">
        <v>6</v>
      </c>
      <c r="D4941" t="s">
        <v>574</v>
      </c>
      <c r="F4941" s="1">
        <v>45803</v>
      </c>
      <c r="G4941" t="str">
        <f>IF(Table3[[#This Row],[Top Parent Account]]="",Table3[[#This Row],[Account Legal Name]],Table3[[#This Row],[Top Parent Account]])</f>
        <v>PROMAQUILA DE COCULA</v>
      </c>
      <c r="H4941" s="1"/>
    </row>
    <row r="4942" spans="1:8" x14ac:dyDescent="0.35">
      <c r="A4942" s="21"/>
      <c r="B4942" t="s">
        <v>21</v>
      </c>
      <c r="C4942" t="s">
        <v>6</v>
      </c>
      <c r="D4942" t="s">
        <v>2260</v>
      </c>
      <c r="F4942" s="1">
        <v>45803</v>
      </c>
      <c r="G4942" t="str">
        <f>IF(Table3[[#This Row],[Top Parent Account]]="",Table3[[#This Row],[Account Legal Name]],Table3[[#This Row],[Top Parent Account]])</f>
        <v>Galu Distribuciones</v>
      </c>
      <c r="H4942" s="1"/>
    </row>
    <row r="4943" spans="1:8" x14ac:dyDescent="0.35">
      <c r="A4943" s="21"/>
      <c r="B4943" t="s">
        <v>39</v>
      </c>
      <c r="C4943" t="s">
        <v>2261</v>
      </c>
      <c r="D4943" t="s">
        <v>525</v>
      </c>
      <c r="F4943" s="1">
        <v>45803</v>
      </c>
      <c r="G4943" t="str">
        <f>IF(Table3[[#This Row],[Top Parent Account]]="",Table3[[#This Row],[Account Legal Name]],Table3[[#This Row],[Top Parent Account]])</f>
        <v>Transportes Comandos Del Norte</v>
      </c>
      <c r="H4943" s="1"/>
    </row>
    <row r="4944" spans="1:8" x14ac:dyDescent="0.35">
      <c r="A4944" s="21"/>
      <c r="B4944" t="s">
        <v>14</v>
      </c>
      <c r="C4944" t="s">
        <v>6</v>
      </c>
      <c r="D4944" t="s">
        <v>2285</v>
      </c>
      <c r="F4944" s="1">
        <v>45803</v>
      </c>
      <c r="G4944" t="str">
        <f>IF(Table3[[#This Row],[Top Parent Account]]="",Table3[[#This Row],[Account Legal Name]],Table3[[#This Row],[Top Parent Account]])</f>
        <v>Maquiladora Gráfica Mexicana</v>
      </c>
      <c r="H4944" s="1"/>
    </row>
    <row r="4945" spans="1:8" x14ac:dyDescent="0.35">
      <c r="A4945" s="21"/>
      <c r="B4945" t="s">
        <v>1511</v>
      </c>
      <c r="C4945" t="s">
        <v>22</v>
      </c>
      <c r="D4945" t="s">
        <v>1775</v>
      </c>
      <c r="F4945" s="1">
        <v>45803</v>
      </c>
      <c r="G4945" t="str">
        <f>IF(Table3[[#This Row],[Top Parent Account]]="",Table3[[#This Row],[Account Legal Name]],Table3[[#This Row],[Top Parent Account]])</f>
        <v>Transportes De Los Santos</v>
      </c>
      <c r="H4945" s="1"/>
    </row>
    <row r="4946" spans="1:8" x14ac:dyDescent="0.35">
      <c r="A4946" s="21"/>
      <c r="B4946" t="s">
        <v>77</v>
      </c>
      <c r="C4946" t="s">
        <v>6</v>
      </c>
      <c r="D4946" t="s">
        <v>2262</v>
      </c>
      <c r="F4946" s="1">
        <v>45803</v>
      </c>
      <c r="G4946" t="str">
        <f>IF(Table3[[#This Row],[Top Parent Account]]="",Table3[[#This Row],[Account Legal Name]],Table3[[#This Row],[Top Parent Account]])</f>
        <v>Glezco Supply</v>
      </c>
      <c r="H4946" s="1"/>
    </row>
    <row r="4947" spans="1:8" x14ac:dyDescent="0.35">
      <c r="A4947" s="21"/>
      <c r="B4947" t="s">
        <v>820</v>
      </c>
      <c r="C4947" t="s">
        <v>6</v>
      </c>
      <c r="D4947" t="s">
        <v>319</v>
      </c>
      <c r="F4947" s="1">
        <v>45803</v>
      </c>
      <c r="G4947" t="str">
        <f>IF(Table3[[#This Row],[Top Parent Account]]="",Table3[[#This Row],[Account Legal Name]],Table3[[#This Row],[Top Parent Account]])</f>
        <v>Aspid</v>
      </c>
      <c r="H4947" s="1"/>
    </row>
    <row r="4948" spans="1:8" x14ac:dyDescent="0.35">
      <c r="A4948" s="21"/>
      <c r="B4948" t="s">
        <v>207</v>
      </c>
      <c r="C4948" t="s">
        <v>6</v>
      </c>
      <c r="D4948" t="s">
        <v>2263</v>
      </c>
      <c r="F4948" s="1">
        <v>45803</v>
      </c>
      <c r="G4948" t="str">
        <f>IF(Table3[[#This Row],[Top Parent Account]]="",Table3[[#This Row],[Account Legal Name]],Table3[[#This Row],[Top Parent Account]])</f>
        <v>La Otra Post, Eventos y Video</v>
      </c>
      <c r="H4948" s="1"/>
    </row>
    <row r="4949" spans="1:8" x14ac:dyDescent="0.35">
      <c r="A4949" s="21"/>
      <c r="B4949" t="s">
        <v>1511</v>
      </c>
      <c r="C4949" t="s">
        <v>22</v>
      </c>
      <c r="D4949" t="s">
        <v>2121</v>
      </c>
      <c r="F4949" s="1">
        <v>45803</v>
      </c>
      <c r="G4949" t="str">
        <f>IF(Table3[[#This Row],[Top Parent Account]]="",Table3[[#This Row],[Account Legal Name]],Table3[[#This Row],[Top Parent Account]])</f>
        <v>Grupo Inmobiliario Arrendador</v>
      </c>
      <c r="H4949" s="1"/>
    </row>
    <row r="4950" spans="1:8" x14ac:dyDescent="0.35">
      <c r="A4950" s="21"/>
      <c r="B4950" t="s">
        <v>1643</v>
      </c>
      <c r="C4950" t="s">
        <v>6</v>
      </c>
      <c r="D4950" t="s">
        <v>1647</v>
      </c>
      <c r="F4950" s="1">
        <v>45803</v>
      </c>
      <c r="G4950" t="str">
        <f>IF(Table3[[#This Row],[Top Parent Account]]="",Table3[[#This Row],[Account Legal Name]],Table3[[#This Row],[Top Parent Account]])</f>
        <v>Fundicion Aguilas</v>
      </c>
      <c r="H4950" s="1"/>
    </row>
    <row r="4951" spans="1:8" x14ac:dyDescent="0.35">
      <c r="A4951" s="21"/>
      <c r="B4951" t="s">
        <v>8</v>
      </c>
      <c r="C4951" t="s">
        <v>6</v>
      </c>
      <c r="D4951" t="s">
        <v>2264</v>
      </c>
      <c r="F4951" s="1">
        <v>45803</v>
      </c>
      <c r="G4951" t="str">
        <f>IF(Table3[[#This Row],[Top Parent Account]]="",Table3[[#This Row],[Account Legal Name]],Table3[[#This Row],[Top Parent Account]])</f>
        <v>Traxys Mexico</v>
      </c>
      <c r="H4951" s="1"/>
    </row>
    <row r="4952" spans="1:8" x14ac:dyDescent="0.35">
      <c r="A4952" s="21"/>
      <c r="B4952" t="s">
        <v>77</v>
      </c>
      <c r="C4952" t="s">
        <v>6</v>
      </c>
      <c r="D4952" t="s">
        <v>2265</v>
      </c>
      <c r="F4952" s="1">
        <v>45803</v>
      </c>
      <c r="G4952" t="str">
        <f>IF(Table3[[#This Row],[Top Parent Account]]="",Table3[[#This Row],[Account Legal Name]],Table3[[#This Row],[Top Parent Account]])</f>
        <v>Hacienda la Boquilla</v>
      </c>
      <c r="H4952" s="1"/>
    </row>
    <row r="4953" spans="1:8" x14ac:dyDescent="0.35">
      <c r="A4953" s="21"/>
      <c r="B4953" t="s">
        <v>88</v>
      </c>
      <c r="C4953" t="s">
        <v>6</v>
      </c>
      <c r="D4953" t="s">
        <v>2205</v>
      </c>
      <c r="F4953" s="1">
        <v>45800</v>
      </c>
      <c r="G4953" t="str">
        <f>IF(Table3[[#This Row],[Top Parent Account]]="",Table3[[#This Row],[Account Legal Name]],Table3[[#This Row],[Top Parent Account]])</f>
        <v>BLOQUERA STAR DE BC</v>
      </c>
      <c r="H4953" s="1"/>
    </row>
    <row r="4954" spans="1:8" x14ac:dyDescent="0.35">
      <c r="A4954" s="21"/>
      <c r="B4954" t="s">
        <v>1899</v>
      </c>
      <c r="C4954" t="s">
        <v>6</v>
      </c>
      <c r="D4954" t="s">
        <v>2266</v>
      </c>
      <c r="F4954" s="1">
        <v>45800</v>
      </c>
      <c r="G4954" t="str">
        <f>IF(Table3[[#This Row],[Top Parent Account]]="",Table3[[#This Row],[Account Legal Name]],Table3[[#This Row],[Top Parent Account]])</f>
        <v>Industrias Dinamek</v>
      </c>
      <c r="H4954" s="1"/>
    </row>
    <row r="4955" spans="1:8" x14ac:dyDescent="0.35">
      <c r="A4955" s="21"/>
      <c r="B4955" t="s">
        <v>172</v>
      </c>
      <c r="C4955" t="s">
        <v>6</v>
      </c>
      <c r="D4955" t="s">
        <v>2267</v>
      </c>
      <c r="F4955" s="1">
        <v>45800</v>
      </c>
      <c r="G4955" t="str">
        <f>IF(Table3[[#This Row],[Top Parent Account]]="",Table3[[#This Row],[Account Legal Name]],Table3[[#This Row],[Top Parent Account]])</f>
        <v>Scatel</v>
      </c>
      <c r="H4955" s="1"/>
    </row>
    <row r="4956" spans="1:8" x14ac:dyDescent="0.35">
      <c r="A4956" s="21"/>
      <c r="B4956" t="s">
        <v>28</v>
      </c>
      <c r="C4956" t="s">
        <v>6</v>
      </c>
      <c r="D4956" t="s">
        <v>2742</v>
      </c>
      <c r="F4956" s="1">
        <v>45800</v>
      </c>
      <c r="G4956" t="str">
        <f>IF(Table3[[#This Row],[Top Parent Account]]="",Table3[[#This Row],[Account Legal Name]],Table3[[#This Row],[Top Parent Account]])</f>
        <v>IPSE</v>
      </c>
      <c r="H4956" s="1"/>
    </row>
    <row r="4957" spans="1:8" x14ac:dyDescent="0.35">
      <c r="A4957" s="21"/>
      <c r="B4957" t="s">
        <v>207</v>
      </c>
      <c r="C4957" t="s">
        <v>6</v>
      </c>
      <c r="D4957" t="s">
        <v>2206</v>
      </c>
      <c r="F4957" s="1">
        <v>45800</v>
      </c>
      <c r="G4957" t="str">
        <f>IF(Table3[[#This Row],[Top Parent Account]]="",Table3[[#This Row],[Account Legal Name]],Table3[[#This Row],[Top Parent Account]])</f>
        <v>Hule y Silicon</v>
      </c>
      <c r="H4957" s="1"/>
    </row>
    <row r="4958" spans="1:8" x14ac:dyDescent="0.35">
      <c r="A4958" s="21"/>
      <c r="B4958" t="s">
        <v>121</v>
      </c>
      <c r="C4958" t="s">
        <v>6</v>
      </c>
      <c r="D4958" t="s">
        <v>2207</v>
      </c>
      <c r="F4958" s="1">
        <v>45800</v>
      </c>
      <c r="G4958" t="str">
        <f>IF(Table3[[#This Row],[Top Parent Account]]="",Table3[[#This Row],[Account Legal Name]],Table3[[#This Row],[Top Parent Account]])</f>
        <v>Tequila Herradura</v>
      </c>
      <c r="H4958" s="1"/>
    </row>
    <row r="4959" spans="1:8" x14ac:dyDescent="0.35">
      <c r="A4959" s="21"/>
      <c r="B4959" t="s">
        <v>207</v>
      </c>
      <c r="C4959" t="s">
        <v>6</v>
      </c>
      <c r="D4959" t="s">
        <v>2208</v>
      </c>
      <c r="F4959" s="1">
        <v>45800</v>
      </c>
      <c r="G4959" t="str">
        <f>IF(Table3[[#This Row],[Top Parent Account]]="",Table3[[#This Row],[Account Legal Name]],Table3[[#This Row],[Top Parent Account]])</f>
        <v>Carnicería La Alianza</v>
      </c>
      <c r="H4959" s="1"/>
    </row>
    <row r="4960" spans="1:8" x14ac:dyDescent="0.35">
      <c r="A4960" s="21"/>
      <c r="B4960" t="s">
        <v>28</v>
      </c>
      <c r="C4960" t="s">
        <v>6</v>
      </c>
      <c r="D4960" t="s">
        <v>2209</v>
      </c>
      <c r="F4960" s="1">
        <v>45800</v>
      </c>
      <c r="G4960" t="str">
        <f>IF(Table3[[#This Row],[Top Parent Account]]="",Table3[[#This Row],[Account Legal Name]],Table3[[#This Row],[Top Parent Account]])</f>
        <v>GOCO PAVIMENTOS Y TERRACERIAS</v>
      </c>
      <c r="H4960" s="1"/>
    </row>
    <row r="4961" spans="1:8" x14ac:dyDescent="0.35">
      <c r="A4961" s="21"/>
      <c r="B4961" t="s">
        <v>10</v>
      </c>
      <c r="C4961" t="s">
        <v>6</v>
      </c>
      <c r="D4961" t="s">
        <v>451</v>
      </c>
      <c r="F4961" s="1">
        <v>45800</v>
      </c>
      <c r="G4961" t="str">
        <f>IF(Table3[[#This Row],[Top Parent Account]]="",Table3[[#This Row],[Account Legal Name]],Table3[[#This Row],[Top Parent Account]])</f>
        <v>Distribuidora y Comercializadora Dcc</v>
      </c>
      <c r="H4961" s="1"/>
    </row>
    <row r="4962" spans="1:8" x14ac:dyDescent="0.35">
      <c r="A4962" s="21"/>
      <c r="B4962" t="s">
        <v>21</v>
      </c>
      <c r="C4962" t="s">
        <v>6</v>
      </c>
      <c r="D4962" t="s">
        <v>2210</v>
      </c>
      <c r="F4962" s="1">
        <v>45800</v>
      </c>
      <c r="G4962" t="str">
        <f>IF(Table3[[#This Row],[Top Parent Account]]="",Table3[[#This Row],[Account Legal Name]],Table3[[#This Row],[Top Parent Account]])</f>
        <v>Sociedad de Productores de Guanabana de la Cruz</v>
      </c>
      <c r="H4962" s="1"/>
    </row>
    <row r="4963" spans="1:8" x14ac:dyDescent="0.35">
      <c r="A4963" s="21"/>
      <c r="B4963" t="s">
        <v>8</v>
      </c>
      <c r="C4963" t="s">
        <v>6</v>
      </c>
      <c r="D4963" t="s">
        <v>2212</v>
      </c>
      <c r="E4963" t="s">
        <v>1218</v>
      </c>
      <c r="F4963" s="1">
        <v>45800</v>
      </c>
      <c r="G4963" t="str">
        <f>IF(Table3[[#This Row],[Top Parent Account]]="",Table3[[#This Row],[Account Legal Name]],Table3[[#This Row],[Top Parent Account]])</f>
        <v>Grupo Vazol (Grupo Empresarial Angeles)</v>
      </c>
      <c r="H4963" s="1"/>
    </row>
    <row r="4964" spans="1:8" x14ac:dyDescent="0.35">
      <c r="A4964" s="21"/>
      <c r="B4964" t="s">
        <v>29</v>
      </c>
      <c r="C4964" t="s">
        <v>6</v>
      </c>
      <c r="D4964" t="s">
        <v>2211</v>
      </c>
      <c r="F4964" s="1">
        <v>45800</v>
      </c>
      <c r="G4964" t="str">
        <f>IF(Table3[[#This Row],[Top Parent Account]]="",Table3[[#This Row],[Account Legal Name]],Table3[[#This Row],[Top Parent Account]])</f>
        <v>Cardboard and Boxes de México</v>
      </c>
      <c r="H4964" s="1"/>
    </row>
    <row r="4965" spans="1:8" x14ac:dyDescent="0.35">
      <c r="A4965" s="21"/>
      <c r="B4965" t="s">
        <v>932</v>
      </c>
      <c r="C4965" t="s">
        <v>1693</v>
      </c>
      <c r="D4965" t="s">
        <v>2268</v>
      </c>
      <c r="F4965" s="1">
        <v>45800</v>
      </c>
      <c r="G4965" t="str">
        <f>IF(Table3[[#This Row],[Top Parent Account]]="",Table3[[#This Row],[Account Legal Name]],Table3[[#This Row],[Top Parent Account]])</f>
        <v>Tuto Power</v>
      </c>
      <c r="H4965" s="1"/>
    </row>
    <row r="4966" spans="1:8" x14ac:dyDescent="0.35">
      <c r="A4966" s="21"/>
      <c r="B4966" t="s">
        <v>739</v>
      </c>
      <c r="C4966" t="s">
        <v>6</v>
      </c>
      <c r="D4966" t="s">
        <v>537</v>
      </c>
      <c r="F4966" s="1">
        <v>45800</v>
      </c>
      <c r="G4966" t="str">
        <f>IF(Table3[[#This Row],[Top Parent Account]]="",Table3[[#This Row],[Account Legal Name]],Table3[[#This Row],[Top Parent Account]])</f>
        <v>Industrias Vinícolas Pedro Domeq</v>
      </c>
      <c r="H4966" s="1"/>
    </row>
    <row r="4967" spans="1:8" x14ac:dyDescent="0.35">
      <c r="A4967" s="21"/>
      <c r="B4967" t="s">
        <v>375</v>
      </c>
      <c r="C4967" t="s">
        <v>6</v>
      </c>
      <c r="D4967" t="s">
        <v>2213</v>
      </c>
      <c r="E4967" t="s">
        <v>2214</v>
      </c>
      <c r="F4967" s="1">
        <v>45800</v>
      </c>
      <c r="G4967" t="str">
        <f>IF(Table3[[#This Row],[Top Parent Account]]="",Table3[[#This Row],[Account Legal Name]],Table3[[#This Row],[Top Parent Account]])</f>
        <v>Controls &amp; Business Services</v>
      </c>
      <c r="H4967" s="1"/>
    </row>
    <row r="4968" spans="1:8" x14ac:dyDescent="0.35">
      <c r="A4968" s="21"/>
      <c r="B4968" t="s">
        <v>38</v>
      </c>
      <c r="C4968" t="s">
        <v>6</v>
      </c>
      <c r="D4968" t="s">
        <v>748</v>
      </c>
      <c r="F4968" s="1">
        <v>45800</v>
      </c>
      <c r="G4968" t="str">
        <f>IF(Table3[[#This Row],[Top Parent Account]]="",Table3[[#This Row],[Account Legal Name]],Table3[[#This Row],[Top Parent Account]])</f>
        <v>Pastelerías Neufeld</v>
      </c>
      <c r="H4968" s="1"/>
    </row>
    <row r="4969" spans="1:8" x14ac:dyDescent="0.35">
      <c r="A4969" s="21"/>
      <c r="B4969" t="s">
        <v>1131</v>
      </c>
      <c r="C4969" t="s">
        <v>6</v>
      </c>
      <c r="D4969" t="s">
        <v>959</v>
      </c>
      <c r="F4969" s="1">
        <v>45800</v>
      </c>
      <c r="G4969" t="str">
        <f>IF(Table3[[#This Row],[Top Parent Account]]="",Table3[[#This Row],[Account Legal Name]],Table3[[#This Row],[Top Parent Account]])</f>
        <v>Supollo</v>
      </c>
      <c r="H4969" s="1"/>
    </row>
    <row r="4970" spans="1:8" x14ac:dyDescent="0.35">
      <c r="A4970" s="21"/>
      <c r="B4970" t="s">
        <v>1511</v>
      </c>
      <c r="C4970" t="s">
        <v>22</v>
      </c>
      <c r="D4970" t="s">
        <v>1249</v>
      </c>
      <c r="F4970" s="1">
        <v>45800</v>
      </c>
      <c r="G4970" t="str">
        <f>IF(Table3[[#This Row],[Top Parent Account]]="",Table3[[#This Row],[Account Legal Name]],Table3[[#This Row],[Top Parent Account]])</f>
        <v>Grupo Regional Santa Fé</v>
      </c>
      <c r="H4970" s="1"/>
    </row>
    <row r="4971" spans="1:8" x14ac:dyDescent="0.35">
      <c r="A4971" s="21"/>
      <c r="B4971" t="s">
        <v>18</v>
      </c>
      <c r="C4971" t="s">
        <v>6</v>
      </c>
      <c r="D4971" t="s">
        <v>262</v>
      </c>
      <c r="F4971" s="1">
        <v>45799</v>
      </c>
      <c r="G4971" t="str">
        <f>IF(Table3[[#This Row],[Top Parent Account]]="",Table3[[#This Row],[Account Legal Name]],Table3[[#This Row],[Top Parent Account]])</f>
        <v>Grupo Reco</v>
      </c>
      <c r="H4971" s="1"/>
    </row>
    <row r="4972" spans="1:8" x14ac:dyDescent="0.35">
      <c r="A4972" s="21"/>
      <c r="B4972" t="s">
        <v>38</v>
      </c>
      <c r="C4972" t="s">
        <v>6</v>
      </c>
      <c r="D4972" t="s">
        <v>478</v>
      </c>
      <c r="F4972" s="1">
        <v>45799</v>
      </c>
      <c r="G4972" t="str">
        <f>IF(Table3[[#This Row],[Top Parent Account]]="",Table3[[#This Row],[Account Legal Name]],Table3[[#This Row],[Top Parent Account]])</f>
        <v>Industrial Papelera San Luis</v>
      </c>
      <c r="H4972" s="1"/>
    </row>
    <row r="4973" spans="1:8" x14ac:dyDescent="0.35">
      <c r="A4973" s="21"/>
      <c r="B4973" t="s">
        <v>739</v>
      </c>
      <c r="C4973" t="s">
        <v>6</v>
      </c>
      <c r="D4973" t="s">
        <v>2145</v>
      </c>
      <c r="E4973" t="s">
        <v>304</v>
      </c>
      <c r="F4973" s="1">
        <v>45799</v>
      </c>
      <c r="G4973" t="str">
        <f>IF(Table3[[#This Row],[Top Parent Account]]="",Table3[[#This Row],[Account Legal Name]],Table3[[#This Row],[Top Parent Account]])</f>
        <v>Robert Bosch Gmbh</v>
      </c>
      <c r="H4973" s="1"/>
    </row>
    <row r="4974" spans="1:8" x14ac:dyDescent="0.35">
      <c r="A4974" s="21"/>
      <c r="B4974" t="s">
        <v>27</v>
      </c>
      <c r="C4974" t="s">
        <v>49</v>
      </c>
      <c r="D4974" t="s">
        <v>2144</v>
      </c>
      <c r="F4974" s="1">
        <v>45799</v>
      </c>
      <c r="G4974" t="str">
        <f>IF(Table3[[#This Row],[Top Parent Account]]="",Table3[[#This Row],[Account Legal Name]],Table3[[#This Row],[Top Parent Account]])</f>
        <v>Central de Productos Químicos</v>
      </c>
      <c r="H4974" s="1"/>
    </row>
    <row r="4975" spans="1:8" x14ac:dyDescent="0.35">
      <c r="A4975" s="21"/>
      <c r="B4975" t="s">
        <v>27</v>
      </c>
      <c r="C4975" t="s">
        <v>22</v>
      </c>
      <c r="D4975" t="s">
        <v>1288</v>
      </c>
      <c r="F4975" s="1">
        <v>45799</v>
      </c>
      <c r="G4975" t="str">
        <f>IF(Table3[[#This Row],[Top Parent Account]]="",Table3[[#This Row],[Account Legal Name]],Table3[[#This Row],[Top Parent Account]])</f>
        <v>Bachoco</v>
      </c>
      <c r="H4975" s="1"/>
    </row>
    <row r="4976" spans="1:8" x14ac:dyDescent="0.35">
      <c r="A4976" s="21"/>
      <c r="B4976" t="s">
        <v>989</v>
      </c>
      <c r="C4976" t="s">
        <v>6</v>
      </c>
      <c r="D4976" t="s">
        <v>1123</v>
      </c>
      <c r="F4976" s="1">
        <v>45799</v>
      </c>
      <c r="G4976" t="str">
        <f>IF(Table3[[#This Row],[Top Parent Account]]="",Table3[[#This Row],[Account Legal Name]],Table3[[#This Row],[Top Parent Account]])</f>
        <v>Exel Servigrafica</v>
      </c>
      <c r="H4976" s="1"/>
    </row>
    <row r="4977" spans="1:8" x14ac:dyDescent="0.35">
      <c r="A4977" s="21"/>
      <c r="B4977" t="s">
        <v>23</v>
      </c>
      <c r="C4977" t="s">
        <v>6</v>
      </c>
      <c r="D4977" t="s">
        <v>2146</v>
      </c>
      <c r="F4977" s="1">
        <v>45799</v>
      </c>
      <c r="G4977" t="str">
        <f>IF(Table3[[#This Row],[Top Parent Account]]="",Table3[[#This Row],[Account Legal Name]],Table3[[#This Row],[Top Parent Account]])</f>
        <v>Drugmex Mexico</v>
      </c>
      <c r="H4977" s="1"/>
    </row>
    <row r="4978" spans="1:8" x14ac:dyDescent="0.35">
      <c r="A4978" s="21"/>
      <c r="B4978" t="s">
        <v>1031</v>
      </c>
      <c r="C4978" t="s">
        <v>6</v>
      </c>
      <c r="D4978" t="s">
        <v>2142</v>
      </c>
      <c r="F4978" s="1">
        <v>45799</v>
      </c>
      <c r="G4978" t="str">
        <f>IF(Table3[[#This Row],[Top Parent Account]]="",Table3[[#This Row],[Account Legal Name]],Table3[[#This Row],[Top Parent Account]])</f>
        <v>F.G. Electrical Representatives</v>
      </c>
      <c r="H4978" s="1"/>
    </row>
    <row r="4979" spans="1:8" x14ac:dyDescent="0.35">
      <c r="A4979" s="21"/>
      <c r="B4979" t="s">
        <v>10</v>
      </c>
      <c r="C4979" t="s">
        <v>6</v>
      </c>
      <c r="D4979" t="s">
        <v>2147</v>
      </c>
      <c r="F4979" s="1">
        <v>45799</v>
      </c>
      <c r="G4979" t="str">
        <f>IF(Table3[[#This Row],[Top Parent Account]]="",Table3[[#This Row],[Account Legal Name]],Table3[[#This Row],[Top Parent Account]])</f>
        <v>Citrojugo</v>
      </c>
      <c r="H4979" s="1"/>
    </row>
    <row r="4980" spans="1:8" x14ac:dyDescent="0.35">
      <c r="A4980" s="21"/>
      <c r="B4980" t="s">
        <v>23</v>
      </c>
      <c r="C4980" t="s">
        <v>6</v>
      </c>
      <c r="D4980" t="s">
        <v>559</v>
      </c>
      <c r="F4980" s="1">
        <v>45799</v>
      </c>
      <c r="G4980" t="str">
        <f>IF(Table3[[#This Row],[Top Parent Account]]="",Table3[[#This Row],[Account Legal Name]],Table3[[#This Row],[Top Parent Account]])</f>
        <v>DIGICOPIAS</v>
      </c>
      <c r="H4980" s="1"/>
    </row>
    <row r="4981" spans="1:8" x14ac:dyDescent="0.35">
      <c r="A4981" s="21"/>
      <c r="B4981" t="s">
        <v>14</v>
      </c>
      <c r="C4981" t="s">
        <v>6</v>
      </c>
      <c r="D4981" t="s">
        <v>1332</v>
      </c>
      <c r="F4981" s="1">
        <v>45799</v>
      </c>
      <c r="G4981" t="str">
        <f>IF(Table3[[#This Row],[Top Parent Account]]="",Table3[[#This Row],[Account Legal Name]],Table3[[#This Row],[Top Parent Account]])</f>
        <v>Mecsa Steel</v>
      </c>
      <c r="H4981" s="1"/>
    </row>
    <row r="4982" spans="1:8" x14ac:dyDescent="0.35">
      <c r="A4982" s="21"/>
      <c r="B4982" t="s">
        <v>14</v>
      </c>
      <c r="C4982" t="s">
        <v>6</v>
      </c>
      <c r="D4982" t="s">
        <v>2215</v>
      </c>
      <c r="F4982" s="1">
        <v>45799</v>
      </c>
      <c r="G4982" t="str">
        <f>IF(Table3[[#This Row],[Top Parent Account]]="",Table3[[#This Row],[Account Legal Name]],Table3[[#This Row],[Top Parent Account]])</f>
        <v>Schmidt Schuler &amp; Herrick</v>
      </c>
      <c r="H4982" s="1"/>
    </row>
    <row r="4983" spans="1:8" x14ac:dyDescent="0.35">
      <c r="A4983" s="21"/>
      <c r="B4983" t="s">
        <v>208</v>
      </c>
      <c r="C4983" t="s">
        <v>6</v>
      </c>
      <c r="D4983" t="s">
        <v>2216</v>
      </c>
      <c r="F4983" s="1">
        <v>45799</v>
      </c>
      <c r="G4983" t="str">
        <f>IF(Table3[[#This Row],[Top Parent Account]]="",Table3[[#This Row],[Account Legal Name]],Table3[[#This Row],[Top Parent Account]])</f>
        <v>SUADCO</v>
      </c>
      <c r="H4983" s="1"/>
    </row>
    <row r="4984" spans="1:8" x14ac:dyDescent="0.35">
      <c r="A4984" s="21"/>
      <c r="B4984" t="s">
        <v>989</v>
      </c>
      <c r="C4984" t="s">
        <v>6</v>
      </c>
      <c r="D4984" t="s">
        <v>2148</v>
      </c>
      <c r="F4984" s="1">
        <v>45799</v>
      </c>
      <c r="G4984" t="str">
        <f>IF(Table3[[#This Row],[Top Parent Account]]="",Table3[[#This Row],[Account Legal Name]],Table3[[#This Row],[Top Parent Account]])</f>
        <v>Alimentos Naturales Rancho Viejo</v>
      </c>
      <c r="H4984" s="1"/>
    </row>
    <row r="4985" spans="1:8" x14ac:dyDescent="0.35">
      <c r="A4985" s="21"/>
      <c r="B4985" t="s">
        <v>28</v>
      </c>
      <c r="C4985" t="s">
        <v>6</v>
      </c>
      <c r="D4985" t="s">
        <v>1965</v>
      </c>
      <c r="F4985" s="1">
        <v>45799</v>
      </c>
      <c r="G4985" t="str">
        <f>IF(Table3[[#This Row],[Top Parent Account]]="",Table3[[#This Row],[Account Legal Name]],Table3[[#This Row],[Top Parent Account]])</f>
        <v>4 ON THE GO, S.A. DE C.V.</v>
      </c>
      <c r="H4985" s="1"/>
    </row>
    <row r="4986" spans="1:8" x14ac:dyDescent="0.35">
      <c r="A4986" s="21"/>
      <c r="B4986" t="s">
        <v>27</v>
      </c>
      <c r="C4986" t="s">
        <v>22</v>
      </c>
      <c r="D4986" t="s">
        <v>1294</v>
      </c>
      <c r="F4986" s="1">
        <v>45799</v>
      </c>
      <c r="G4986" t="str">
        <f>IF(Table3[[#This Row],[Top Parent Account]]="",Table3[[#This Row],[Account Legal Name]],Table3[[#This Row],[Top Parent Account]])</f>
        <v>Mar Bran</v>
      </c>
      <c r="H4986" s="1"/>
    </row>
    <row r="4987" spans="1:8" x14ac:dyDescent="0.35">
      <c r="A4987" s="21"/>
      <c r="B4987" t="s">
        <v>29</v>
      </c>
      <c r="C4987" t="s">
        <v>6</v>
      </c>
      <c r="D4987" t="s">
        <v>2217</v>
      </c>
      <c r="F4987" s="1">
        <v>45799</v>
      </c>
      <c r="G4987" t="str">
        <f>IF(Table3[[#This Row],[Top Parent Account]]="",Table3[[#This Row],[Account Legal Name]],Table3[[#This Row],[Top Parent Account]])</f>
        <v>Node Park</v>
      </c>
      <c r="H4987" s="1"/>
    </row>
    <row r="4988" spans="1:8" x14ac:dyDescent="0.35">
      <c r="A4988" s="21"/>
      <c r="B4988" t="s">
        <v>11</v>
      </c>
      <c r="C4988" t="s">
        <v>6</v>
      </c>
      <c r="D4988" t="s">
        <v>124</v>
      </c>
      <c r="F4988" s="1">
        <v>45799</v>
      </c>
      <c r="G4988" t="str">
        <f>IF(Table3[[#This Row],[Top Parent Account]]="",Table3[[#This Row],[Account Legal Name]],Table3[[#This Row],[Top Parent Account]])</f>
        <v>Envases Universales</v>
      </c>
      <c r="H4988" s="1"/>
    </row>
    <row r="4989" spans="1:8" x14ac:dyDescent="0.35">
      <c r="A4989" s="21"/>
      <c r="B4989" t="s">
        <v>169</v>
      </c>
      <c r="C4989" t="s">
        <v>6</v>
      </c>
      <c r="D4989" t="s">
        <v>1194</v>
      </c>
      <c r="F4989" s="1">
        <v>45799</v>
      </c>
      <c r="G4989" t="str">
        <f>IF(Table3[[#This Row],[Top Parent Account]]="",Table3[[#This Row],[Account Legal Name]],Table3[[#This Row],[Top Parent Account]])</f>
        <v>Mega Label</v>
      </c>
      <c r="H4989" s="1"/>
    </row>
    <row r="4990" spans="1:8" x14ac:dyDescent="0.35">
      <c r="A4990" s="21"/>
      <c r="B4990" t="s">
        <v>589</v>
      </c>
      <c r="C4990" t="s">
        <v>6</v>
      </c>
      <c r="D4990" t="s">
        <v>2191</v>
      </c>
      <c r="F4990" s="1">
        <v>45799</v>
      </c>
      <c r="G4990" t="str">
        <f>IF(Table3[[#This Row],[Top Parent Account]]="",Table3[[#This Row],[Account Legal Name]],Table3[[#This Row],[Top Parent Account]])</f>
        <v>FYC Multiservicios Generales Industriales</v>
      </c>
      <c r="H4990" s="1"/>
    </row>
    <row r="4991" spans="1:8" x14ac:dyDescent="0.35">
      <c r="A4991" s="21"/>
      <c r="B4991" t="s">
        <v>14</v>
      </c>
      <c r="C4991" t="s">
        <v>6</v>
      </c>
      <c r="D4991" t="s">
        <v>2218</v>
      </c>
      <c r="F4991" s="1">
        <v>45799</v>
      </c>
      <c r="G4991" t="str">
        <f>IF(Table3[[#This Row],[Top Parent Account]]="",Table3[[#This Row],[Account Legal Name]],Table3[[#This Row],[Top Parent Account]])</f>
        <v>Lito Etiquetas</v>
      </c>
      <c r="H4991" s="1"/>
    </row>
    <row r="4992" spans="1:8" x14ac:dyDescent="0.35">
      <c r="A4992" s="21"/>
      <c r="B4992" t="s">
        <v>77</v>
      </c>
      <c r="C4992" t="s">
        <v>6</v>
      </c>
      <c r="D4992" t="s">
        <v>2150</v>
      </c>
      <c r="F4992" s="1">
        <v>45799</v>
      </c>
      <c r="G4992" t="str">
        <f>IF(Table3[[#This Row],[Top Parent Account]]="",Table3[[#This Row],[Account Legal Name]],Table3[[#This Row],[Top Parent Account]])</f>
        <v>Transportes Hermanos Beltrán</v>
      </c>
      <c r="H4992" s="1"/>
    </row>
    <row r="4993" spans="1:8" x14ac:dyDescent="0.35">
      <c r="A4993" s="21"/>
      <c r="B4993" t="s">
        <v>989</v>
      </c>
      <c r="C4993" t="s">
        <v>22</v>
      </c>
      <c r="D4993" t="s">
        <v>618</v>
      </c>
      <c r="F4993" s="1">
        <v>45799</v>
      </c>
      <c r="G4993" t="str">
        <f>IF(Table3[[#This Row],[Top Parent Account]]="",Table3[[#This Row],[Account Legal Name]],Table3[[#This Row],[Top Parent Account]])</f>
        <v>Productos Adex</v>
      </c>
      <c r="H4993" s="1"/>
    </row>
    <row r="4994" spans="1:8" x14ac:dyDescent="0.35">
      <c r="A4994" s="21"/>
      <c r="B4994" t="s">
        <v>21</v>
      </c>
      <c r="C4994" t="s">
        <v>6</v>
      </c>
      <c r="D4994" t="s">
        <v>2151</v>
      </c>
      <c r="F4994" s="1">
        <v>45799</v>
      </c>
      <c r="G4994" t="str">
        <f>IF(Table3[[#This Row],[Top Parent Account]]="",Table3[[#This Row],[Account Legal Name]],Table3[[#This Row],[Top Parent Account]])</f>
        <v>MGM SERVICIOS</v>
      </c>
      <c r="H4994" s="1"/>
    </row>
    <row r="4995" spans="1:8" x14ac:dyDescent="0.35">
      <c r="A4995" s="21"/>
      <c r="B4995" t="s">
        <v>1511</v>
      </c>
      <c r="C4995" t="s">
        <v>22</v>
      </c>
      <c r="D4995" t="s">
        <v>439</v>
      </c>
      <c r="F4995" s="1">
        <v>45799</v>
      </c>
      <c r="G4995" t="str">
        <f>IF(Table3[[#This Row],[Top Parent Account]]="",Table3[[#This Row],[Account Legal Name]],Table3[[#This Row],[Top Parent Account]])</f>
        <v>Copamex</v>
      </c>
      <c r="H4995" s="1"/>
    </row>
    <row r="4996" spans="1:8" x14ac:dyDescent="0.35">
      <c r="A4996" s="21"/>
      <c r="B4996" t="s">
        <v>88</v>
      </c>
      <c r="C4996" t="s">
        <v>6</v>
      </c>
      <c r="D4996" t="s">
        <v>2149</v>
      </c>
      <c r="F4996" s="1">
        <v>45799</v>
      </c>
      <c r="G4996" t="str">
        <f>IF(Table3[[#This Row],[Top Parent Account]]="",Table3[[#This Row],[Account Legal Name]],Table3[[#This Row],[Top Parent Account]])</f>
        <v>MARIA ESTELA FLORES HAMUE</v>
      </c>
      <c r="H4996" s="1"/>
    </row>
    <row r="4997" spans="1:8" x14ac:dyDescent="0.35">
      <c r="A4997" s="21"/>
      <c r="B4997" t="s">
        <v>590</v>
      </c>
      <c r="C4997" t="s">
        <v>6</v>
      </c>
      <c r="D4997" t="s">
        <v>991</v>
      </c>
      <c r="F4997" s="1">
        <v>45799</v>
      </c>
      <c r="G4997" t="str">
        <f>IF(Table3[[#This Row],[Top Parent Account]]="",Table3[[#This Row],[Account Legal Name]],Table3[[#This Row],[Top Parent Account]])</f>
        <v>Reciclados Plásticos Alvarado</v>
      </c>
      <c r="H4997" s="1"/>
    </row>
    <row r="4998" spans="1:8" x14ac:dyDescent="0.35">
      <c r="A4998" s="21"/>
      <c r="B4998" t="s">
        <v>32</v>
      </c>
      <c r="C4998" t="s">
        <v>6</v>
      </c>
      <c r="D4998" t="s">
        <v>2152</v>
      </c>
      <c r="F4998" s="1">
        <v>45799</v>
      </c>
      <c r="G4998" t="str">
        <f>IF(Table3[[#This Row],[Top Parent Account]]="",Table3[[#This Row],[Account Legal Name]],Table3[[#This Row],[Top Parent Account]])</f>
        <v>Prometálica</v>
      </c>
      <c r="H4998" s="1"/>
    </row>
    <row r="4999" spans="1:8" x14ac:dyDescent="0.35">
      <c r="A4999" s="21"/>
      <c r="B4999" t="s">
        <v>1006</v>
      </c>
      <c r="C4999" t="s">
        <v>6</v>
      </c>
      <c r="D4999" t="s">
        <v>2155</v>
      </c>
      <c r="E4999" t="s">
        <v>2141</v>
      </c>
      <c r="F4999" s="1">
        <v>45799</v>
      </c>
      <c r="G4999" t="str">
        <f>IF(Table3[[#This Row],[Top Parent Account]]="",Table3[[#This Row],[Account Legal Name]],Table3[[#This Row],[Top Parent Account]])</f>
        <v>Refacciones y Servicio Automotriz Denisse</v>
      </c>
      <c r="H4999" s="1"/>
    </row>
    <row r="5000" spans="1:8" x14ac:dyDescent="0.35">
      <c r="A5000" s="21"/>
      <c r="B5000" t="s">
        <v>20</v>
      </c>
      <c r="C5000" t="s">
        <v>6</v>
      </c>
      <c r="D5000" t="s">
        <v>2153</v>
      </c>
      <c r="F5000" s="1">
        <v>45799</v>
      </c>
      <c r="G5000" t="str">
        <f>IF(Table3[[#This Row],[Top Parent Account]]="",Table3[[#This Row],[Account Legal Name]],Table3[[#This Row],[Top Parent Account]])</f>
        <v>Sissa Monitoring Integral</v>
      </c>
      <c r="H5000" s="1"/>
    </row>
    <row r="5001" spans="1:8" x14ac:dyDescent="0.35">
      <c r="A5001" s="21"/>
      <c r="B5001" t="s">
        <v>989</v>
      </c>
      <c r="C5001" t="s">
        <v>6</v>
      </c>
      <c r="D5001" t="s">
        <v>2154</v>
      </c>
      <c r="F5001" s="1">
        <v>45799</v>
      </c>
      <c r="G5001" t="str">
        <f>IF(Table3[[#This Row],[Top Parent Account]]="",Table3[[#This Row],[Account Legal Name]],Table3[[#This Row],[Top Parent Account]])</f>
        <v>OLE A&amp;D Mexico</v>
      </c>
      <c r="H5001" s="1"/>
    </row>
    <row r="5002" spans="1:8" x14ac:dyDescent="0.35">
      <c r="A5002" s="21"/>
      <c r="B5002" t="s">
        <v>32</v>
      </c>
      <c r="C5002" t="s">
        <v>6</v>
      </c>
      <c r="D5002" t="s">
        <v>292</v>
      </c>
      <c r="F5002" s="1">
        <v>45799</v>
      </c>
      <c r="G5002" t="str">
        <f>IF(Table3[[#This Row],[Top Parent Account]]="",Table3[[#This Row],[Account Legal Name]],Table3[[#This Row],[Top Parent Account]])</f>
        <v>Construcciones M.S.</v>
      </c>
      <c r="H5002" s="1"/>
    </row>
    <row r="5003" spans="1:8" x14ac:dyDescent="0.35">
      <c r="A5003" s="21"/>
      <c r="B5003" t="s">
        <v>26</v>
      </c>
      <c r="C5003" t="s">
        <v>6</v>
      </c>
      <c r="D5003" t="s">
        <v>2743</v>
      </c>
      <c r="E5003" t="s">
        <v>2744</v>
      </c>
      <c r="F5003" s="1">
        <v>45799</v>
      </c>
      <c r="G5003" t="str">
        <f>IF(Table3[[#This Row],[Top Parent Account]]="",Table3[[#This Row],[Account Legal Name]],Table3[[#This Row],[Top Parent Account]])</f>
        <v>Grupo Quan</v>
      </c>
      <c r="H5003" s="1"/>
    </row>
    <row r="5004" spans="1:8" x14ac:dyDescent="0.35">
      <c r="A5004" s="21"/>
      <c r="B5004" t="s">
        <v>18</v>
      </c>
      <c r="C5004" t="s">
        <v>6</v>
      </c>
      <c r="D5004" t="s">
        <v>2156</v>
      </c>
      <c r="F5004" s="1">
        <v>45798</v>
      </c>
      <c r="G5004" t="str">
        <f>IF(Table3[[#This Row],[Top Parent Account]]="",Table3[[#This Row],[Account Legal Name]],Table3[[#This Row],[Top Parent Account]])</f>
        <v>Cargo y Porteo</v>
      </c>
      <c r="H5004" s="1"/>
    </row>
    <row r="5005" spans="1:8" x14ac:dyDescent="0.35">
      <c r="A5005" s="21"/>
      <c r="B5005" t="s">
        <v>27</v>
      </c>
      <c r="C5005" t="s">
        <v>22</v>
      </c>
      <c r="D5005" t="s">
        <v>1293</v>
      </c>
      <c r="F5005" s="1">
        <v>45798</v>
      </c>
      <c r="G5005" t="str">
        <f>IF(Table3[[#This Row],[Top Parent Account]]="",Table3[[#This Row],[Account Legal Name]],Table3[[#This Row],[Top Parent Account]])</f>
        <v>Ecologia En Combustion</v>
      </c>
      <c r="H5005" s="1"/>
    </row>
    <row r="5006" spans="1:8" x14ac:dyDescent="0.35">
      <c r="A5006" s="21"/>
      <c r="B5006" t="s">
        <v>1643</v>
      </c>
      <c r="C5006" t="s">
        <v>2157</v>
      </c>
      <c r="D5006" t="s">
        <v>2158</v>
      </c>
      <c r="F5006" s="1">
        <v>45798</v>
      </c>
      <c r="G5006" t="str">
        <f>IF(Table3[[#This Row],[Top Parent Account]]="",Table3[[#This Row],[Account Legal Name]],Table3[[#This Row],[Top Parent Account]])</f>
        <v>Regio Gas</v>
      </c>
      <c r="H5006" s="1"/>
    </row>
    <row r="5007" spans="1:8" x14ac:dyDescent="0.35">
      <c r="A5007" s="21"/>
      <c r="B5007" t="s">
        <v>172</v>
      </c>
      <c r="C5007" t="s">
        <v>6</v>
      </c>
      <c r="D5007" t="s">
        <v>369</v>
      </c>
      <c r="F5007" s="1">
        <v>45798</v>
      </c>
      <c r="G5007" t="str">
        <f>IF(Table3[[#This Row],[Top Parent Account]]="",Table3[[#This Row],[Account Legal Name]],Table3[[#This Row],[Top Parent Account]])</f>
        <v>Nusantara de México</v>
      </c>
      <c r="H5007" s="1"/>
    </row>
    <row r="5008" spans="1:8" x14ac:dyDescent="0.35">
      <c r="A5008" s="21"/>
      <c r="B5008" t="s">
        <v>88</v>
      </c>
      <c r="C5008" t="s">
        <v>6</v>
      </c>
      <c r="D5008" t="s">
        <v>1070</v>
      </c>
      <c r="F5008" s="1">
        <v>45798</v>
      </c>
      <c r="G5008" t="str">
        <f>IF(Table3[[#This Row],[Top Parent Account]]="",Table3[[#This Row],[Account Legal Name]],Table3[[#This Row],[Top Parent Account]])</f>
        <v>Terramex Transporte Y Logística</v>
      </c>
      <c r="H5008" s="1"/>
    </row>
    <row r="5009" spans="1:8" x14ac:dyDescent="0.35">
      <c r="A5009" s="21"/>
      <c r="B5009" t="s">
        <v>375</v>
      </c>
      <c r="C5009" t="s">
        <v>6</v>
      </c>
      <c r="D5009" t="s">
        <v>1632</v>
      </c>
      <c r="F5009" s="1">
        <v>45798</v>
      </c>
      <c r="G5009" t="str">
        <f>IF(Table3[[#This Row],[Top Parent Account]]="",Table3[[#This Row],[Account Legal Name]],Table3[[#This Row],[Top Parent Account]])</f>
        <v>EQUIPOS DINAMICOS SOTO</v>
      </c>
      <c r="H5009" s="1"/>
    </row>
    <row r="5010" spans="1:8" x14ac:dyDescent="0.35">
      <c r="A5010" s="21"/>
      <c r="B5010" t="s">
        <v>26</v>
      </c>
      <c r="C5010" t="s">
        <v>6</v>
      </c>
      <c r="D5010" t="s">
        <v>34</v>
      </c>
      <c r="F5010" s="1">
        <v>45798</v>
      </c>
      <c r="G5010" t="str">
        <f>IF(Table3[[#This Row],[Top Parent Account]]="",Table3[[#This Row],[Account Legal Name]],Table3[[#This Row],[Top Parent Account]])</f>
        <v>Haas Machine Tools</v>
      </c>
      <c r="H5010" s="1"/>
    </row>
    <row r="5011" spans="1:8" x14ac:dyDescent="0.35">
      <c r="A5011" s="21"/>
      <c r="B5011" t="s">
        <v>78</v>
      </c>
      <c r="C5011" t="s">
        <v>6</v>
      </c>
      <c r="D5011" t="s">
        <v>2159</v>
      </c>
      <c r="F5011" s="1">
        <v>45798</v>
      </c>
      <c r="G5011" t="str">
        <f>IF(Table3[[#This Row],[Top Parent Account]]="",Table3[[#This Row],[Account Legal Name]],Table3[[#This Row],[Top Parent Account]])</f>
        <v>Gruas Mendoza</v>
      </c>
      <c r="H5011" s="1"/>
    </row>
    <row r="5012" spans="1:8" x14ac:dyDescent="0.35">
      <c r="A5012" s="21"/>
      <c r="B5012" t="s">
        <v>28</v>
      </c>
      <c r="C5012" t="s">
        <v>6</v>
      </c>
      <c r="D5012" t="s">
        <v>2219</v>
      </c>
      <c r="F5012" s="1">
        <v>45798</v>
      </c>
      <c r="G5012" t="str">
        <f>IF(Table3[[#This Row],[Top Parent Account]]="",Table3[[#This Row],[Account Legal Name]],Table3[[#This Row],[Top Parent Account]])</f>
        <v>RENOVABLES Y SERVICIOS DEL NORTE</v>
      </c>
      <c r="H5012" s="1"/>
    </row>
    <row r="5013" spans="1:8" x14ac:dyDescent="0.35">
      <c r="A5013" s="21"/>
      <c r="B5013" t="s">
        <v>375</v>
      </c>
      <c r="C5013" t="s">
        <v>6</v>
      </c>
      <c r="D5013" t="s">
        <v>2160</v>
      </c>
      <c r="F5013" s="1">
        <v>45798</v>
      </c>
      <c r="G5013" t="str">
        <f>IF(Table3[[#This Row],[Top Parent Account]]="",Table3[[#This Row],[Account Legal Name]],Table3[[#This Row],[Top Parent Account]])</f>
        <v>JTC PROVEEDOR MEDICO</v>
      </c>
      <c r="H5013" s="1"/>
    </row>
    <row r="5014" spans="1:8" x14ac:dyDescent="0.35">
      <c r="A5014" s="21"/>
      <c r="B5014" t="s">
        <v>39</v>
      </c>
      <c r="C5014" t="s">
        <v>2161</v>
      </c>
      <c r="D5014" t="s">
        <v>1110</v>
      </c>
      <c r="E5014" t="s">
        <v>1024</v>
      </c>
      <c r="F5014" s="1">
        <v>45798</v>
      </c>
      <c r="G5014" t="str">
        <f>IF(Table3[[#This Row],[Top Parent Account]]="",Table3[[#This Row],[Account Legal Name]],Table3[[#This Row],[Top Parent Account]])</f>
        <v>Quimmco</v>
      </c>
      <c r="H5014" s="1"/>
    </row>
    <row r="5015" spans="1:8" x14ac:dyDescent="0.35">
      <c r="A5015" s="21"/>
      <c r="B5015" t="s">
        <v>172</v>
      </c>
      <c r="C5015" t="s">
        <v>6</v>
      </c>
      <c r="D5015" t="s">
        <v>1274</v>
      </c>
      <c r="F5015" s="1">
        <v>45798</v>
      </c>
      <c r="G5015" t="str">
        <f>IF(Table3[[#This Row],[Top Parent Account]]="",Table3[[#This Row],[Account Legal Name]],Table3[[#This Row],[Top Parent Account]])</f>
        <v>Cementation USA</v>
      </c>
      <c r="H5015" s="1"/>
    </row>
    <row r="5016" spans="1:8" x14ac:dyDescent="0.35">
      <c r="A5016" s="21"/>
      <c r="B5016" t="s">
        <v>23</v>
      </c>
      <c r="C5016" t="s">
        <v>6</v>
      </c>
      <c r="D5016" t="s">
        <v>2162</v>
      </c>
      <c r="E5016" t="s">
        <v>2163</v>
      </c>
      <c r="F5016" s="1">
        <v>45798</v>
      </c>
      <c r="G5016" t="str">
        <f>IF(Table3[[#This Row],[Top Parent Account]]="",Table3[[#This Row],[Account Legal Name]],Table3[[#This Row],[Top Parent Account]])</f>
        <v>XICUCO INFRAESTRUCTURA Y CONSTRUCCION</v>
      </c>
      <c r="H5016" s="1"/>
    </row>
    <row r="5017" spans="1:8" x14ac:dyDescent="0.35">
      <c r="A5017" s="21"/>
      <c r="B5017" t="s">
        <v>14</v>
      </c>
      <c r="C5017" t="s">
        <v>6</v>
      </c>
      <c r="D5017" t="s">
        <v>314</v>
      </c>
      <c r="F5017" s="1">
        <v>45798</v>
      </c>
      <c r="G5017" t="str">
        <f>IF(Table3[[#This Row],[Top Parent Account]]="",Table3[[#This Row],[Account Legal Name]],Table3[[#This Row],[Top Parent Account]])</f>
        <v>Pasteleria Marisa</v>
      </c>
      <c r="H5017" s="1"/>
    </row>
    <row r="5018" spans="1:8" x14ac:dyDescent="0.35">
      <c r="A5018" s="21"/>
      <c r="B5018" t="s">
        <v>1643</v>
      </c>
      <c r="C5018" t="s">
        <v>6</v>
      </c>
      <c r="D5018" t="s">
        <v>2164</v>
      </c>
      <c r="F5018" s="1">
        <v>45798</v>
      </c>
      <c r="G5018" t="str">
        <f>IF(Table3[[#This Row],[Top Parent Account]]="",Table3[[#This Row],[Account Legal Name]],Table3[[#This Row],[Top Parent Account]])</f>
        <v>Desarrollo y Proyectos de las Huastecas</v>
      </c>
      <c r="H5018" s="1"/>
    </row>
    <row r="5019" spans="1:8" x14ac:dyDescent="0.35">
      <c r="A5019" s="21"/>
      <c r="B5019" t="s">
        <v>11</v>
      </c>
      <c r="C5019" t="s">
        <v>6</v>
      </c>
      <c r="D5019" t="s">
        <v>646</v>
      </c>
      <c r="F5019" s="1">
        <v>45798</v>
      </c>
      <c r="G5019" t="str">
        <f>IF(Table3[[#This Row],[Top Parent Account]]="",Table3[[#This Row],[Account Legal Name]],Table3[[#This Row],[Top Parent Account]])</f>
        <v>Grupo Pinsa</v>
      </c>
      <c r="H5019" s="1"/>
    </row>
    <row r="5020" spans="1:8" x14ac:dyDescent="0.35">
      <c r="A5020" s="21"/>
      <c r="B5020" t="s">
        <v>1511</v>
      </c>
      <c r="C5020" t="s">
        <v>6</v>
      </c>
      <c r="D5020" t="s">
        <v>2192</v>
      </c>
      <c r="F5020" s="1">
        <v>45798</v>
      </c>
      <c r="G5020" t="str">
        <f>IF(Table3[[#This Row],[Top Parent Account]]="",Table3[[#This Row],[Account Legal Name]],Table3[[#This Row],[Top Parent Account]])</f>
        <v>Sermec</v>
      </c>
      <c r="H5020" s="1"/>
    </row>
    <row r="5021" spans="1:8" x14ac:dyDescent="0.35">
      <c r="A5021" s="21"/>
      <c r="B5021" t="s">
        <v>1031</v>
      </c>
      <c r="C5021" t="s">
        <v>6</v>
      </c>
      <c r="D5021" t="s">
        <v>2165</v>
      </c>
      <c r="F5021" s="1">
        <v>45798</v>
      </c>
      <c r="G5021" t="str">
        <f>IF(Table3[[#This Row],[Top Parent Account]]="",Table3[[#This Row],[Account Legal Name]],Table3[[#This Row],[Top Parent Account]])</f>
        <v>Dedicated Transport</v>
      </c>
      <c r="H5021" s="1"/>
    </row>
    <row r="5022" spans="1:8" x14ac:dyDescent="0.35">
      <c r="A5022" s="21"/>
      <c r="B5022" t="s">
        <v>169</v>
      </c>
      <c r="C5022" t="s">
        <v>6</v>
      </c>
      <c r="D5022" t="s">
        <v>2166</v>
      </c>
      <c r="F5022" s="1">
        <v>45798</v>
      </c>
      <c r="G5022" t="str">
        <f>IF(Table3[[#This Row],[Top Parent Account]]="",Table3[[#This Row],[Account Legal Name]],Table3[[#This Row],[Top Parent Account]])</f>
        <v>Congelados Alysa</v>
      </c>
      <c r="H5022" s="1"/>
    </row>
    <row r="5023" spans="1:8" x14ac:dyDescent="0.35">
      <c r="A5023" s="21"/>
      <c r="B5023" t="s">
        <v>114</v>
      </c>
      <c r="C5023" t="s">
        <v>6</v>
      </c>
      <c r="D5023" t="s">
        <v>222</v>
      </c>
      <c r="F5023" s="1">
        <v>45798</v>
      </c>
      <c r="G5023" t="str">
        <f>IF(Table3[[#This Row],[Top Parent Account]]="",Table3[[#This Row],[Account Legal Name]],Table3[[#This Row],[Top Parent Account]])</f>
        <v>Vensi Ventajas En Servicios Integrales</v>
      </c>
      <c r="H5023" s="1"/>
    </row>
    <row r="5024" spans="1:8" x14ac:dyDescent="0.35">
      <c r="A5024" s="21"/>
      <c r="B5024" t="s">
        <v>1006</v>
      </c>
      <c r="C5024" t="s">
        <v>6</v>
      </c>
      <c r="D5024" t="s">
        <v>2080</v>
      </c>
      <c r="F5024" s="1">
        <v>45798</v>
      </c>
      <c r="G5024" t="str">
        <f>IF(Table3[[#This Row],[Top Parent Account]]="",Table3[[#This Row],[Account Legal Name]],Table3[[#This Row],[Top Parent Account]])</f>
        <v>Integradora de servicios UTCM</v>
      </c>
      <c r="H5024" s="1"/>
    </row>
    <row r="5025" spans="1:8" x14ac:dyDescent="0.35">
      <c r="A5025" s="21"/>
      <c r="B5025" t="s">
        <v>78</v>
      </c>
      <c r="C5025" t="s">
        <v>6</v>
      </c>
      <c r="D5025" t="s">
        <v>819</v>
      </c>
      <c r="F5025" s="1">
        <v>45798</v>
      </c>
      <c r="G5025" t="str">
        <f>IF(Table3[[#This Row],[Top Parent Account]]="",Table3[[#This Row],[Account Legal Name]],Table3[[#This Row],[Top Parent Account]])</f>
        <v>GRUPO PAPER GREEN</v>
      </c>
      <c r="H5025" s="1"/>
    </row>
    <row r="5026" spans="1:8" x14ac:dyDescent="0.35">
      <c r="A5026" s="21"/>
      <c r="B5026" t="s">
        <v>590</v>
      </c>
      <c r="C5026" t="s">
        <v>6</v>
      </c>
      <c r="D5026" t="s">
        <v>2193</v>
      </c>
      <c r="F5026" s="1">
        <v>45798</v>
      </c>
      <c r="G5026" t="str">
        <f>IF(Table3[[#This Row],[Top Parent Account]]="",Table3[[#This Row],[Account Legal Name]],Table3[[#This Row],[Top Parent Account]])</f>
        <v>Fabricaciones Industriales Computarizadas</v>
      </c>
      <c r="H5026" s="1"/>
    </row>
    <row r="5027" spans="1:8" x14ac:dyDescent="0.35">
      <c r="A5027" s="21"/>
      <c r="B5027" t="s">
        <v>26</v>
      </c>
      <c r="C5027" t="s">
        <v>6</v>
      </c>
      <c r="D5027" t="s">
        <v>254</v>
      </c>
      <c r="F5027" s="1">
        <v>45798</v>
      </c>
      <c r="G5027" t="str">
        <f>IF(Table3[[#This Row],[Top Parent Account]]="",Table3[[#This Row],[Account Legal Name]],Table3[[#This Row],[Top Parent Account]])</f>
        <v>Tubos y Barras Huecas</v>
      </c>
      <c r="H5027" s="1"/>
    </row>
    <row r="5028" spans="1:8" x14ac:dyDescent="0.35">
      <c r="A5028" s="21"/>
      <c r="B5028" t="s">
        <v>23</v>
      </c>
      <c r="C5028" t="s">
        <v>6</v>
      </c>
      <c r="D5028" t="s">
        <v>2167</v>
      </c>
      <c r="F5028" s="1">
        <v>45798</v>
      </c>
      <c r="G5028" t="str">
        <f>IF(Table3[[#This Row],[Top Parent Account]]="",Table3[[#This Row],[Account Legal Name]],Table3[[#This Row],[Top Parent Account]])</f>
        <v>Transportes Escobedo</v>
      </c>
      <c r="H5028" s="1"/>
    </row>
    <row r="5029" spans="1:8" x14ac:dyDescent="0.35">
      <c r="A5029" s="21"/>
      <c r="B5029" t="s">
        <v>1511</v>
      </c>
      <c r="C5029" t="s">
        <v>6</v>
      </c>
      <c r="D5029" t="s">
        <v>2194</v>
      </c>
      <c r="F5029" s="1">
        <v>45798</v>
      </c>
      <c r="G5029" t="str">
        <f>IF(Table3[[#This Row],[Top Parent Account]]="",Table3[[#This Row],[Account Legal Name]],Table3[[#This Row],[Top Parent Account]])</f>
        <v>Forestal La Reforma</v>
      </c>
      <c r="H5029" s="1"/>
    </row>
    <row r="5030" spans="1:8" x14ac:dyDescent="0.35">
      <c r="A5030" s="21"/>
      <c r="B5030" t="s">
        <v>169</v>
      </c>
      <c r="C5030" t="s">
        <v>6</v>
      </c>
      <c r="D5030" t="s">
        <v>2168</v>
      </c>
      <c r="F5030" s="1">
        <v>45798</v>
      </c>
      <c r="G5030" t="str">
        <f>IF(Table3[[#This Row],[Top Parent Account]]="",Table3[[#This Row],[Account Legal Name]],Table3[[#This Row],[Top Parent Account]])</f>
        <v>Sociedad Cooperativa De Producción De Servicios Juárez</v>
      </c>
      <c r="H5030" s="1"/>
    </row>
    <row r="5031" spans="1:8" x14ac:dyDescent="0.35">
      <c r="A5031" s="21"/>
      <c r="B5031" t="s">
        <v>1031</v>
      </c>
      <c r="C5031" t="s">
        <v>6</v>
      </c>
      <c r="D5031" t="s">
        <v>2143</v>
      </c>
      <c r="F5031" s="1">
        <v>45798</v>
      </c>
      <c r="G5031" t="str">
        <f>IF(Table3[[#This Row],[Top Parent Account]]="",Table3[[#This Row],[Account Legal Name]],Table3[[#This Row],[Top Parent Account]])</f>
        <v>Saroma</v>
      </c>
      <c r="H5031" s="1"/>
    </row>
    <row r="5032" spans="1:8" x14ac:dyDescent="0.35">
      <c r="A5032" s="21"/>
      <c r="B5032" t="s">
        <v>78</v>
      </c>
      <c r="C5032" t="s">
        <v>6</v>
      </c>
      <c r="D5032" t="s">
        <v>2169</v>
      </c>
      <c r="F5032" s="1">
        <v>45798</v>
      </c>
      <c r="G5032" t="str">
        <f>IF(Table3[[#This Row],[Top Parent Account]]="",Table3[[#This Row],[Account Legal Name]],Table3[[#This Row],[Top Parent Account]])</f>
        <v>Medios Filtrantes Industriales</v>
      </c>
      <c r="H5032" s="1"/>
    </row>
    <row r="5033" spans="1:8" x14ac:dyDescent="0.35">
      <c r="A5033" s="21"/>
      <c r="B5033" t="s">
        <v>7</v>
      </c>
      <c r="C5033" t="s">
        <v>6</v>
      </c>
      <c r="D5033" t="s">
        <v>2170</v>
      </c>
      <c r="F5033" s="1">
        <v>45798</v>
      </c>
      <c r="G5033" t="str">
        <f>IF(Table3[[#This Row],[Top Parent Account]]="",Table3[[#This Row],[Account Legal Name]],Table3[[#This Row],[Top Parent Account]])</f>
        <v>COMERCIALIZADORA E INDUSTRIALIZADORA DEL NOROESTE</v>
      </c>
      <c r="H5033" s="1"/>
    </row>
    <row r="5034" spans="1:8" x14ac:dyDescent="0.35">
      <c r="A5034" s="21"/>
      <c r="B5034" t="s">
        <v>172</v>
      </c>
      <c r="C5034" t="s">
        <v>6</v>
      </c>
      <c r="D5034" t="s">
        <v>105</v>
      </c>
      <c r="F5034" s="1">
        <v>45798</v>
      </c>
      <c r="G5034" t="str">
        <f>IF(Table3[[#This Row],[Top Parent Account]]="",Table3[[#This Row],[Account Legal Name]],Table3[[#This Row],[Top Parent Account]])</f>
        <v>NORCAST</v>
      </c>
      <c r="H5034" s="1"/>
    </row>
    <row r="5035" spans="1:8" x14ac:dyDescent="0.35">
      <c r="A5035" s="21"/>
      <c r="B5035" t="s">
        <v>1006</v>
      </c>
      <c r="C5035" t="s">
        <v>6</v>
      </c>
      <c r="D5035" t="s">
        <v>2171</v>
      </c>
      <c r="F5035" s="1">
        <v>45798</v>
      </c>
      <c r="G5035" t="str">
        <f>IF(Table3[[#This Row],[Top Parent Account]]="",Table3[[#This Row],[Account Legal Name]],Table3[[#This Row],[Top Parent Account]])</f>
        <v>Gas San Juan</v>
      </c>
      <c r="H5035" s="1"/>
    </row>
    <row r="5036" spans="1:8" x14ac:dyDescent="0.35">
      <c r="A5036" s="21"/>
      <c r="B5036" t="s">
        <v>18</v>
      </c>
      <c r="C5036" t="s">
        <v>6</v>
      </c>
      <c r="D5036" t="s">
        <v>2172</v>
      </c>
      <c r="F5036" s="1">
        <v>45798</v>
      </c>
      <c r="G5036" t="str">
        <f>IF(Table3[[#This Row],[Top Parent Account]]="",Table3[[#This Row],[Account Legal Name]],Table3[[#This Row],[Top Parent Account]])</f>
        <v>WKS Door Systems</v>
      </c>
      <c r="H5036" s="1"/>
    </row>
    <row r="5037" spans="1:8" x14ac:dyDescent="0.35">
      <c r="A5037" s="21"/>
      <c r="B5037" t="s">
        <v>32</v>
      </c>
      <c r="C5037" t="s">
        <v>6</v>
      </c>
      <c r="D5037" t="s">
        <v>2173</v>
      </c>
      <c r="F5037" s="1">
        <v>45798</v>
      </c>
      <c r="G5037" t="str">
        <f>IF(Table3[[#This Row],[Top Parent Account]]="",Table3[[#This Row],[Account Legal Name]],Table3[[#This Row],[Top Parent Account]])</f>
        <v>Parques Logisticos e Industriales</v>
      </c>
      <c r="H5037" s="1"/>
    </row>
    <row r="5038" spans="1:8" x14ac:dyDescent="0.35">
      <c r="A5038" s="21"/>
      <c r="B5038" t="s">
        <v>25</v>
      </c>
      <c r="C5038" t="s">
        <v>6</v>
      </c>
      <c r="D5038" t="s">
        <v>2220</v>
      </c>
      <c r="F5038" s="1">
        <v>45798</v>
      </c>
      <c r="G5038" t="str">
        <f>IF(Table3[[#This Row],[Top Parent Account]]="",Table3[[#This Row],[Account Legal Name]],Table3[[#This Row],[Top Parent Account]])</f>
        <v>Svifflug</v>
      </c>
      <c r="H5038" s="1"/>
    </row>
    <row r="5039" spans="1:8" x14ac:dyDescent="0.35">
      <c r="A5039" s="21"/>
      <c r="B5039" t="s">
        <v>7</v>
      </c>
      <c r="C5039" t="s">
        <v>6</v>
      </c>
      <c r="D5039" t="s">
        <v>2174</v>
      </c>
      <c r="F5039" s="1">
        <v>45797</v>
      </c>
      <c r="G5039" t="str">
        <f>IF(Table3[[#This Row],[Top Parent Account]]="",Table3[[#This Row],[Account Legal Name]],Table3[[#This Row],[Top Parent Account]])</f>
        <v>Comercializadora Y Manufacturera Jfrb Rambel</v>
      </c>
      <c r="H5039" s="1"/>
    </row>
    <row r="5040" spans="1:8" x14ac:dyDescent="0.35">
      <c r="A5040" s="21"/>
      <c r="B5040" t="s">
        <v>1899</v>
      </c>
      <c r="C5040" t="s">
        <v>6</v>
      </c>
      <c r="D5040" t="s">
        <v>2175</v>
      </c>
      <c r="F5040" s="1">
        <v>45797</v>
      </c>
      <c r="G5040" t="str">
        <f>IF(Table3[[#This Row],[Top Parent Account]]="",Table3[[#This Row],[Account Legal Name]],Table3[[#This Row],[Top Parent Account]])</f>
        <v>CHISEMEX</v>
      </c>
      <c r="H5040" s="1"/>
    </row>
    <row r="5041" spans="1:8" x14ac:dyDescent="0.35">
      <c r="A5041" s="21"/>
      <c r="B5041" t="s">
        <v>32</v>
      </c>
      <c r="C5041" t="s">
        <v>6</v>
      </c>
      <c r="D5041" t="s">
        <v>231</v>
      </c>
      <c r="F5041" s="1">
        <v>45797</v>
      </c>
      <c r="G5041" t="str">
        <f>IF(Table3[[#This Row],[Top Parent Account]]="",Table3[[#This Row],[Account Legal Name]],Table3[[#This Row],[Top Parent Account]])</f>
        <v>Tony Tiendas</v>
      </c>
      <c r="H5041" s="1"/>
    </row>
    <row r="5042" spans="1:8" x14ac:dyDescent="0.35">
      <c r="A5042" s="21"/>
      <c r="B5042" t="s">
        <v>30</v>
      </c>
      <c r="C5042" t="s">
        <v>6</v>
      </c>
      <c r="D5042" t="s">
        <v>420</v>
      </c>
      <c r="F5042" s="1">
        <v>45797</v>
      </c>
      <c r="G5042" t="str">
        <f>IF(Table3[[#This Row],[Top Parent Account]]="",Table3[[#This Row],[Account Legal Name]],Table3[[#This Row],[Top Parent Account]])</f>
        <v>Mercado Libre</v>
      </c>
      <c r="H5042" s="1"/>
    </row>
    <row r="5043" spans="1:8" x14ac:dyDescent="0.35">
      <c r="A5043" s="21"/>
      <c r="B5043" t="s">
        <v>70</v>
      </c>
      <c r="C5043" t="s">
        <v>6</v>
      </c>
      <c r="D5043" t="s">
        <v>568</v>
      </c>
      <c r="F5043" s="1">
        <v>45797</v>
      </c>
      <c r="G5043" t="str">
        <f>IF(Table3[[#This Row],[Top Parent Account]]="",Table3[[#This Row],[Account Legal Name]],Table3[[#This Row],[Top Parent Account]])</f>
        <v>COI Centro Oncológico Internacional</v>
      </c>
      <c r="H5043" s="1"/>
    </row>
    <row r="5044" spans="1:8" x14ac:dyDescent="0.35">
      <c r="A5044" s="21"/>
      <c r="B5044" t="s">
        <v>10</v>
      </c>
      <c r="C5044" t="s">
        <v>6</v>
      </c>
      <c r="D5044" t="s">
        <v>389</v>
      </c>
      <c r="F5044" s="1">
        <v>45797</v>
      </c>
      <c r="G5044" t="str">
        <f>IF(Table3[[#This Row],[Top Parent Account]]="",Table3[[#This Row],[Account Legal Name]],Table3[[#This Row],[Top Parent Account]])</f>
        <v>SISTEMAS DE ECOLOGIA SOLAR</v>
      </c>
      <c r="H5044" s="1"/>
    </row>
    <row r="5045" spans="1:8" x14ac:dyDescent="0.35">
      <c r="A5045" s="21"/>
      <c r="B5045" t="s">
        <v>11</v>
      </c>
      <c r="C5045" t="s">
        <v>6</v>
      </c>
      <c r="D5045" t="s">
        <v>111</v>
      </c>
      <c r="F5045" s="1">
        <v>45797</v>
      </c>
      <c r="G5045" t="str">
        <f>IF(Table3[[#This Row],[Top Parent Account]]="",Table3[[#This Row],[Account Legal Name]],Table3[[#This Row],[Top Parent Account]])</f>
        <v>Regiomontana de Construcción y Servicios</v>
      </c>
      <c r="H5045" s="1"/>
    </row>
    <row r="5046" spans="1:8" x14ac:dyDescent="0.35">
      <c r="A5046" s="21"/>
      <c r="B5046" t="s">
        <v>114</v>
      </c>
      <c r="C5046" t="s">
        <v>6</v>
      </c>
      <c r="D5046" t="s">
        <v>2140</v>
      </c>
      <c r="F5046" s="1">
        <v>45797</v>
      </c>
      <c r="G5046" t="str">
        <f>IF(Table3[[#This Row],[Top Parent Account]]="",Table3[[#This Row],[Account Legal Name]],Table3[[#This Row],[Top Parent Account]])</f>
        <v>Cajaplax</v>
      </c>
      <c r="H5046" s="1"/>
    </row>
    <row r="5047" spans="1:8" x14ac:dyDescent="0.35">
      <c r="A5047" s="21"/>
      <c r="B5047" t="s">
        <v>32</v>
      </c>
      <c r="C5047" t="s">
        <v>6</v>
      </c>
      <c r="D5047" t="s">
        <v>811</v>
      </c>
      <c r="F5047" s="1">
        <v>45797</v>
      </c>
      <c r="G5047" t="str">
        <f>IF(Table3[[#This Row],[Top Parent Account]]="",Table3[[#This Row],[Account Legal Name]],Table3[[#This Row],[Top Parent Account]])</f>
        <v>MOZ AGENCIA ADUANALES DE MANZANILLO</v>
      </c>
      <c r="H5047" s="1"/>
    </row>
    <row r="5048" spans="1:8" x14ac:dyDescent="0.35">
      <c r="A5048" s="21"/>
      <c r="B5048" t="s">
        <v>32</v>
      </c>
      <c r="C5048" t="s">
        <v>6</v>
      </c>
      <c r="D5048" t="s">
        <v>1461</v>
      </c>
      <c r="F5048" s="1">
        <v>45797</v>
      </c>
      <c r="G5048" t="str">
        <f>IF(Table3[[#This Row],[Top Parent Account]]="",Table3[[#This Row],[Account Legal Name]],Table3[[#This Row],[Top Parent Account]])</f>
        <v>Maquinaría Innovativa De Veracruz</v>
      </c>
      <c r="H5048" s="1"/>
    </row>
    <row r="5049" spans="1:8" x14ac:dyDescent="0.35">
      <c r="A5049" s="21"/>
      <c r="B5049" t="s">
        <v>172</v>
      </c>
      <c r="C5049" t="s">
        <v>6</v>
      </c>
      <c r="D5049" t="s">
        <v>2129</v>
      </c>
      <c r="F5049" s="1">
        <v>45797</v>
      </c>
      <c r="G5049" t="str">
        <f>IF(Table3[[#This Row],[Top Parent Account]]="",Table3[[#This Row],[Account Legal Name]],Table3[[#This Row],[Top Parent Account]])</f>
        <v>OPE MANUFACTURER MEXICO</v>
      </c>
      <c r="H5049" s="1"/>
    </row>
    <row r="5050" spans="1:8" x14ac:dyDescent="0.35">
      <c r="A5050" s="21"/>
      <c r="B5050" t="s">
        <v>116</v>
      </c>
      <c r="C5050" t="s">
        <v>6</v>
      </c>
      <c r="D5050" t="s">
        <v>607</v>
      </c>
      <c r="F5050" s="1">
        <v>45797</v>
      </c>
      <c r="G5050" t="str">
        <f>IF(Table3[[#This Row],[Top Parent Account]]="",Table3[[#This Row],[Account Legal Name]],Table3[[#This Row],[Top Parent Account]])</f>
        <v>Turísticos y Empresariales San José</v>
      </c>
      <c r="H5050" s="1"/>
    </row>
    <row r="5051" spans="1:8" x14ac:dyDescent="0.35">
      <c r="A5051" s="21"/>
      <c r="B5051" t="s">
        <v>280</v>
      </c>
      <c r="C5051" t="s">
        <v>6</v>
      </c>
      <c r="D5051" t="s">
        <v>2176</v>
      </c>
      <c r="F5051" s="1">
        <v>45797</v>
      </c>
      <c r="G5051" t="str">
        <f>IF(Table3[[#This Row],[Top Parent Account]]="",Table3[[#This Row],[Account Legal Name]],Table3[[#This Row],[Top Parent Account]])</f>
        <v>Constructora Lan</v>
      </c>
      <c r="H5051" s="1"/>
    </row>
    <row r="5052" spans="1:8" x14ac:dyDescent="0.35">
      <c r="A5052" s="21"/>
      <c r="B5052" t="s">
        <v>26</v>
      </c>
      <c r="C5052" t="s">
        <v>6</v>
      </c>
      <c r="D5052" t="s">
        <v>2177</v>
      </c>
      <c r="E5052" t="s">
        <v>72</v>
      </c>
      <c r="F5052" s="1">
        <v>45797</v>
      </c>
      <c r="G5052" t="str">
        <f>IF(Table3[[#This Row],[Top Parent Account]]="",Table3[[#This Row],[Account Legal Name]],Table3[[#This Row],[Top Parent Account]])</f>
        <v>Comercializadora Naremo</v>
      </c>
      <c r="H5052" s="1"/>
    </row>
    <row r="5053" spans="1:8" x14ac:dyDescent="0.35">
      <c r="A5053" s="21"/>
      <c r="B5053" t="s">
        <v>32</v>
      </c>
      <c r="C5053" t="s">
        <v>6</v>
      </c>
      <c r="D5053" t="s">
        <v>753</v>
      </c>
      <c r="F5053" s="1">
        <v>45797</v>
      </c>
      <c r="G5053" t="str">
        <f>IF(Table3[[#This Row],[Top Parent Account]]="",Table3[[#This Row],[Account Legal Name]],Table3[[#This Row],[Top Parent Account]])</f>
        <v>Gomsa Logistica Internacional</v>
      </c>
      <c r="H5053" s="1"/>
    </row>
    <row r="5054" spans="1:8" x14ac:dyDescent="0.35">
      <c r="A5054" s="21"/>
      <c r="B5054" t="s">
        <v>32</v>
      </c>
      <c r="C5054" t="s">
        <v>6</v>
      </c>
      <c r="D5054" t="s">
        <v>903</v>
      </c>
      <c r="F5054" s="1">
        <v>45797</v>
      </c>
      <c r="G5054" t="str">
        <f>IF(Table3[[#This Row],[Top Parent Account]]="",Table3[[#This Row],[Account Legal Name]],Table3[[#This Row],[Top Parent Account]])</f>
        <v>Union Veracruzana</v>
      </c>
      <c r="H5054" s="1"/>
    </row>
    <row r="5055" spans="1:8" x14ac:dyDescent="0.35">
      <c r="A5055" s="21"/>
      <c r="B5055" t="s">
        <v>30</v>
      </c>
      <c r="C5055" t="s">
        <v>22</v>
      </c>
      <c r="D5055" t="s">
        <v>418</v>
      </c>
      <c r="F5055" s="1">
        <v>45797</v>
      </c>
      <c r="G5055" t="str">
        <f>IF(Table3[[#This Row],[Top Parent Account]]="",Table3[[#This Row],[Account Legal Name]],Table3[[#This Row],[Top Parent Account]])</f>
        <v>Grupo Altex</v>
      </c>
      <c r="H5055" s="1"/>
    </row>
    <row r="5056" spans="1:8" x14ac:dyDescent="0.35">
      <c r="A5056" s="21"/>
      <c r="B5056" t="s">
        <v>10</v>
      </c>
      <c r="C5056" t="s">
        <v>6</v>
      </c>
      <c r="D5056" t="s">
        <v>2178</v>
      </c>
      <c r="F5056" s="1">
        <v>45797</v>
      </c>
      <c r="G5056" t="str">
        <f>IF(Table3[[#This Row],[Top Parent Account]]="",Table3[[#This Row],[Account Legal Name]],Table3[[#This Row],[Top Parent Account]])</f>
        <v>Integradora Aduanal y de Servicios Woodward</v>
      </c>
      <c r="H5056" s="1"/>
    </row>
    <row r="5057" spans="1:8" x14ac:dyDescent="0.35">
      <c r="A5057" s="21"/>
      <c r="B5057" t="s">
        <v>1006</v>
      </c>
      <c r="C5057" t="s">
        <v>6</v>
      </c>
      <c r="D5057" t="s">
        <v>288</v>
      </c>
      <c r="F5057" s="1">
        <v>45797</v>
      </c>
      <c r="G5057" t="str">
        <f>IF(Table3[[#This Row],[Top Parent Account]]="",Table3[[#This Row],[Account Legal Name]],Table3[[#This Row],[Top Parent Account]])</f>
        <v>Callizo Aromas</v>
      </c>
      <c r="H5057" s="1"/>
    </row>
    <row r="5058" spans="1:8" x14ac:dyDescent="0.35">
      <c r="A5058" s="21"/>
      <c r="B5058" t="s">
        <v>18</v>
      </c>
      <c r="C5058" t="s">
        <v>6</v>
      </c>
      <c r="D5058" t="s">
        <v>662</v>
      </c>
      <c r="F5058" s="1">
        <v>45797</v>
      </c>
      <c r="G5058" t="str">
        <f>IF(Table3[[#This Row],[Top Parent Account]]="",Table3[[#This Row],[Account Legal Name]],Table3[[#This Row],[Top Parent Account]])</f>
        <v>Integra Tableros y Gabinetes</v>
      </c>
      <c r="H5058" s="1"/>
    </row>
    <row r="5059" spans="1:8" x14ac:dyDescent="0.35">
      <c r="A5059" s="21"/>
      <c r="B5059" t="s">
        <v>208</v>
      </c>
      <c r="C5059" t="s">
        <v>6</v>
      </c>
      <c r="D5059" t="s">
        <v>2195</v>
      </c>
      <c r="F5059" s="1">
        <v>45797</v>
      </c>
      <c r="G5059" t="str">
        <f>IF(Table3[[#This Row],[Top Parent Account]]="",Table3[[#This Row],[Account Legal Name]],Table3[[#This Row],[Top Parent Account]])</f>
        <v>Camen Quimica</v>
      </c>
      <c r="H5059" s="1"/>
    </row>
    <row r="5060" spans="1:8" x14ac:dyDescent="0.35">
      <c r="A5060" s="21"/>
      <c r="B5060" t="s">
        <v>969</v>
      </c>
      <c r="C5060" t="s">
        <v>6</v>
      </c>
      <c r="D5060" t="s">
        <v>2179</v>
      </c>
      <c r="F5060" s="1">
        <v>45797</v>
      </c>
      <c r="G5060" t="str">
        <f>IF(Table3[[#This Row],[Top Parent Account]]="",Table3[[#This Row],[Account Legal Name]],Table3[[#This Row],[Top Parent Account]])</f>
        <v>Innoquality</v>
      </c>
      <c r="H5060" s="1"/>
    </row>
    <row r="5061" spans="1:8" x14ac:dyDescent="0.35">
      <c r="A5061" s="21"/>
      <c r="B5061" t="s">
        <v>18</v>
      </c>
      <c r="C5061" t="s">
        <v>6</v>
      </c>
      <c r="D5061" t="s">
        <v>2180</v>
      </c>
      <c r="F5061" s="1">
        <v>45797</v>
      </c>
      <c r="G5061" t="str">
        <f>IF(Table3[[#This Row],[Top Parent Account]]="",Table3[[#This Row],[Account Legal Name]],Table3[[#This Row],[Top Parent Account]])</f>
        <v>SUPERBAG DE MEXICO</v>
      </c>
      <c r="H5061" s="1"/>
    </row>
    <row r="5062" spans="1:8" x14ac:dyDescent="0.35">
      <c r="A5062" s="21"/>
      <c r="B5062" t="s">
        <v>589</v>
      </c>
      <c r="C5062" t="s">
        <v>6</v>
      </c>
      <c r="D5062" t="s">
        <v>2181</v>
      </c>
      <c r="F5062" s="1">
        <v>45797</v>
      </c>
      <c r="G5062" t="str">
        <f>IF(Table3[[#This Row],[Top Parent Account]]="",Table3[[#This Row],[Account Legal Name]],Table3[[#This Row],[Top Parent Account]])</f>
        <v>Logistorage</v>
      </c>
      <c r="H5062" s="1"/>
    </row>
    <row r="5063" spans="1:8" x14ac:dyDescent="0.35">
      <c r="A5063" s="21"/>
      <c r="B5063" t="s">
        <v>84</v>
      </c>
      <c r="C5063" t="s">
        <v>844</v>
      </c>
      <c r="D5063" t="s">
        <v>806</v>
      </c>
      <c r="F5063" s="1">
        <v>45797</v>
      </c>
      <c r="G5063" t="str">
        <f>IF(Table3[[#This Row],[Top Parent Account]]="",Table3[[#This Row],[Account Legal Name]],Table3[[#This Row],[Top Parent Account]])</f>
        <v>Emicol de México</v>
      </c>
      <c r="H5063" s="1"/>
    </row>
    <row r="5064" spans="1:8" x14ac:dyDescent="0.35">
      <c r="A5064" s="21"/>
      <c r="B5064" t="s">
        <v>77</v>
      </c>
      <c r="C5064" t="s">
        <v>6</v>
      </c>
      <c r="D5064" t="s">
        <v>2182</v>
      </c>
      <c r="F5064" s="1">
        <v>45797</v>
      </c>
      <c r="G5064" t="str">
        <f>IF(Table3[[#This Row],[Top Parent Account]]="",Table3[[#This Row],[Account Legal Name]],Table3[[#This Row],[Top Parent Account]])</f>
        <v>Mueblerias Issa de Chihuahua</v>
      </c>
      <c r="H5064" s="1"/>
    </row>
    <row r="5065" spans="1:8" x14ac:dyDescent="0.35">
      <c r="A5065" s="21"/>
      <c r="B5065" t="s">
        <v>14</v>
      </c>
      <c r="C5065" t="s">
        <v>6</v>
      </c>
      <c r="D5065" t="s">
        <v>1458</v>
      </c>
      <c r="F5065" s="1">
        <v>45797</v>
      </c>
      <c r="G5065" t="str">
        <f>IF(Table3[[#This Row],[Top Parent Account]]="",Table3[[#This Row],[Account Legal Name]],Table3[[#This Row],[Top Parent Account]])</f>
        <v>Mova Printing Solutions</v>
      </c>
      <c r="H5065" s="1"/>
    </row>
    <row r="5066" spans="1:8" x14ac:dyDescent="0.35">
      <c r="A5066" s="21"/>
      <c r="B5066" t="s">
        <v>12</v>
      </c>
      <c r="C5066" t="s">
        <v>6</v>
      </c>
      <c r="D5066" t="s">
        <v>2183</v>
      </c>
      <c r="F5066" s="1">
        <v>45797</v>
      </c>
      <c r="G5066" t="str">
        <f>IF(Table3[[#This Row],[Top Parent Account]]="",Table3[[#This Row],[Account Legal Name]],Table3[[#This Row],[Top Parent Account]])</f>
        <v>Bodegas Yucatan</v>
      </c>
      <c r="H5066" s="1"/>
    </row>
    <row r="5067" spans="1:8" x14ac:dyDescent="0.35">
      <c r="A5067" s="21"/>
      <c r="B5067" t="s">
        <v>12</v>
      </c>
      <c r="C5067" t="s">
        <v>6</v>
      </c>
      <c r="D5067" t="s">
        <v>2184</v>
      </c>
      <c r="F5067" s="1">
        <v>45797</v>
      </c>
      <c r="G5067" t="str">
        <f>IF(Table3[[#This Row],[Top Parent Account]]="",Table3[[#This Row],[Account Legal Name]],Table3[[#This Row],[Top Parent Account]])</f>
        <v>Chiimpak</v>
      </c>
      <c r="H5067" s="1"/>
    </row>
    <row r="5068" spans="1:8" x14ac:dyDescent="0.35">
      <c r="A5068" s="21"/>
      <c r="B5068" t="s">
        <v>11</v>
      </c>
      <c r="C5068" t="s">
        <v>6</v>
      </c>
      <c r="D5068" t="s">
        <v>2196</v>
      </c>
      <c r="F5068" s="1">
        <v>45797</v>
      </c>
      <c r="G5068" t="str">
        <f>IF(Table3[[#This Row],[Top Parent Account]]="",Table3[[#This Row],[Account Legal Name]],Table3[[#This Row],[Top Parent Account]])</f>
        <v>Aerocharter Swissport Mexico</v>
      </c>
      <c r="H5068" s="1"/>
    </row>
    <row r="5069" spans="1:8" x14ac:dyDescent="0.35">
      <c r="A5069" s="21"/>
      <c r="B5069" t="s">
        <v>26</v>
      </c>
      <c r="C5069" t="s">
        <v>6</v>
      </c>
      <c r="D5069" t="s">
        <v>2185</v>
      </c>
      <c r="E5069" t="s">
        <v>2186</v>
      </c>
      <c r="F5069" s="1">
        <v>45797</v>
      </c>
      <c r="G5069" t="str">
        <f>IF(Table3[[#This Row],[Top Parent Account]]="",Table3[[#This Row],[Account Legal Name]],Table3[[#This Row],[Top Parent Account]])</f>
        <v>Unicar Mexicana</v>
      </c>
      <c r="H5069" s="1"/>
    </row>
    <row r="5070" spans="1:8" x14ac:dyDescent="0.35">
      <c r="A5070" s="21"/>
      <c r="B5070" t="s">
        <v>84</v>
      </c>
      <c r="C5070" t="s">
        <v>1859</v>
      </c>
      <c r="D5070" t="s">
        <v>1060</v>
      </c>
      <c r="F5070" s="1">
        <v>45797</v>
      </c>
      <c r="G5070" t="str">
        <f>IF(Table3[[#This Row],[Top Parent Account]]="",Table3[[#This Row],[Account Legal Name]],Table3[[#This Row],[Top Parent Account]])</f>
        <v>Cremería Del Yaqui</v>
      </c>
      <c r="H5070" s="1"/>
    </row>
    <row r="5071" spans="1:8" x14ac:dyDescent="0.35">
      <c r="A5071" s="21"/>
      <c r="B5071" t="s">
        <v>28</v>
      </c>
      <c r="C5071" t="s">
        <v>6</v>
      </c>
      <c r="D5071" t="s">
        <v>1932</v>
      </c>
      <c r="F5071" s="1">
        <v>45797</v>
      </c>
      <c r="G5071" t="str">
        <f>IF(Table3[[#This Row],[Top Parent Account]]="",Table3[[#This Row],[Account Legal Name]],Table3[[#This Row],[Top Parent Account]])</f>
        <v>CHAD MANUFACTURING</v>
      </c>
      <c r="H5071" s="1"/>
    </row>
    <row r="5072" spans="1:8" x14ac:dyDescent="0.35">
      <c r="A5072" s="21"/>
      <c r="B5072" t="s">
        <v>18</v>
      </c>
      <c r="C5072" t="s">
        <v>6</v>
      </c>
      <c r="D5072" t="s">
        <v>1222</v>
      </c>
      <c r="F5072" s="1">
        <v>45797</v>
      </c>
      <c r="G5072" t="str">
        <f>IF(Table3[[#This Row],[Top Parent Account]]="",Table3[[#This Row],[Account Legal Name]],Table3[[#This Row],[Top Parent Account]])</f>
        <v>SP MANUFACTURAS</v>
      </c>
      <c r="H5072" s="1"/>
    </row>
    <row r="5073" spans="1:8" x14ac:dyDescent="0.35">
      <c r="A5073" s="21"/>
      <c r="B5073" t="s">
        <v>375</v>
      </c>
      <c r="C5073" t="s">
        <v>6</v>
      </c>
      <c r="D5073" t="s">
        <v>2011</v>
      </c>
      <c r="F5073" s="1">
        <v>45796</v>
      </c>
      <c r="G5073" t="str">
        <f>IF(Table3[[#This Row],[Top Parent Account]]="",Table3[[#This Row],[Account Legal Name]],Table3[[#This Row],[Top Parent Account]])</f>
        <v>Enso Comunicacion</v>
      </c>
      <c r="H5073" s="1"/>
    </row>
    <row r="5074" spans="1:8" x14ac:dyDescent="0.35">
      <c r="A5074" s="21"/>
      <c r="B5074" t="s">
        <v>172</v>
      </c>
      <c r="C5074" t="s">
        <v>6</v>
      </c>
      <c r="D5074" t="s">
        <v>864</v>
      </c>
      <c r="E5074" t="s">
        <v>865</v>
      </c>
      <c r="F5074" s="1">
        <v>45796</v>
      </c>
      <c r="G5074" t="str">
        <f>IF(Table3[[#This Row],[Top Parent Account]]="",Table3[[#This Row],[Account Legal Name]],Table3[[#This Row],[Top Parent Account]])</f>
        <v>GRUPO SURMAN</v>
      </c>
      <c r="H5074" s="1"/>
    </row>
    <row r="5075" spans="1:8" x14ac:dyDescent="0.35">
      <c r="A5075" s="21"/>
      <c r="B5075" t="s">
        <v>169</v>
      </c>
      <c r="C5075" t="s">
        <v>6</v>
      </c>
      <c r="D5075" t="s">
        <v>2187</v>
      </c>
      <c r="F5075" s="1">
        <v>45796</v>
      </c>
      <c r="G5075" t="str">
        <f>IF(Table3[[#This Row],[Top Parent Account]]="",Table3[[#This Row],[Account Legal Name]],Table3[[#This Row],[Top Parent Account]])</f>
        <v>GRUPO SANSILVEX</v>
      </c>
      <c r="H5075" s="1"/>
    </row>
    <row r="5076" spans="1:8" x14ac:dyDescent="0.35">
      <c r="A5076" s="21"/>
      <c r="B5076" t="s">
        <v>12</v>
      </c>
      <c r="C5076" t="s">
        <v>6</v>
      </c>
      <c r="D5076" t="s">
        <v>2188</v>
      </c>
      <c r="F5076" s="1">
        <v>45796</v>
      </c>
      <c r="G5076" t="str">
        <f>IF(Table3[[#This Row],[Top Parent Account]]="",Table3[[#This Row],[Account Legal Name]],Table3[[#This Row],[Top Parent Account]])</f>
        <v>Metal Tec Industrial</v>
      </c>
      <c r="H5076" s="1"/>
    </row>
    <row r="5077" spans="1:8" x14ac:dyDescent="0.35">
      <c r="A5077" s="21"/>
      <c r="B5077" t="s">
        <v>1006</v>
      </c>
      <c r="C5077" t="s">
        <v>6</v>
      </c>
      <c r="D5077" t="s">
        <v>1491</v>
      </c>
      <c r="F5077" s="1">
        <v>45796</v>
      </c>
      <c r="G5077" t="str">
        <f>IF(Table3[[#This Row],[Top Parent Account]]="",Table3[[#This Row],[Account Legal Name]],Table3[[#This Row],[Top Parent Account]])</f>
        <v>GRUPO MOC</v>
      </c>
      <c r="H5077" s="1"/>
    </row>
    <row r="5078" spans="1:8" x14ac:dyDescent="0.35">
      <c r="A5078" s="21"/>
      <c r="B5078" t="s">
        <v>11</v>
      </c>
      <c r="C5078" t="s">
        <v>6</v>
      </c>
      <c r="D5078" t="s">
        <v>1490</v>
      </c>
      <c r="F5078" s="1">
        <v>45796</v>
      </c>
      <c r="G5078" t="str">
        <f>IF(Table3[[#This Row],[Top Parent Account]]="",Table3[[#This Row],[Account Legal Name]],Table3[[#This Row],[Top Parent Account]])</f>
        <v>Transporte y Logistica Buzmyr de México</v>
      </c>
      <c r="H5078" s="1"/>
    </row>
    <row r="5079" spans="1:8" x14ac:dyDescent="0.35">
      <c r="A5079" s="21"/>
      <c r="B5079" t="s">
        <v>51</v>
      </c>
      <c r="C5079" t="s">
        <v>6</v>
      </c>
      <c r="D5079" t="s">
        <v>454</v>
      </c>
      <c r="F5079" s="1">
        <v>45796</v>
      </c>
      <c r="G5079" t="str">
        <f>IF(Table3[[#This Row],[Top Parent Account]]="",Table3[[#This Row],[Account Legal Name]],Table3[[#This Row],[Top Parent Account]])</f>
        <v>T Maquinaria</v>
      </c>
      <c r="H5079" s="1"/>
    </row>
    <row r="5080" spans="1:8" x14ac:dyDescent="0.35">
      <c r="A5080" s="21"/>
      <c r="B5080" t="s">
        <v>70</v>
      </c>
      <c r="C5080" t="s">
        <v>6</v>
      </c>
      <c r="D5080" t="s">
        <v>2189</v>
      </c>
      <c r="F5080" s="1">
        <v>45796</v>
      </c>
      <c r="G5080" t="str">
        <f>IF(Table3[[#This Row],[Top Parent Account]]="",Table3[[#This Row],[Account Legal Name]],Table3[[#This Row],[Top Parent Account]])</f>
        <v>Linet de México</v>
      </c>
      <c r="H5080" s="1"/>
    </row>
    <row r="5081" spans="1:8" x14ac:dyDescent="0.35">
      <c r="A5081" s="21"/>
      <c r="B5081" t="s">
        <v>43</v>
      </c>
      <c r="C5081" t="s">
        <v>22</v>
      </c>
      <c r="D5081" t="s">
        <v>798</v>
      </c>
      <c r="E5081" t="s">
        <v>801</v>
      </c>
      <c r="F5081" s="1">
        <v>45796</v>
      </c>
      <c r="G5081" t="str">
        <f>IF(Table3[[#This Row],[Top Parent Account]]="",Table3[[#This Row],[Account Legal Name]],Table3[[#This Row],[Top Parent Account]])</f>
        <v>Carnival de México</v>
      </c>
      <c r="H5081" s="1"/>
    </row>
    <row r="5082" spans="1:8" x14ac:dyDescent="0.35">
      <c r="A5082" s="21"/>
      <c r="B5082" t="s">
        <v>1031</v>
      </c>
      <c r="C5082" t="s">
        <v>6</v>
      </c>
      <c r="D5082" t="s">
        <v>1345</v>
      </c>
      <c r="F5082" s="1">
        <v>45796</v>
      </c>
      <c r="G5082" t="str">
        <f>IF(Table3[[#This Row],[Top Parent Account]]="",Table3[[#This Row],[Account Legal Name]],Table3[[#This Row],[Top Parent Account]])</f>
        <v>Productora y Comercializadora Internacional Mexicana</v>
      </c>
      <c r="H5082" s="1"/>
    </row>
    <row r="5083" spans="1:8" x14ac:dyDescent="0.35">
      <c r="A5083" s="21"/>
      <c r="B5083" t="s">
        <v>18</v>
      </c>
      <c r="C5083" t="s">
        <v>6</v>
      </c>
      <c r="D5083" t="s">
        <v>637</v>
      </c>
      <c r="F5083" s="1">
        <v>45796</v>
      </c>
      <c r="G5083" t="str">
        <f>IF(Table3[[#This Row],[Top Parent Account]]="",Table3[[#This Row],[Account Legal Name]],Table3[[#This Row],[Top Parent Account]])</f>
        <v>Copresa</v>
      </c>
      <c r="H5083" s="1"/>
    </row>
    <row r="5084" spans="1:8" x14ac:dyDescent="0.35">
      <c r="A5084" s="21"/>
      <c r="B5084" t="s">
        <v>77</v>
      </c>
      <c r="C5084" t="s">
        <v>6</v>
      </c>
      <c r="D5084" t="s">
        <v>486</v>
      </c>
      <c r="F5084" s="1">
        <v>45796</v>
      </c>
      <c r="G5084" t="str">
        <f>IF(Table3[[#This Row],[Top Parent Account]]="",Table3[[#This Row],[Account Legal Name]],Table3[[#This Row],[Top Parent Account]])</f>
        <v>ASCEND INDUSTRIES</v>
      </c>
      <c r="H5084" s="1"/>
    </row>
    <row r="5085" spans="1:8" x14ac:dyDescent="0.35">
      <c r="A5085" s="21"/>
      <c r="B5085" t="s">
        <v>43</v>
      </c>
      <c r="C5085" t="s">
        <v>22</v>
      </c>
      <c r="D5085" t="s">
        <v>2106</v>
      </c>
      <c r="F5085" s="1">
        <v>45796</v>
      </c>
      <c r="G5085" t="str">
        <f>IF(Table3[[#This Row],[Top Parent Account]]="",Table3[[#This Row],[Account Legal Name]],Table3[[#This Row],[Top Parent Account]])</f>
        <v>BIG LOGISTICA INTEGRAL</v>
      </c>
      <c r="H5085" s="1"/>
    </row>
    <row r="5086" spans="1:8" x14ac:dyDescent="0.35">
      <c r="A5086" s="21"/>
      <c r="B5086" t="s">
        <v>12</v>
      </c>
      <c r="C5086" t="s">
        <v>6</v>
      </c>
      <c r="D5086" t="s">
        <v>2190</v>
      </c>
      <c r="F5086" s="1">
        <v>45796</v>
      </c>
      <c r="G5086" t="str">
        <f>IF(Table3[[#This Row],[Top Parent Account]]="",Table3[[#This Row],[Account Legal Name]],Table3[[#This Row],[Top Parent Account]])</f>
        <v>UNIVERSIDAD MARISTA DE MÉRIDA</v>
      </c>
      <c r="H5086" s="1"/>
    </row>
    <row r="5087" spans="1:8" x14ac:dyDescent="0.35">
      <c r="A5087" s="21"/>
      <c r="B5087" t="s">
        <v>989</v>
      </c>
      <c r="C5087" t="s">
        <v>6</v>
      </c>
      <c r="D5087" t="s">
        <v>1973</v>
      </c>
      <c r="F5087" s="1">
        <v>45793</v>
      </c>
      <c r="G5087" t="str">
        <f>IF(Table3[[#This Row],[Top Parent Account]]="",Table3[[#This Row],[Account Legal Name]],Table3[[#This Row],[Top Parent Account]])</f>
        <v>Impelmex</v>
      </c>
      <c r="H5087" s="1"/>
    </row>
    <row r="5088" spans="1:8" x14ac:dyDescent="0.35">
      <c r="A5088" s="21"/>
      <c r="B5088" t="s">
        <v>989</v>
      </c>
      <c r="C5088" t="s">
        <v>6</v>
      </c>
      <c r="D5088" t="s">
        <v>2134</v>
      </c>
      <c r="F5088" s="1">
        <v>45793</v>
      </c>
      <c r="G5088" t="str">
        <f>IF(Table3[[#This Row],[Top Parent Account]]="",Table3[[#This Row],[Account Legal Name]],Table3[[#This Row],[Top Parent Account]])</f>
        <v>SINOBOOM</v>
      </c>
      <c r="H5088" s="1"/>
    </row>
    <row r="5089" spans="1:8" x14ac:dyDescent="0.35">
      <c r="A5089" s="21"/>
      <c r="B5089" t="s">
        <v>989</v>
      </c>
      <c r="C5089" t="s">
        <v>6</v>
      </c>
      <c r="D5089" t="s">
        <v>2135</v>
      </c>
      <c r="F5089" s="1">
        <v>45793</v>
      </c>
      <c r="G5089" t="str">
        <f>IF(Table3[[#This Row],[Top Parent Account]]="",Table3[[#This Row],[Account Legal Name]],Table3[[#This Row],[Top Parent Account]])</f>
        <v>GRUPO JINIM</v>
      </c>
      <c r="H5089" s="1"/>
    </row>
    <row r="5090" spans="1:8" x14ac:dyDescent="0.35">
      <c r="A5090" s="21"/>
      <c r="B5090" t="s">
        <v>192</v>
      </c>
      <c r="C5090" t="s">
        <v>6</v>
      </c>
      <c r="D5090" t="s">
        <v>710</v>
      </c>
      <c r="F5090" s="1">
        <v>45793</v>
      </c>
      <c r="G5090" t="str">
        <f>IF(Table3[[#This Row],[Top Parent Account]]="",Table3[[#This Row],[Account Legal Name]],Table3[[#This Row],[Top Parent Account]])</f>
        <v>MERQ</v>
      </c>
      <c r="H5090" s="1"/>
    </row>
    <row r="5091" spans="1:8" x14ac:dyDescent="0.35">
      <c r="A5091" s="21"/>
      <c r="B5091" t="s">
        <v>29</v>
      </c>
      <c r="C5091" t="s">
        <v>6</v>
      </c>
      <c r="D5091" t="s">
        <v>2057</v>
      </c>
      <c r="F5091" s="1">
        <v>45793</v>
      </c>
      <c r="G5091" t="str">
        <f>IF(Table3[[#This Row],[Top Parent Account]]="",Table3[[#This Row],[Account Legal Name]],Table3[[#This Row],[Top Parent Account]])</f>
        <v>Corporativo IMT</v>
      </c>
      <c r="H5091" s="1"/>
    </row>
    <row r="5092" spans="1:8" x14ac:dyDescent="0.35">
      <c r="A5092" s="21"/>
      <c r="B5092" t="s">
        <v>20</v>
      </c>
      <c r="C5092" t="s">
        <v>6</v>
      </c>
      <c r="D5092" t="s">
        <v>2136</v>
      </c>
      <c r="F5092" s="1">
        <v>45793</v>
      </c>
      <c r="G5092" t="str">
        <f>IF(Table3[[#This Row],[Top Parent Account]]="",Table3[[#This Row],[Account Legal Name]],Table3[[#This Row],[Top Parent Account]])</f>
        <v>GRUINDAG INTERNATIONAL</v>
      </c>
      <c r="H5092" s="1"/>
    </row>
    <row r="5093" spans="1:8" x14ac:dyDescent="0.35">
      <c r="A5093" s="21"/>
      <c r="B5093" t="s">
        <v>14</v>
      </c>
      <c r="C5093" t="s">
        <v>6</v>
      </c>
      <c r="D5093" t="s">
        <v>2005</v>
      </c>
      <c r="F5093" s="1">
        <v>45793</v>
      </c>
      <c r="G5093" t="str">
        <f>IF(Table3[[#This Row],[Top Parent Account]]="",Table3[[#This Row],[Account Legal Name]],Table3[[#This Row],[Top Parent Account]])</f>
        <v>INDUSTRIAS PLASTICAS TARKUS</v>
      </c>
      <c r="H5093" s="1"/>
    </row>
    <row r="5094" spans="1:8" x14ac:dyDescent="0.35">
      <c r="A5094" s="21"/>
      <c r="B5094" t="s">
        <v>28</v>
      </c>
      <c r="C5094" t="s">
        <v>6</v>
      </c>
      <c r="D5094" t="s">
        <v>2137</v>
      </c>
      <c r="F5094" s="1">
        <v>45793</v>
      </c>
      <c r="G5094" t="str">
        <f>IF(Table3[[#This Row],[Top Parent Account]]="",Table3[[#This Row],[Account Legal Name]],Table3[[#This Row],[Top Parent Account]])</f>
        <v>Autosistemas De Torreon</v>
      </c>
      <c r="H5094" s="1"/>
    </row>
    <row r="5095" spans="1:8" x14ac:dyDescent="0.35">
      <c r="A5095" s="21"/>
      <c r="B5095" t="s">
        <v>43</v>
      </c>
      <c r="C5095" t="s">
        <v>6</v>
      </c>
      <c r="D5095" t="s">
        <v>2106</v>
      </c>
      <c r="F5095" s="1">
        <v>45793</v>
      </c>
      <c r="G5095" t="str">
        <f>IF(Table3[[#This Row],[Top Parent Account]]="",Table3[[#This Row],[Account Legal Name]],Table3[[#This Row],[Top Parent Account]])</f>
        <v>BIG LOGISTICA INTEGRAL</v>
      </c>
      <c r="H5095" s="1"/>
    </row>
    <row r="5096" spans="1:8" x14ac:dyDescent="0.35">
      <c r="A5096" s="21"/>
      <c r="B5096" t="s">
        <v>14</v>
      </c>
      <c r="C5096" t="s">
        <v>6</v>
      </c>
      <c r="D5096" t="s">
        <v>728</v>
      </c>
      <c r="F5096" s="1">
        <v>45793</v>
      </c>
      <c r="G5096" t="str">
        <f>IF(Table3[[#This Row],[Top Parent Account]]="",Table3[[#This Row],[Account Legal Name]],Table3[[#This Row],[Top Parent Account]])</f>
        <v>Keymax Comercializadora</v>
      </c>
      <c r="H5096" s="1"/>
    </row>
    <row r="5097" spans="1:8" x14ac:dyDescent="0.35">
      <c r="A5097" s="21"/>
      <c r="B5097" t="s">
        <v>10</v>
      </c>
      <c r="C5097" t="s">
        <v>6</v>
      </c>
      <c r="D5097" t="s">
        <v>548</v>
      </c>
      <c r="F5097" s="1">
        <v>45793</v>
      </c>
      <c r="G5097" t="str">
        <f>IF(Table3[[#This Row],[Top Parent Account]]="",Table3[[#This Row],[Account Legal Name]],Table3[[#This Row],[Top Parent Account]])</f>
        <v>Cervecería de Colima</v>
      </c>
      <c r="H5097" s="1"/>
    </row>
    <row r="5098" spans="1:8" x14ac:dyDescent="0.35">
      <c r="A5098" s="21"/>
      <c r="B5098" t="s">
        <v>1006</v>
      </c>
      <c r="C5098" t="s">
        <v>6</v>
      </c>
      <c r="D5098" t="s">
        <v>1819</v>
      </c>
      <c r="F5098" s="1">
        <v>45793</v>
      </c>
      <c r="G5098" t="str">
        <f>IF(Table3[[#This Row],[Top Parent Account]]="",Table3[[#This Row],[Account Legal Name]],Table3[[#This Row],[Top Parent Account]])</f>
        <v>Elite Produce</v>
      </c>
      <c r="H5098" s="1"/>
    </row>
    <row r="5099" spans="1:8" x14ac:dyDescent="0.35">
      <c r="A5099" s="21"/>
      <c r="B5099" t="s">
        <v>1899</v>
      </c>
      <c r="C5099" t="s">
        <v>6</v>
      </c>
      <c r="D5099" t="s">
        <v>2107</v>
      </c>
      <c r="F5099" s="1">
        <v>45793</v>
      </c>
      <c r="G5099" t="str">
        <f>IF(Table3[[#This Row],[Top Parent Account]]="",Table3[[#This Row],[Account Legal Name]],Table3[[#This Row],[Top Parent Account]])</f>
        <v>ZALXA SERVICIOS CULINARIOS</v>
      </c>
      <c r="H5099" s="1"/>
    </row>
    <row r="5100" spans="1:8" x14ac:dyDescent="0.35">
      <c r="A5100" s="21"/>
      <c r="B5100" t="s">
        <v>932</v>
      </c>
      <c r="C5100" t="s">
        <v>1693</v>
      </c>
      <c r="D5100" t="s">
        <v>2197</v>
      </c>
      <c r="F5100" s="1">
        <v>45793</v>
      </c>
      <c r="G5100" t="str">
        <f>IF(Table3[[#This Row],[Top Parent Account]]="",Table3[[#This Row],[Account Legal Name]],Table3[[#This Row],[Top Parent Account]])</f>
        <v>Grupo Constructor San Salvador</v>
      </c>
      <c r="H5100" s="1"/>
    </row>
    <row r="5101" spans="1:8" x14ac:dyDescent="0.35">
      <c r="A5101" s="21"/>
      <c r="B5101" t="s">
        <v>1511</v>
      </c>
      <c r="C5101" t="s">
        <v>6</v>
      </c>
      <c r="D5101" t="s">
        <v>2055</v>
      </c>
      <c r="F5101" s="1">
        <v>45793</v>
      </c>
      <c r="G5101" t="str">
        <f>IF(Table3[[#This Row],[Top Parent Account]]="",Table3[[#This Row],[Account Legal Name]],Table3[[#This Row],[Top Parent Account]])</f>
        <v>Fletera Nacional de Gases</v>
      </c>
      <c r="H5101" s="1"/>
    </row>
    <row r="5102" spans="1:8" x14ac:dyDescent="0.35">
      <c r="A5102" s="21"/>
      <c r="B5102" t="s">
        <v>23</v>
      </c>
      <c r="C5102" t="s">
        <v>6</v>
      </c>
      <c r="D5102" t="s">
        <v>813</v>
      </c>
      <c r="F5102" s="1">
        <v>45793</v>
      </c>
      <c r="G5102" t="str">
        <f>IF(Table3[[#This Row],[Top Parent Account]]="",Table3[[#This Row],[Account Legal Name]],Table3[[#This Row],[Top Parent Account]])</f>
        <v>Timoteo Hernández Arteaga</v>
      </c>
      <c r="H5102" s="1"/>
    </row>
    <row r="5103" spans="1:8" x14ac:dyDescent="0.35">
      <c r="A5103" s="21"/>
      <c r="B5103" t="s">
        <v>925</v>
      </c>
      <c r="C5103" t="s">
        <v>6</v>
      </c>
      <c r="D5103" t="s">
        <v>1483</v>
      </c>
      <c r="F5103" s="1">
        <v>45793</v>
      </c>
      <c r="G5103" t="str">
        <f>IF(Table3[[#This Row],[Top Parent Account]]="",Table3[[#This Row],[Account Legal Name]],Table3[[#This Row],[Top Parent Account]])</f>
        <v>Ingeniería y Productos de Acero</v>
      </c>
      <c r="H5103" s="1"/>
    </row>
    <row r="5104" spans="1:8" x14ac:dyDescent="0.35">
      <c r="A5104" s="21"/>
      <c r="B5104" t="s">
        <v>12</v>
      </c>
      <c r="C5104" t="s">
        <v>6</v>
      </c>
      <c r="D5104" t="s">
        <v>2108</v>
      </c>
      <c r="F5104" s="1">
        <v>45793</v>
      </c>
      <c r="G5104" t="str">
        <f>IF(Table3[[#This Row],[Top Parent Account]]="",Table3[[#This Row],[Account Legal Name]],Table3[[#This Row],[Top Parent Account]])</f>
        <v>FUSION DE NEGOCIOS</v>
      </c>
      <c r="H5104" s="1"/>
    </row>
    <row r="5105" spans="1:8" x14ac:dyDescent="0.35">
      <c r="A5105" s="21"/>
      <c r="B5105" t="s">
        <v>375</v>
      </c>
      <c r="C5105" t="s">
        <v>6</v>
      </c>
      <c r="D5105" t="s">
        <v>1354</v>
      </c>
      <c r="F5105" s="1">
        <v>45793</v>
      </c>
      <c r="G5105" t="str">
        <f>IF(Table3[[#This Row],[Top Parent Account]]="",Table3[[#This Row],[Account Legal Name]],Table3[[#This Row],[Top Parent Account]])</f>
        <v>Comercializadora Nareci</v>
      </c>
      <c r="H5105" s="1"/>
    </row>
    <row r="5106" spans="1:8" x14ac:dyDescent="0.35">
      <c r="A5106" s="21"/>
      <c r="B5106" t="s">
        <v>969</v>
      </c>
      <c r="C5106" t="s">
        <v>6</v>
      </c>
      <c r="D5106" t="s">
        <v>2109</v>
      </c>
      <c r="F5106" s="1">
        <v>45793</v>
      </c>
      <c r="G5106" t="str">
        <f>IF(Table3[[#This Row],[Top Parent Account]]="",Table3[[#This Row],[Account Legal Name]],Table3[[#This Row],[Top Parent Account]])</f>
        <v>Asofarma de México</v>
      </c>
      <c r="H5106" s="1"/>
    </row>
    <row r="5107" spans="1:8" x14ac:dyDescent="0.35">
      <c r="A5107" s="21"/>
      <c r="B5107" t="s">
        <v>169</v>
      </c>
      <c r="C5107" t="s">
        <v>6</v>
      </c>
      <c r="D5107" t="s">
        <v>987</v>
      </c>
      <c r="F5107" s="1">
        <v>45793</v>
      </c>
      <c r="G5107" t="str">
        <f>IF(Table3[[#This Row],[Top Parent Account]]="",Table3[[#This Row],[Account Legal Name]],Table3[[#This Row],[Top Parent Account]])</f>
        <v>Elaboradora De Alimentos Pachuca</v>
      </c>
      <c r="H5107" s="1"/>
    </row>
    <row r="5108" spans="1:8" x14ac:dyDescent="0.35">
      <c r="A5108" s="21"/>
      <c r="B5108" t="s">
        <v>925</v>
      </c>
      <c r="C5108" t="s">
        <v>6</v>
      </c>
      <c r="D5108" t="s">
        <v>2110</v>
      </c>
      <c r="F5108" s="1">
        <v>45792</v>
      </c>
      <c r="G5108" t="str">
        <f>IF(Table3[[#This Row],[Top Parent Account]]="",Table3[[#This Row],[Account Legal Name]],Table3[[#This Row],[Top Parent Account]])</f>
        <v>Urvina Servicios Internacionales</v>
      </c>
      <c r="H5108" s="1"/>
    </row>
    <row r="5109" spans="1:8" x14ac:dyDescent="0.35">
      <c r="A5109" s="21"/>
      <c r="B5109" t="s">
        <v>28</v>
      </c>
      <c r="C5109" t="s">
        <v>6</v>
      </c>
      <c r="D5109" t="s">
        <v>2133</v>
      </c>
      <c r="F5109" s="1">
        <v>45792</v>
      </c>
      <c r="G5109" t="str">
        <f>IF(Table3[[#This Row],[Top Parent Account]]="",Table3[[#This Row],[Account Legal Name]],Table3[[#This Row],[Top Parent Account]])</f>
        <v>MINERA INDE DE DURANGO</v>
      </c>
      <c r="H5109" s="1"/>
    </row>
    <row r="5110" spans="1:8" x14ac:dyDescent="0.35">
      <c r="A5110" s="21"/>
      <c r="B5110" t="s">
        <v>121</v>
      </c>
      <c r="C5110" t="s">
        <v>6</v>
      </c>
      <c r="D5110" t="s">
        <v>2198</v>
      </c>
      <c r="F5110" s="1">
        <v>45792</v>
      </c>
      <c r="G5110" t="str">
        <f>IF(Table3[[#This Row],[Top Parent Account]]="",Table3[[#This Row],[Account Legal Name]],Table3[[#This Row],[Top Parent Account]])</f>
        <v>MACAPEX</v>
      </c>
      <c r="H5110" s="1"/>
    </row>
    <row r="5111" spans="1:8" x14ac:dyDescent="0.35">
      <c r="A5111" s="21"/>
      <c r="B5111" t="s">
        <v>969</v>
      </c>
      <c r="C5111" t="s">
        <v>6</v>
      </c>
      <c r="D5111" t="s">
        <v>2111</v>
      </c>
      <c r="F5111" s="1">
        <v>45792</v>
      </c>
      <c r="G5111" t="str">
        <f>IF(Table3[[#This Row],[Top Parent Account]]="",Table3[[#This Row],[Account Legal Name]],Table3[[#This Row],[Top Parent Account]])</f>
        <v>INTEGRACIONES PLASTICAS</v>
      </c>
      <c r="H5111" s="1"/>
    </row>
    <row r="5112" spans="1:8" x14ac:dyDescent="0.35">
      <c r="A5112" s="21"/>
      <c r="B5112" t="s">
        <v>1899</v>
      </c>
      <c r="C5112" t="s">
        <v>6</v>
      </c>
      <c r="D5112" t="s">
        <v>2112</v>
      </c>
      <c r="F5112" s="1">
        <v>45792</v>
      </c>
      <c r="G5112" t="str">
        <f>IF(Table3[[#This Row],[Top Parent Account]]="",Table3[[#This Row],[Account Legal Name]],Table3[[#This Row],[Top Parent Account]])</f>
        <v>Materiales y Etiquetas Millennium</v>
      </c>
      <c r="H5112" s="1"/>
    </row>
    <row r="5113" spans="1:8" x14ac:dyDescent="0.35">
      <c r="A5113" s="21"/>
      <c r="B5113" t="s">
        <v>39</v>
      </c>
      <c r="C5113" t="s">
        <v>57</v>
      </c>
      <c r="D5113" t="s">
        <v>613</v>
      </c>
      <c r="F5113" s="1">
        <v>45792</v>
      </c>
      <c r="G5113" t="str">
        <f>IF(Table3[[#This Row],[Top Parent Account]]="",Table3[[#This Row],[Account Legal Name]],Table3[[#This Row],[Top Parent Account]])</f>
        <v>Grupo Tyg</v>
      </c>
      <c r="H5113" s="1"/>
    </row>
    <row r="5114" spans="1:8" x14ac:dyDescent="0.35">
      <c r="A5114" s="21"/>
      <c r="B5114" t="s">
        <v>77</v>
      </c>
      <c r="C5114" t="s">
        <v>6</v>
      </c>
      <c r="D5114" t="s">
        <v>2058</v>
      </c>
      <c r="F5114" s="1">
        <v>45792</v>
      </c>
      <c r="G5114" t="str">
        <f>IF(Table3[[#This Row],[Top Parent Account]]="",Table3[[#This Row],[Account Legal Name]],Table3[[#This Row],[Top Parent Account]])</f>
        <v>Evolucion en transporte</v>
      </c>
      <c r="H5114" s="1"/>
    </row>
    <row r="5115" spans="1:8" x14ac:dyDescent="0.35">
      <c r="A5115" s="21"/>
      <c r="B5115" t="s">
        <v>21</v>
      </c>
      <c r="C5115" t="s">
        <v>6</v>
      </c>
      <c r="D5115" t="s">
        <v>2059</v>
      </c>
      <c r="F5115" s="1">
        <v>45792</v>
      </c>
      <c r="G5115" t="str">
        <f>IF(Table3[[#This Row],[Top Parent Account]]="",Table3[[#This Row],[Account Legal Name]],Table3[[#This Row],[Top Parent Account]])</f>
        <v>Constructora Danso</v>
      </c>
      <c r="H5115" s="1"/>
    </row>
    <row r="5116" spans="1:8" x14ac:dyDescent="0.35">
      <c r="A5116" s="21"/>
      <c r="B5116" t="s">
        <v>375</v>
      </c>
      <c r="C5116" t="s">
        <v>6</v>
      </c>
      <c r="D5116" t="s">
        <v>2011</v>
      </c>
      <c r="F5116" s="1">
        <v>45792</v>
      </c>
      <c r="G5116" t="str">
        <f>IF(Table3[[#This Row],[Top Parent Account]]="",Table3[[#This Row],[Account Legal Name]],Table3[[#This Row],[Top Parent Account]])</f>
        <v>Enso Comunicacion</v>
      </c>
      <c r="H5116" s="1"/>
    </row>
    <row r="5117" spans="1:8" x14ac:dyDescent="0.35">
      <c r="A5117" s="21"/>
      <c r="B5117" t="s">
        <v>14</v>
      </c>
      <c r="C5117" t="s">
        <v>6</v>
      </c>
      <c r="D5117" t="s">
        <v>2138</v>
      </c>
      <c r="F5117" s="1">
        <v>45792</v>
      </c>
      <c r="G5117" t="str">
        <f>IF(Table3[[#This Row],[Top Parent Account]]="",Table3[[#This Row],[Account Legal Name]],Table3[[#This Row],[Top Parent Account]])</f>
        <v>Cycosa Plasticos</v>
      </c>
      <c r="H5117" s="1"/>
    </row>
    <row r="5118" spans="1:8" x14ac:dyDescent="0.35">
      <c r="A5118" s="21"/>
      <c r="B5118" t="s">
        <v>925</v>
      </c>
      <c r="C5118" t="s">
        <v>6</v>
      </c>
      <c r="D5118" t="s">
        <v>94</v>
      </c>
      <c r="F5118" s="1">
        <v>45792</v>
      </c>
      <c r="G5118" t="str">
        <f>IF(Table3[[#This Row],[Top Parent Account]]="",Table3[[#This Row],[Account Legal Name]],Table3[[#This Row],[Top Parent Account]])</f>
        <v>Grupo Atsa</v>
      </c>
      <c r="H5118" s="1"/>
    </row>
    <row r="5119" spans="1:8" x14ac:dyDescent="0.35">
      <c r="A5119" s="21"/>
      <c r="B5119" t="s">
        <v>10</v>
      </c>
      <c r="C5119" t="s">
        <v>6</v>
      </c>
      <c r="D5119" t="s">
        <v>2060</v>
      </c>
      <c r="F5119" s="1">
        <v>45792</v>
      </c>
      <c r="G5119" t="str">
        <f>IF(Table3[[#This Row],[Top Parent Account]]="",Table3[[#This Row],[Account Legal Name]],Table3[[#This Row],[Top Parent Account]])</f>
        <v>Copreci de México</v>
      </c>
      <c r="H5119" s="1"/>
    </row>
    <row r="5120" spans="1:8" x14ac:dyDescent="0.35">
      <c r="A5120" s="21"/>
      <c r="B5120" t="s">
        <v>23</v>
      </c>
      <c r="C5120" t="s">
        <v>6</v>
      </c>
      <c r="D5120" t="s">
        <v>685</v>
      </c>
      <c r="F5120" s="1">
        <v>45792</v>
      </c>
      <c r="G5120" t="str">
        <f>IF(Table3[[#This Row],[Top Parent Account]]="",Table3[[#This Row],[Account Legal Name]],Table3[[#This Row],[Top Parent Account]])</f>
        <v>Fgr Proyectos Integrales E Industriales</v>
      </c>
      <c r="H5120" s="1"/>
    </row>
    <row r="5121" spans="1:8" x14ac:dyDescent="0.35">
      <c r="A5121" s="21"/>
      <c r="B5121" t="s">
        <v>169</v>
      </c>
      <c r="C5121" t="s">
        <v>6</v>
      </c>
      <c r="D5121" t="s">
        <v>2061</v>
      </c>
      <c r="F5121" s="1">
        <v>45792</v>
      </c>
      <c r="G5121" t="str">
        <f>IF(Table3[[#This Row],[Top Parent Account]]="",Table3[[#This Row],[Account Legal Name]],Table3[[#This Row],[Top Parent Account]])</f>
        <v>Transportes Nifer de Hidalgo</v>
      </c>
      <c r="H5121" s="1"/>
    </row>
    <row r="5122" spans="1:8" x14ac:dyDescent="0.35">
      <c r="A5122" s="21"/>
      <c r="B5122" t="s">
        <v>1511</v>
      </c>
      <c r="C5122" t="s">
        <v>22</v>
      </c>
      <c r="D5122" t="s">
        <v>2113</v>
      </c>
      <c r="F5122" s="1">
        <v>45792</v>
      </c>
      <c r="G5122" t="str">
        <f>IF(Table3[[#This Row],[Top Parent Account]]="",Table3[[#This Row],[Account Legal Name]],Table3[[#This Row],[Top Parent Account]])</f>
        <v>Prome Del Norte</v>
      </c>
      <c r="H5122" s="1"/>
    </row>
    <row r="5123" spans="1:8" x14ac:dyDescent="0.35">
      <c r="A5123" s="21"/>
      <c r="B5123" t="s">
        <v>70</v>
      </c>
      <c r="C5123" t="s">
        <v>6</v>
      </c>
      <c r="D5123" t="s">
        <v>2114</v>
      </c>
      <c r="F5123" s="1">
        <v>45792</v>
      </c>
      <c r="G5123" t="str">
        <f>IF(Table3[[#This Row],[Top Parent Account]]="",Table3[[#This Row],[Account Legal Name]],Table3[[#This Row],[Top Parent Account]])</f>
        <v>Investigación y Hematología</v>
      </c>
      <c r="H5123" s="1"/>
    </row>
    <row r="5124" spans="1:8" x14ac:dyDescent="0.35">
      <c r="A5124" s="21"/>
      <c r="B5124" t="s">
        <v>208</v>
      </c>
      <c r="C5124" t="s">
        <v>6</v>
      </c>
      <c r="D5124" t="s">
        <v>2199</v>
      </c>
      <c r="F5124" s="1">
        <v>45792</v>
      </c>
      <c r="G5124" t="str">
        <f>IF(Table3[[#This Row],[Top Parent Account]]="",Table3[[#This Row],[Account Legal Name]],Table3[[#This Row],[Top Parent Account]])</f>
        <v>Express Logistics Ramy</v>
      </c>
      <c r="H5124" s="1"/>
    </row>
    <row r="5125" spans="1:8" x14ac:dyDescent="0.35">
      <c r="A5125" s="21"/>
      <c r="B5125" t="s">
        <v>27</v>
      </c>
      <c r="C5125" t="s">
        <v>22</v>
      </c>
      <c r="D5125" t="s">
        <v>1289</v>
      </c>
      <c r="F5125" s="1">
        <v>45792</v>
      </c>
      <c r="G5125" t="str">
        <f>IF(Table3[[#This Row],[Top Parent Account]]="",Table3[[#This Row],[Account Legal Name]],Table3[[#This Row],[Top Parent Account]])</f>
        <v>Miraclon</v>
      </c>
      <c r="H5125" s="1"/>
    </row>
    <row r="5126" spans="1:8" x14ac:dyDescent="0.35">
      <c r="A5126" s="21"/>
      <c r="B5126" t="s">
        <v>27</v>
      </c>
      <c r="C5126" t="s">
        <v>6</v>
      </c>
      <c r="D5126" t="s">
        <v>1283</v>
      </c>
      <c r="F5126" s="1">
        <v>45792</v>
      </c>
      <c r="G5126" t="str">
        <f>IF(Table3[[#This Row],[Top Parent Account]]="",Table3[[#This Row],[Account Legal Name]],Table3[[#This Row],[Top Parent Account]])</f>
        <v>Laboratorios Jaloma</v>
      </c>
      <c r="H5126" s="1"/>
    </row>
    <row r="5127" spans="1:8" x14ac:dyDescent="0.35">
      <c r="A5127" s="21"/>
      <c r="B5127" t="s">
        <v>30</v>
      </c>
      <c r="C5127" t="s">
        <v>6</v>
      </c>
      <c r="D5127" t="s">
        <v>522</v>
      </c>
      <c r="F5127" s="1">
        <v>45792</v>
      </c>
      <c r="G5127" t="str">
        <f>IF(Table3[[#This Row],[Top Parent Account]]="",Table3[[#This Row],[Account Legal Name]],Table3[[#This Row],[Top Parent Account]])</f>
        <v>Mercantil de Productos Morelos</v>
      </c>
      <c r="H5127" s="1"/>
    </row>
    <row r="5128" spans="1:8" x14ac:dyDescent="0.35">
      <c r="A5128" s="21"/>
      <c r="B5128" t="s">
        <v>23</v>
      </c>
      <c r="C5128" t="s">
        <v>6</v>
      </c>
      <c r="D5128" t="s">
        <v>2062</v>
      </c>
      <c r="F5128" s="1">
        <v>45792</v>
      </c>
      <c r="G5128" t="str">
        <f>IF(Table3[[#This Row],[Top Parent Account]]="",Table3[[#This Row],[Account Legal Name]],Table3[[#This Row],[Top Parent Account]])</f>
        <v>Famep</v>
      </c>
      <c r="H5128" s="1"/>
    </row>
    <row r="5129" spans="1:8" x14ac:dyDescent="0.35">
      <c r="A5129" s="21"/>
      <c r="B5129" t="s">
        <v>39</v>
      </c>
      <c r="C5129" t="s">
        <v>178</v>
      </c>
      <c r="D5129" t="s">
        <v>520</v>
      </c>
      <c r="F5129" s="1">
        <v>45792</v>
      </c>
      <c r="G5129" t="str">
        <f>IF(Table3[[#This Row],[Top Parent Account]]="",Table3[[#This Row],[Account Legal Name]],Table3[[#This Row],[Top Parent Account]])</f>
        <v>Comercializadora de Alimentos Ochoa</v>
      </c>
      <c r="H5129" s="1"/>
    </row>
    <row r="5130" spans="1:8" x14ac:dyDescent="0.35">
      <c r="A5130" s="21"/>
      <c r="B5130" t="s">
        <v>1006</v>
      </c>
      <c r="C5130" t="s">
        <v>6</v>
      </c>
      <c r="D5130" t="s">
        <v>1491</v>
      </c>
      <c r="F5130" s="1">
        <v>45792</v>
      </c>
      <c r="G5130" t="str">
        <f>IF(Table3[[#This Row],[Top Parent Account]]="",Table3[[#This Row],[Account Legal Name]],Table3[[#This Row],[Top Parent Account]])</f>
        <v>GRUPO MOC</v>
      </c>
      <c r="H5130" s="1"/>
    </row>
    <row r="5131" spans="1:8" x14ac:dyDescent="0.35">
      <c r="A5131" s="21"/>
      <c r="B5131" t="s">
        <v>932</v>
      </c>
      <c r="C5131" t="s">
        <v>2063</v>
      </c>
      <c r="D5131" t="s">
        <v>2064</v>
      </c>
      <c r="F5131" s="1">
        <v>45792</v>
      </c>
      <c r="G5131" t="str">
        <f>IF(Table3[[#This Row],[Top Parent Account]]="",Table3[[#This Row],[Account Legal Name]],Table3[[#This Row],[Top Parent Account]])</f>
        <v>Védat de Mexico</v>
      </c>
      <c r="H5131" s="1"/>
    </row>
    <row r="5132" spans="1:8" x14ac:dyDescent="0.35">
      <c r="A5132" s="21"/>
      <c r="B5132" t="s">
        <v>56</v>
      </c>
      <c r="C5132" t="s">
        <v>6</v>
      </c>
      <c r="D5132" t="s">
        <v>2065</v>
      </c>
      <c r="F5132" s="1">
        <v>45792</v>
      </c>
      <c r="G5132" t="str">
        <f>IF(Table3[[#This Row],[Top Parent Account]]="",Table3[[#This Row],[Account Legal Name]],Table3[[#This Row],[Top Parent Account]])</f>
        <v>Maquiladora Miniara</v>
      </c>
      <c r="H5132" s="1"/>
    </row>
    <row r="5133" spans="1:8" x14ac:dyDescent="0.35">
      <c r="A5133" s="21"/>
      <c r="B5133" t="s">
        <v>969</v>
      </c>
      <c r="C5133" t="s">
        <v>6</v>
      </c>
      <c r="D5133" t="s">
        <v>732</v>
      </c>
      <c r="F5133" s="1">
        <v>45792</v>
      </c>
      <c r="G5133" t="str">
        <f>IF(Table3[[#This Row],[Top Parent Account]]="",Table3[[#This Row],[Account Legal Name]],Table3[[#This Row],[Top Parent Account]])</f>
        <v>Aura Proyectos Sustentables</v>
      </c>
      <c r="H5133" s="1"/>
    </row>
    <row r="5134" spans="1:8" x14ac:dyDescent="0.35">
      <c r="A5134" s="21"/>
      <c r="B5134" t="s">
        <v>14</v>
      </c>
      <c r="C5134" t="s">
        <v>6</v>
      </c>
      <c r="D5134" t="s">
        <v>1193</v>
      </c>
      <c r="F5134" s="1">
        <v>45792</v>
      </c>
      <c r="G5134" t="str">
        <f>IF(Table3[[#This Row],[Top Parent Account]]="",Table3[[#This Row],[Account Legal Name]],Table3[[#This Row],[Top Parent Account]])</f>
        <v>CONSEJO REGULADOR DEL TEQUILA</v>
      </c>
      <c r="H5134" s="1"/>
    </row>
    <row r="5135" spans="1:8" x14ac:dyDescent="0.35">
      <c r="A5135" s="21"/>
      <c r="B5135" t="s">
        <v>1899</v>
      </c>
      <c r="C5135" t="s">
        <v>6</v>
      </c>
      <c r="D5135" t="s">
        <v>2115</v>
      </c>
      <c r="F5135" s="1">
        <v>45792</v>
      </c>
      <c r="G5135" t="str">
        <f>IF(Table3[[#This Row],[Top Parent Account]]="",Table3[[#This Row],[Account Legal Name]],Table3[[#This Row],[Top Parent Account]])</f>
        <v>Mazter Maderas</v>
      </c>
      <c r="H5135" s="1"/>
    </row>
    <row r="5136" spans="1:8" x14ac:dyDescent="0.35">
      <c r="A5136" s="21"/>
      <c r="B5136" t="s">
        <v>932</v>
      </c>
      <c r="C5136" t="s">
        <v>1986</v>
      </c>
      <c r="D5136" t="s">
        <v>65</v>
      </c>
      <c r="F5136" s="1">
        <v>45792</v>
      </c>
      <c r="G5136" t="str">
        <f>IF(Table3[[#This Row],[Top Parent Account]]="",Table3[[#This Row],[Account Legal Name]],Table3[[#This Row],[Top Parent Account]])</f>
        <v>Smart Center</v>
      </c>
      <c r="H5136" s="1"/>
    </row>
    <row r="5137" spans="1:8" x14ac:dyDescent="0.35">
      <c r="A5137" s="21"/>
      <c r="B5137" t="s">
        <v>29</v>
      </c>
      <c r="C5137" t="s">
        <v>6</v>
      </c>
      <c r="D5137" t="s">
        <v>701</v>
      </c>
      <c r="F5137" s="1">
        <v>45792</v>
      </c>
      <c r="G5137" t="str">
        <f>IF(Table3[[#This Row],[Top Parent Account]]="",Table3[[#This Row],[Account Legal Name]],Table3[[#This Row],[Top Parent Account]])</f>
        <v>Ultra Laboratorios</v>
      </c>
      <c r="H5137" s="1"/>
    </row>
    <row r="5138" spans="1:8" x14ac:dyDescent="0.35">
      <c r="A5138" s="21"/>
      <c r="B5138" t="s">
        <v>39</v>
      </c>
      <c r="C5138" t="s">
        <v>2066</v>
      </c>
      <c r="D5138" t="s">
        <v>1903</v>
      </c>
      <c r="F5138" s="1">
        <v>45792</v>
      </c>
      <c r="G5138" t="str">
        <f>IF(Table3[[#This Row],[Top Parent Account]]="",Table3[[#This Row],[Account Legal Name]],Table3[[#This Row],[Top Parent Account]])</f>
        <v>EWS</v>
      </c>
      <c r="H5138" s="1"/>
    </row>
    <row r="5139" spans="1:8" x14ac:dyDescent="0.35">
      <c r="A5139" s="21"/>
      <c r="B5139" t="s">
        <v>30</v>
      </c>
      <c r="C5139" t="s">
        <v>6</v>
      </c>
      <c r="D5139" t="s">
        <v>418</v>
      </c>
      <c r="F5139" s="1">
        <v>45792</v>
      </c>
      <c r="G5139" t="str">
        <f>IF(Table3[[#This Row],[Top Parent Account]]="",Table3[[#This Row],[Account Legal Name]],Table3[[#This Row],[Top Parent Account]])</f>
        <v>Grupo Altex</v>
      </c>
      <c r="H5139" s="1"/>
    </row>
    <row r="5140" spans="1:8" x14ac:dyDescent="0.35">
      <c r="A5140" s="21"/>
      <c r="B5140" t="s">
        <v>24</v>
      </c>
      <c r="C5140" t="s">
        <v>6</v>
      </c>
      <c r="D5140" t="s">
        <v>2067</v>
      </c>
      <c r="E5140" t="s">
        <v>1048</v>
      </c>
      <c r="F5140" s="1">
        <v>45792</v>
      </c>
      <c r="G5140" t="str">
        <f>IF(Table3[[#This Row],[Top Parent Account]]="",Table3[[#This Row],[Account Legal Name]],Table3[[#This Row],[Top Parent Account]])</f>
        <v>Ingenio El Molino</v>
      </c>
      <c r="H5140" s="1"/>
    </row>
    <row r="5141" spans="1:8" x14ac:dyDescent="0.35">
      <c r="A5141" s="21"/>
      <c r="B5141" t="s">
        <v>12</v>
      </c>
      <c r="C5141" t="s">
        <v>6</v>
      </c>
      <c r="D5141" t="s">
        <v>557</v>
      </c>
      <c r="F5141" s="1">
        <v>45792</v>
      </c>
      <c r="G5141" t="str">
        <f>IF(Table3[[#This Row],[Top Parent Account]]="",Table3[[#This Row],[Account Legal Name]],Table3[[#This Row],[Top Parent Account]])</f>
        <v>Celulares y Accesorios del Sureste S.A.</v>
      </c>
      <c r="H5141" s="1"/>
    </row>
    <row r="5142" spans="1:8" x14ac:dyDescent="0.35">
      <c r="A5142" s="21"/>
      <c r="B5142" t="s">
        <v>12</v>
      </c>
      <c r="C5142" t="s">
        <v>6</v>
      </c>
      <c r="D5142" t="s">
        <v>2116</v>
      </c>
      <c r="F5142" s="1">
        <v>45792</v>
      </c>
      <c r="G5142" t="str">
        <f>IF(Table3[[#This Row],[Top Parent Account]]="",Table3[[#This Row],[Account Legal Name]],Table3[[#This Row],[Top Parent Account]])</f>
        <v>Dimapesa</v>
      </c>
      <c r="H5142" s="1"/>
    </row>
    <row r="5143" spans="1:8" x14ac:dyDescent="0.35">
      <c r="A5143" s="21"/>
      <c r="B5143" t="s">
        <v>77</v>
      </c>
      <c r="C5143" t="s">
        <v>6</v>
      </c>
      <c r="D5143" t="s">
        <v>246</v>
      </c>
      <c r="F5143" s="1">
        <v>45792</v>
      </c>
      <c r="G5143" t="str">
        <f>IF(Table3[[#This Row],[Top Parent Account]]="",Table3[[#This Row],[Account Legal Name]],Table3[[#This Row],[Top Parent Account]])</f>
        <v>Procesadora Rio San Pedro</v>
      </c>
      <c r="H5143" s="1"/>
    </row>
    <row r="5144" spans="1:8" x14ac:dyDescent="0.35">
      <c r="A5144" s="21"/>
      <c r="B5144" t="s">
        <v>12</v>
      </c>
      <c r="C5144" t="s">
        <v>6</v>
      </c>
      <c r="D5144" t="s">
        <v>413</v>
      </c>
      <c r="F5144" s="1">
        <v>45792</v>
      </c>
      <c r="G5144" t="str">
        <f>IF(Table3[[#This Row],[Top Parent Account]]="",Table3[[#This Row],[Account Legal Name]],Table3[[#This Row],[Top Parent Account]])</f>
        <v>econoflete fletes y mudanzas</v>
      </c>
      <c r="H5144" s="1"/>
    </row>
    <row r="5145" spans="1:8" x14ac:dyDescent="0.35">
      <c r="A5145" s="21"/>
      <c r="B5145" t="s">
        <v>1899</v>
      </c>
      <c r="C5145" t="s">
        <v>6</v>
      </c>
      <c r="D5145" t="s">
        <v>634</v>
      </c>
      <c r="F5145" s="1">
        <v>45792</v>
      </c>
      <c r="G5145" t="str">
        <f>IF(Table3[[#This Row],[Top Parent Account]]="",Table3[[#This Row],[Account Legal Name]],Table3[[#This Row],[Top Parent Account]])</f>
        <v>A0 Skylum</v>
      </c>
      <c r="H5145" s="1"/>
    </row>
    <row r="5146" spans="1:8" x14ac:dyDescent="0.35">
      <c r="A5146" s="21"/>
      <c r="B5146" t="s">
        <v>1899</v>
      </c>
      <c r="C5146" t="s">
        <v>6</v>
      </c>
      <c r="D5146" t="s">
        <v>2117</v>
      </c>
      <c r="F5146" s="1">
        <v>45792</v>
      </c>
      <c r="G5146" t="str">
        <f>IF(Table3[[#This Row],[Top Parent Account]]="",Table3[[#This Row],[Account Legal Name]],Table3[[#This Row],[Top Parent Account]])</f>
        <v>Sbcbsg Company de México</v>
      </c>
      <c r="H5146" s="1"/>
    </row>
    <row r="5147" spans="1:8" x14ac:dyDescent="0.35">
      <c r="A5147" s="21"/>
      <c r="B5147" t="s">
        <v>39</v>
      </c>
      <c r="C5147" t="s">
        <v>1030</v>
      </c>
      <c r="D5147" t="s">
        <v>523</v>
      </c>
      <c r="F5147" s="1">
        <v>45792</v>
      </c>
      <c r="G5147" t="str">
        <f>IF(Table3[[#This Row],[Top Parent Account]]="",Table3[[#This Row],[Account Legal Name]],Table3[[#This Row],[Top Parent Account]])</f>
        <v>Aluminio de Baja California</v>
      </c>
      <c r="H5147" s="1"/>
    </row>
    <row r="5148" spans="1:8" x14ac:dyDescent="0.35">
      <c r="A5148" s="21"/>
      <c r="B5148" t="s">
        <v>8</v>
      </c>
      <c r="C5148" t="s">
        <v>6</v>
      </c>
      <c r="D5148" t="s">
        <v>2200</v>
      </c>
      <c r="F5148" s="1">
        <v>45792</v>
      </c>
      <c r="G5148" t="str">
        <f>IF(Table3[[#This Row],[Top Parent Account]]="",Table3[[#This Row],[Account Legal Name]],Table3[[#This Row],[Top Parent Account]])</f>
        <v>JCB</v>
      </c>
      <c r="H5148" s="1"/>
    </row>
    <row r="5149" spans="1:8" x14ac:dyDescent="0.35">
      <c r="A5149" s="21"/>
      <c r="B5149" t="s">
        <v>114</v>
      </c>
      <c r="C5149" t="s">
        <v>6</v>
      </c>
      <c r="D5149" t="s">
        <v>2068</v>
      </c>
      <c r="F5149" s="1">
        <v>45791</v>
      </c>
      <c r="G5149" t="str">
        <f>IF(Table3[[#This Row],[Top Parent Account]]="",Table3[[#This Row],[Account Legal Name]],Table3[[#This Row],[Top Parent Account]])</f>
        <v>OPERADORA 2 MONTES</v>
      </c>
      <c r="H5149" s="1"/>
    </row>
    <row r="5150" spans="1:8" x14ac:dyDescent="0.35">
      <c r="A5150" s="21"/>
      <c r="B5150" t="s">
        <v>23</v>
      </c>
      <c r="C5150" t="s">
        <v>6</v>
      </c>
      <c r="D5150" t="s">
        <v>2069</v>
      </c>
      <c r="F5150" s="1">
        <v>45791</v>
      </c>
      <c r="G5150" t="str">
        <f>IF(Table3[[#This Row],[Top Parent Account]]="",Table3[[#This Row],[Account Legal Name]],Table3[[#This Row],[Top Parent Account]])</f>
        <v>CR INVERSIONES</v>
      </c>
      <c r="H5150" s="1"/>
    </row>
    <row r="5151" spans="1:8" x14ac:dyDescent="0.35">
      <c r="A5151" s="21"/>
      <c r="B5151" t="s">
        <v>15</v>
      </c>
      <c r="C5151" t="s">
        <v>6</v>
      </c>
      <c r="D5151" t="s">
        <v>2070</v>
      </c>
      <c r="F5151" s="1">
        <v>45791</v>
      </c>
      <c r="G5151" t="str">
        <f>IF(Table3[[#This Row],[Top Parent Account]]="",Table3[[#This Row],[Account Legal Name]],Table3[[#This Row],[Top Parent Account]])</f>
        <v>Eurus Aviation</v>
      </c>
      <c r="H5151" s="1"/>
    </row>
    <row r="5152" spans="1:8" x14ac:dyDescent="0.35">
      <c r="A5152" s="21"/>
      <c r="B5152" t="s">
        <v>14</v>
      </c>
      <c r="C5152" t="s">
        <v>6</v>
      </c>
      <c r="D5152" t="s">
        <v>2139</v>
      </c>
      <c r="F5152" s="1">
        <v>45791</v>
      </c>
      <c r="G5152" t="str">
        <f>IF(Table3[[#This Row],[Top Parent Account]]="",Table3[[#This Row],[Account Legal Name]],Table3[[#This Row],[Top Parent Account]])</f>
        <v>Polytipo de Occidente</v>
      </c>
      <c r="H5152" s="1"/>
    </row>
    <row r="5153" spans="1:8" x14ac:dyDescent="0.35">
      <c r="A5153" s="21"/>
      <c r="B5153" t="s">
        <v>121</v>
      </c>
      <c r="C5153" t="s">
        <v>6</v>
      </c>
      <c r="D5153" t="s">
        <v>2201</v>
      </c>
      <c r="F5153" s="1">
        <v>45791</v>
      </c>
      <c r="G5153" t="str">
        <f>IF(Table3[[#This Row],[Top Parent Account]]="",Table3[[#This Row],[Account Legal Name]],Table3[[#This Row],[Top Parent Account]])</f>
        <v>Soy Acero</v>
      </c>
      <c r="H5153" s="1"/>
    </row>
    <row r="5154" spans="1:8" x14ac:dyDescent="0.35">
      <c r="A5154" s="21"/>
      <c r="B5154" t="s">
        <v>208</v>
      </c>
      <c r="C5154" t="s">
        <v>6</v>
      </c>
      <c r="D5154" t="s">
        <v>2071</v>
      </c>
      <c r="F5154" s="1">
        <v>45791</v>
      </c>
      <c r="G5154" t="str">
        <f>IF(Table3[[#This Row],[Top Parent Account]]="",Table3[[#This Row],[Account Legal Name]],Table3[[#This Row],[Top Parent Account]])</f>
        <v>Shacman / Spartan Motors México</v>
      </c>
      <c r="H5154" s="1"/>
    </row>
    <row r="5155" spans="1:8" x14ac:dyDescent="0.35">
      <c r="A5155" s="21"/>
      <c r="B5155" t="s">
        <v>39</v>
      </c>
      <c r="C5155" t="s">
        <v>2072</v>
      </c>
      <c r="D5155" t="s">
        <v>2073</v>
      </c>
      <c r="F5155" s="1">
        <v>45791</v>
      </c>
      <c r="G5155" t="str">
        <f>IF(Table3[[#This Row],[Top Parent Account]]="",Table3[[#This Row],[Account Legal Name]],Table3[[#This Row],[Top Parent Account]])</f>
        <v>Agricultores Unidos de Mexicali</v>
      </c>
      <c r="H5155" s="1"/>
    </row>
    <row r="5156" spans="1:8" x14ac:dyDescent="0.35">
      <c r="A5156" s="21"/>
      <c r="B5156" t="s">
        <v>28</v>
      </c>
      <c r="C5156" t="s">
        <v>6</v>
      </c>
      <c r="D5156" t="s">
        <v>1226</v>
      </c>
      <c r="F5156" s="1">
        <v>45791</v>
      </c>
      <c r="G5156" t="str">
        <f>IF(Table3[[#This Row],[Top Parent Account]]="",Table3[[#This Row],[Account Legal Name]],Table3[[#This Row],[Top Parent Account]])</f>
        <v>Salci</v>
      </c>
      <c r="H5156" s="1"/>
    </row>
    <row r="5157" spans="1:8" x14ac:dyDescent="0.35">
      <c r="A5157" s="21"/>
      <c r="B5157" t="s">
        <v>27</v>
      </c>
      <c r="C5157" t="s">
        <v>6</v>
      </c>
      <c r="D5157" t="s">
        <v>36</v>
      </c>
      <c r="F5157" s="1">
        <v>45791</v>
      </c>
      <c r="G5157" t="str">
        <f>IF(Table3[[#This Row],[Top Parent Account]]="",Table3[[#This Row],[Account Legal Name]],Table3[[#This Row],[Top Parent Account]])</f>
        <v>Grupo TRACSA</v>
      </c>
      <c r="H5157" s="1"/>
    </row>
    <row r="5158" spans="1:8" x14ac:dyDescent="0.35">
      <c r="A5158" s="21"/>
      <c r="B5158" t="s">
        <v>280</v>
      </c>
      <c r="C5158" t="s">
        <v>6</v>
      </c>
      <c r="D5158" t="s">
        <v>2074</v>
      </c>
      <c r="F5158" s="1">
        <v>45791</v>
      </c>
      <c r="G5158" t="str">
        <f>IF(Table3[[#This Row],[Top Parent Account]]="",Table3[[#This Row],[Account Legal Name]],Table3[[#This Row],[Top Parent Account]])</f>
        <v>INDUSTRIAS PLASTICAS DEL CENTRO</v>
      </c>
      <c r="H5158" s="1"/>
    </row>
    <row r="5159" spans="1:8" x14ac:dyDescent="0.35">
      <c r="A5159" s="21"/>
      <c r="B5159" t="s">
        <v>10</v>
      </c>
      <c r="C5159" t="s">
        <v>6</v>
      </c>
      <c r="D5159" t="s">
        <v>455</v>
      </c>
      <c r="F5159" s="1">
        <v>45791</v>
      </c>
      <c r="G5159" t="str">
        <f>IF(Table3[[#This Row],[Top Parent Account]]="",Table3[[#This Row],[Account Legal Name]],Table3[[#This Row],[Top Parent Account]])</f>
        <v>Convertidora Gmv</v>
      </c>
      <c r="H5159" s="1"/>
    </row>
    <row r="5160" spans="1:8" x14ac:dyDescent="0.35">
      <c r="A5160" s="21"/>
      <c r="B5160" t="s">
        <v>25</v>
      </c>
      <c r="C5160" t="s">
        <v>6</v>
      </c>
      <c r="D5160" t="s">
        <v>2122</v>
      </c>
      <c r="E5160" t="s">
        <v>2123</v>
      </c>
      <c r="F5160" s="1">
        <v>45791</v>
      </c>
      <c r="G5160" t="str">
        <f>IF(Table3[[#This Row],[Top Parent Account]]="",Table3[[#This Row],[Account Legal Name]],Table3[[#This Row],[Top Parent Account]])</f>
        <v>Inversiones Turísticas Cancún</v>
      </c>
      <c r="H5160" s="1"/>
    </row>
    <row r="5161" spans="1:8" x14ac:dyDescent="0.35">
      <c r="A5161" s="21"/>
      <c r="B5161" t="s">
        <v>12</v>
      </c>
      <c r="C5161" t="s">
        <v>6</v>
      </c>
      <c r="D5161" t="s">
        <v>2119</v>
      </c>
      <c r="E5161" t="s">
        <v>2518</v>
      </c>
      <c r="F5161" s="1">
        <v>45791</v>
      </c>
      <c r="G5161" t="str">
        <f>IF(Table3[[#This Row],[Top Parent Account]]="",Table3[[#This Row],[Account Legal Name]],Table3[[#This Row],[Top Parent Account]])</f>
        <v>Vive Grupo Constructor</v>
      </c>
      <c r="H5161" s="1"/>
    </row>
    <row r="5162" spans="1:8" x14ac:dyDescent="0.35">
      <c r="A5162" s="21"/>
      <c r="B5162" t="s">
        <v>39</v>
      </c>
      <c r="C5162" t="s">
        <v>945</v>
      </c>
      <c r="D5162" t="s">
        <v>2075</v>
      </c>
      <c r="F5162" s="1">
        <v>45791</v>
      </c>
      <c r="G5162" t="str">
        <f>IF(Table3[[#This Row],[Top Parent Account]]="",Table3[[#This Row],[Account Legal Name]],Table3[[#This Row],[Top Parent Account]])</f>
        <v>Agricola Mexicali</v>
      </c>
      <c r="H5162" s="1"/>
    </row>
    <row r="5163" spans="1:8" x14ac:dyDescent="0.35">
      <c r="A5163" s="21"/>
      <c r="B5163" t="s">
        <v>208</v>
      </c>
      <c r="C5163" t="s">
        <v>6</v>
      </c>
      <c r="D5163" t="s">
        <v>1714</v>
      </c>
      <c r="F5163" s="1">
        <v>45791</v>
      </c>
      <c r="G5163" t="str">
        <f>IF(Table3[[#This Row],[Top Parent Account]]="",Table3[[#This Row],[Account Legal Name]],Table3[[#This Row],[Top Parent Account]])</f>
        <v>SERTI</v>
      </c>
      <c r="H5163" s="1"/>
    </row>
    <row r="5164" spans="1:8" x14ac:dyDescent="0.35">
      <c r="A5164" s="21"/>
      <c r="B5164" t="s">
        <v>78</v>
      </c>
      <c r="C5164" t="s">
        <v>6</v>
      </c>
      <c r="D5164" t="s">
        <v>2202</v>
      </c>
      <c r="F5164" s="1">
        <v>45791</v>
      </c>
      <c r="G5164" t="str">
        <f>IF(Table3[[#This Row],[Top Parent Account]]="",Table3[[#This Row],[Account Legal Name]],Table3[[#This Row],[Top Parent Account]])</f>
        <v>Logistic DL</v>
      </c>
      <c r="H5164" s="1"/>
    </row>
    <row r="5165" spans="1:8" x14ac:dyDescent="0.35">
      <c r="A5165" s="21"/>
      <c r="B5165" t="s">
        <v>25</v>
      </c>
      <c r="C5165" t="s">
        <v>6</v>
      </c>
      <c r="D5165" t="s">
        <v>2118</v>
      </c>
      <c r="F5165" s="1">
        <v>45791</v>
      </c>
      <c r="G5165" t="str">
        <f>IF(Table3[[#This Row],[Top Parent Account]]="",Table3[[#This Row],[Account Legal Name]],Table3[[#This Row],[Top Parent Account]])</f>
        <v>Interpack Solutions</v>
      </c>
      <c r="H5165" s="1"/>
    </row>
    <row r="5166" spans="1:8" x14ac:dyDescent="0.35">
      <c r="A5166" s="21"/>
      <c r="B5166" t="s">
        <v>12</v>
      </c>
      <c r="C5166" t="s">
        <v>6</v>
      </c>
      <c r="D5166" t="s">
        <v>2120</v>
      </c>
      <c r="F5166" s="1">
        <v>45791</v>
      </c>
      <c r="G5166" t="str">
        <f>IF(Table3[[#This Row],[Top Parent Account]]="",Table3[[#This Row],[Account Legal Name]],Table3[[#This Row],[Top Parent Account]])</f>
        <v>Giovani Aleksis Manzano Argoytia</v>
      </c>
      <c r="H5166" s="1"/>
    </row>
    <row r="5167" spans="1:8" x14ac:dyDescent="0.35">
      <c r="A5167" s="21"/>
      <c r="B5167" t="s">
        <v>1511</v>
      </c>
      <c r="C5167" t="s">
        <v>22</v>
      </c>
      <c r="D5167" t="s">
        <v>2121</v>
      </c>
      <c r="F5167" s="1">
        <v>45791</v>
      </c>
      <c r="G5167" t="str">
        <f>IF(Table3[[#This Row],[Top Parent Account]]="",Table3[[#This Row],[Account Legal Name]],Table3[[#This Row],[Top Parent Account]])</f>
        <v>Grupo Inmobiliario Arrendador</v>
      </c>
      <c r="H5167" s="1"/>
    </row>
    <row r="5168" spans="1:8" x14ac:dyDescent="0.35">
      <c r="A5168" s="21"/>
      <c r="B5168" t="s">
        <v>969</v>
      </c>
      <c r="C5168" t="s">
        <v>6</v>
      </c>
      <c r="D5168" t="s">
        <v>2077</v>
      </c>
      <c r="F5168" s="1">
        <v>45791</v>
      </c>
      <c r="G5168" t="str">
        <f>IF(Table3[[#This Row],[Top Parent Account]]="",Table3[[#This Row],[Account Legal Name]],Table3[[#This Row],[Top Parent Account]])</f>
        <v>Kaktus Seguridad Privada</v>
      </c>
      <c r="H5168" s="1"/>
    </row>
    <row r="5169" spans="1:8" x14ac:dyDescent="0.35">
      <c r="A5169" s="21"/>
      <c r="B5169" t="s">
        <v>932</v>
      </c>
      <c r="C5169" t="s">
        <v>2124</v>
      </c>
      <c r="D5169" t="s">
        <v>1934</v>
      </c>
      <c r="F5169" s="1">
        <v>45791</v>
      </c>
      <c r="G5169" t="str">
        <f>IF(Table3[[#This Row],[Top Parent Account]]="",Table3[[#This Row],[Account Legal Name]],Table3[[#This Row],[Top Parent Account]])</f>
        <v>LANDUX</v>
      </c>
      <c r="H5169" s="1"/>
    </row>
    <row r="5170" spans="1:8" x14ac:dyDescent="0.35">
      <c r="A5170" s="21"/>
      <c r="B5170" t="s">
        <v>77</v>
      </c>
      <c r="C5170" t="s">
        <v>6</v>
      </c>
      <c r="D5170" t="s">
        <v>721</v>
      </c>
      <c r="F5170" s="1">
        <v>45791</v>
      </c>
      <c r="G5170" t="str">
        <f>IF(Table3[[#This Row],[Top Parent Account]]="",Table3[[#This Row],[Account Legal Name]],Table3[[#This Row],[Top Parent Account]])</f>
        <v>GENESIS SERVICIOS Y DESARROLLOS INMOBILIARIOS</v>
      </c>
      <c r="H5170" s="1"/>
    </row>
    <row r="5171" spans="1:8" x14ac:dyDescent="0.35">
      <c r="A5171" s="21"/>
      <c r="B5171" t="s">
        <v>280</v>
      </c>
      <c r="C5171" t="s">
        <v>6</v>
      </c>
      <c r="D5171" t="s">
        <v>1132</v>
      </c>
      <c r="F5171" s="1">
        <v>45791</v>
      </c>
      <c r="G5171" t="str">
        <f>IF(Table3[[#This Row],[Top Parent Account]]="",Table3[[#This Row],[Account Legal Name]],Table3[[#This Row],[Top Parent Account]])</f>
        <v>OPERADORA DE SERVICIOS TERRESTRES EL EDEN</v>
      </c>
      <c r="H5171" s="1"/>
    </row>
    <row r="5172" spans="1:8" x14ac:dyDescent="0.35">
      <c r="A5172" s="21"/>
      <c r="B5172" t="s">
        <v>932</v>
      </c>
      <c r="C5172" t="s">
        <v>2076</v>
      </c>
      <c r="D5172" t="s">
        <v>1650</v>
      </c>
      <c r="F5172" s="1">
        <v>45791</v>
      </c>
      <c r="G5172" t="str">
        <f>IF(Table3[[#This Row],[Top Parent Account]]="",Table3[[#This Row],[Account Legal Name]],Table3[[#This Row],[Top Parent Account]])</f>
        <v>Hjb Química Internacional</v>
      </c>
      <c r="H5172" s="1"/>
    </row>
    <row r="5173" spans="1:8" x14ac:dyDescent="0.35">
      <c r="A5173" s="21"/>
      <c r="B5173" t="s">
        <v>12</v>
      </c>
      <c r="C5173" t="s">
        <v>6</v>
      </c>
      <c r="D5173" t="s">
        <v>2125</v>
      </c>
      <c r="F5173" s="1">
        <v>45791</v>
      </c>
      <c r="G5173" t="str">
        <f>IF(Table3[[#This Row],[Top Parent Account]]="",Table3[[#This Row],[Account Legal Name]],Table3[[#This Row],[Top Parent Account]])</f>
        <v>Grupo Dipsa</v>
      </c>
      <c r="H5173" s="1"/>
    </row>
    <row r="5174" spans="1:8" x14ac:dyDescent="0.35">
      <c r="A5174" s="21"/>
      <c r="B5174" t="s">
        <v>37</v>
      </c>
      <c r="C5174" t="s">
        <v>22</v>
      </c>
      <c r="D5174" t="s">
        <v>174</v>
      </c>
      <c r="F5174" s="1">
        <v>45791</v>
      </c>
      <c r="G5174" t="str">
        <f>IF(Table3[[#This Row],[Top Parent Account]]="",Table3[[#This Row],[Account Legal Name]],Table3[[#This Row],[Top Parent Account]])</f>
        <v>CW Metal</v>
      </c>
      <c r="H5174" s="1"/>
    </row>
    <row r="5175" spans="1:8" x14ac:dyDescent="0.35">
      <c r="A5175" s="21"/>
      <c r="B5175" t="s">
        <v>1006</v>
      </c>
      <c r="C5175" t="s">
        <v>6</v>
      </c>
      <c r="D5175" t="s">
        <v>2028</v>
      </c>
      <c r="F5175" s="1">
        <v>45791</v>
      </c>
      <c r="G5175" t="str">
        <f>IF(Table3[[#This Row],[Top Parent Account]]="",Table3[[#This Row],[Account Legal Name]],Table3[[#This Row],[Top Parent Account]])</f>
        <v>4M Industrias Plasticas</v>
      </c>
      <c r="H5175" s="1"/>
    </row>
    <row r="5176" spans="1:8" x14ac:dyDescent="0.35">
      <c r="A5176" s="21"/>
      <c r="B5176" t="s">
        <v>56</v>
      </c>
      <c r="C5176" t="s">
        <v>6</v>
      </c>
      <c r="D5176" t="s">
        <v>2078</v>
      </c>
      <c r="F5176" s="1">
        <v>45791</v>
      </c>
      <c r="G5176" t="str">
        <f>IF(Table3[[#This Row],[Top Parent Account]]="",Table3[[#This Row],[Account Legal Name]],Table3[[#This Row],[Top Parent Account]])</f>
        <v>Empacadora el fresno</v>
      </c>
      <c r="H5176" s="1"/>
    </row>
    <row r="5177" spans="1:8" x14ac:dyDescent="0.35">
      <c r="A5177" s="21"/>
      <c r="B5177" t="s">
        <v>8</v>
      </c>
      <c r="C5177" t="s">
        <v>6</v>
      </c>
      <c r="D5177" t="s">
        <v>1867</v>
      </c>
      <c r="F5177" s="1">
        <v>45791</v>
      </c>
      <c r="G5177" t="str">
        <f>IF(Table3[[#This Row],[Top Parent Account]]="",Table3[[#This Row],[Account Legal Name]],Table3[[#This Row],[Top Parent Account]])</f>
        <v>Odisa Obras y Desarrollos Industriales</v>
      </c>
      <c r="H5177" s="1"/>
    </row>
    <row r="5178" spans="1:8" x14ac:dyDescent="0.35">
      <c r="A5178" s="21"/>
      <c r="B5178" t="s">
        <v>54</v>
      </c>
      <c r="C5178" t="s">
        <v>6</v>
      </c>
      <c r="D5178" t="s">
        <v>91</v>
      </c>
      <c r="F5178" s="1">
        <v>45791</v>
      </c>
      <c r="G5178" t="str">
        <f>IF(Table3[[#This Row],[Top Parent Account]]="",Table3[[#This Row],[Account Legal Name]],Table3[[#This Row],[Top Parent Account]])</f>
        <v>Grupo Tensa</v>
      </c>
      <c r="H5178" s="1"/>
    </row>
    <row r="5179" spans="1:8" x14ac:dyDescent="0.35">
      <c r="A5179" s="21"/>
      <c r="B5179" t="s">
        <v>39</v>
      </c>
      <c r="C5179" t="s">
        <v>2081</v>
      </c>
      <c r="D5179" t="s">
        <v>532</v>
      </c>
      <c r="F5179" s="1">
        <v>45791</v>
      </c>
      <c r="G5179" t="str">
        <f>IF(Table3[[#This Row],[Top Parent Account]]="",Table3[[#This Row],[Account Legal Name]],Table3[[#This Row],[Top Parent Account]])</f>
        <v>Constructora Cadena</v>
      </c>
      <c r="H5179" s="1"/>
    </row>
    <row r="5180" spans="1:8" x14ac:dyDescent="0.35">
      <c r="A5180" s="21"/>
      <c r="B5180" t="s">
        <v>280</v>
      </c>
      <c r="C5180" t="s">
        <v>6</v>
      </c>
      <c r="D5180" t="s">
        <v>2079</v>
      </c>
      <c r="F5180" s="1">
        <v>45791</v>
      </c>
      <c r="G5180" t="str">
        <f>IF(Table3[[#This Row],[Top Parent Account]]="",Table3[[#This Row],[Account Legal Name]],Table3[[#This Row],[Top Parent Account]])</f>
        <v>TRANSPORTES MORELOS ZACATECAS</v>
      </c>
      <c r="H5180" s="1"/>
    </row>
    <row r="5181" spans="1:8" x14ac:dyDescent="0.35">
      <c r="A5181" s="21"/>
      <c r="B5181" t="s">
        <v>1006</v>
      </c>
      <c r="C5181" t="s">
        <v>6</v>
      </c>
      <c r="D5181" t="s">
        <v>2080</v>
      </c>
      <c r="F5181" s="1">
        <v>45791</v>
      </c>
      <c r="G5181" t="str">
        <f>IF(Table3[[#This Row],[Top Parent Account]]="",Table3[[#This Row],[Account Legal Name]],Table3[[#This Row],[Top Parent Account]])</f>
        <v>Integradora de servicios UTCM</v>
      </c>
      <c r="H5181" s="1"/>
    </row>
    <row r="5182" spans="1:8" x14ac:dyDescent="0.35">
      <c r="A5182" s="21"/>
      <c r="B5182" t="s">
        <v>11</v>
      </c>
      <c r="C5182" t="s">
        <v>6</v>
      </c>
      <c r="D5182" t="s">
        <v>1107</v>
      </c>
      <c r="F5182" s="1">
        <v>45791</v>
      </c>
      <c r="G5182" t="str">
        <f>IF(Table3[[#This Row],[Top Parent Account]]="",Table3[[#This Row],[Account Legal Name]],Table3[[#This Row],[Top Parent Account]])</f>
        <v>Grupo Jumex</v>
      </c>
      <c r="H5182" s="1"/>
    </row>
    <row r="5183" spans="1:8" x14ac:dyDescent="0.35">
      <c r="A5183" s="21"/>
      <c r="B5183" t="s">
        <v>39</v>
      </c>
      <c r="C5183" t="s">
        <v>945</v>
      </c>
      <c r="D5183" t="s">
        <v>2082</v>
      </c>
      <c r="F5183" s="1">
        <v>45791</v>
      </c>
      <c r="G5183" t="str">
        <f>IF(Table3[[#This Row],[Top Parent Account]]="",Table3[[#This Row],[Account Legal Name]],Table3[[#This Row],[Top Parent Account]])</f>
        <v>Fabrica De Papel San Francisco</v>
      </c>
      <c r="H5183" s="1"/>
    </row>
    <row r="5184" spans="1:8" x14ac:dyDescent="0.35">
      <c r="A5184" s="21"/>
      <c r="B5184" t="s">
        <v>932</v>
      </c>
      <c r="C5184" t="s">
        <v>2126</v>
      </c>
      <c r="D5184" t="s">
        <v>2127</v>
      </c>
      <c r="F5184" s="1">
        <v>45791</v>
      </c>
      <c r="G5184" t="str">
        <f>IF(Table3[[#This Row],[Top Parent Account]]="",Table3[[#This Row],[Account Legal Name]],Table3[[#This Row],[Top Parent Account]])</f>
        <v>HASTEN</v>
      </c>
      <c r="H5184" s="1"/>
    </row>
    <row r="5185" spans="1:8" x14ac:dyDescent="0.35">
      <c r="A5185" s="21"/>
      <c r="B5185" t="s">
        <v>12</v>
      </c>
      <c r="C5185" t="s">
        <v>6</v>
      </c>
      <c r="D5185" t="s">
        <v>2128</v>
      </c>
      <c r="F5185" s="1">
        <v>45791</v>
      </c>
      <c r="G5185" t="str">
        <f>IF(Table3[[#This Row],[Top Parent Account]]="",Table3[[#This Row],[Account Legal Name]],Table3[[#This Row],[Top Parent Account]])</f>
        <v>UNIVERSIDAD ANÁHUAC MAYAB</v>
      </c>
      <c r="H5185" s="1"/>
    </row>
    <row r="5186" spans="1:8" x14ac:dyDescent="0.35">
      <c r="A5186" s="21"/>
      <c r="B5186" t="s">
        <v>10</v>
      </c>
      <c r="C5186" t="s">
        <v>6</v>
      </c>
      <c r="D5186" t="s">
        <v>666</v>
      </c>
      <c r="F5186" s="1">
        <v>45791</v>
      </c>
      <c r="G5186" t="str">
        <f>IF(Table3[[#This Row],[Top Parent Account]]="",Table3[[#This Row],[Account Legal Name]],Table3[[#This Row],[Top Parent Account]])</f>
        <v>Hospital San Javier</v>
      </c>
      <c r="H5186" s="1"/>
    </row>
    <row r="5187" spans="1:8" x14ac:dyDescent="0.35">
      <c r="A5187" s="21"/>
      <c r="B5187" t="s">
        <v>969</v>
      </c>
      <c r="C5187" t="s">
        <v>6</v>
      </c>
      <c r="D5187" t="s">
        <v>1665</v>
      </c>
      <c r="F5187" s="1">
        <v>45791</v>
      </c>
      <c r="G5187" t="str">
        <f>IF(Table3[[#This Row],[Top Parent Account]]="",Table3[[#This Row],[Account Legal Name]],Table3[[#This Row],[Top Parent Account]])</f>
        <v>Ecap</v>
      </c>
      <c r="H5187" s="1"/>
    </row>
    <row r="5188" spans="1:8" x14ac:dyDescent="0.35">
      <c r="A5188" s="21"/>
      <c r="B5188" t="s">
        <v>39</v>
      </c>
      <c r="C5188" t="s">
        <v>2083</v>
      </c>
      <c r="D5188" t="s">
        <v>525</v>
      </c>
      <c r="F5188" s="1">
        <v>45790</v>
      </c>
      <c r="G5188" t="str">
        <f>IF(Table3[[#This Row],[Top Parent Account]]="",Table3[[#This Row],[Account Legal Name]],Table3[[#This Row],[Top Parent Account]])</f>
        <v>Transportes Comandos Del Norte</v>
      </c>
      <c r="H5188" s="1"/>
    </row>
    <row r="5189" spans="1:8" x14ac:dyDescent="0.35">
      <c r="A5189" s="21"/>
      <c r="B5189" t="s">
        <v>21</v>
      </c>
      <c r="C5189" t="s">
        <v>6</v>
      </c>
      <c r="D5189" t="s">
        <v>2084</v>
      </c>
      <c r="F5189" s="1">
        <v>45790</v>
      </c>
      <c r="G5189" t="str">
        <f>IF(Table3[[#This Row],[Top Parent Account]]="",Table3[[#This Row],[Account Legal Name]],Table3[[#This Row],[Top Parent Account]])</f>
        <v>Cacsa Saneamiento</v>
      </c>
      <c r="H5189" s="1"/>
    </row>
    <row r="5190" spans="1:8" x14ac:dyDescent="0.35">
      <c r="A5190" s="21"/>
      <c r="B5190" t="s">
        <v>39</v>
      </c>
      <c r="C5190" t="s">
        <v>2085</v>
      </c>
      <c r="D5190" t="s">
        <v>1035</v>
      </c>
      <c r="F5190" s="1">
        <v>45790</v>
      </c>
      <c r="G5190" t="str">
        <f>IF(Table3[[#This Row],[Top Parent Account]]="",Table3[[#This Row],[Account Legal Name]],Table3[[#This Row],[Top Parent Account]])</f>
        <v>Distribuidora De Concretos Mxl</v>
      </c>
      <c r="H5190" s="1"/>
    </row>
    <row r="5191" spans="1:8" x14ac:dyDescent="0.35">
      <c r="A5191" s="21"/>
      <c r="B5191" t="s">
        <v>39</v>
      </c>
      <c r="C5191" t="s">
        <v>570</v>
      </c>
      <c r="D5191" t="s">
        <v>1035</v>
      </c>
      <c r="F5191" s="1">
        <v>45790</v>
      </c>
      <c r="G5191" t="str">
        <f>IF(Table3[[#This Row],[Top Parent Account]]="",Table3[[#This Row],[Account Legal Name]],Table3[[#This Row],[Top Parent Account]])</f>
        <v>Distribuidora De Concretos Mxl</v>
      </c>
      <c r="H5191" s="1"/>
    </row>
    <row r="5192" spans="1:8" x14ac:dyDescent="0.35">
      <c r="A5192" s="21"/>
      <c r="B5192" t="s">
        <v>8</v>
      </c>
      <c r="C5192" t="s">
        <v>6</v>
      </c>
      <c r="D5192" t="s">
        <v>2087</v>
      </c>
      <c r="F5192" s="1">
        <v>45790</v>
      </c>
      <c r="G5192" t="str">
        <f>IF(Table3[[#This Row],[Top Parent Account]]="",Table3[[#This Row],[Account Legal Name]],Table3[[#This Row],[Top Parent Account]])</f>
        <v>SUBASTAS PROFESIONALES SALPROF</v>
      </c>
      <c r="H5192" s="1"/>
    </row>
    <row r="5193" spans="1:8" x14ac:dyDescent="0.35">
      <c r="A5193" s="21"/>
      <c r="B5193" t="s">
        <v>51</v>
      </c>
      <c r="C5193" t="s">
        <v>6</v>
      </c>
      <c r="D5193" t="s">
        <v>2086</v>
      </c>
      <c r="F5193" s="1">
        <v>45790</v>
      </c>
      <c r="G5193" t="str">
        <f>IF(Table3[[#This Row],[Top Parent Account]]="",Table3[[#This Row],[Account Legal Name]],Table3[[#This Row],[Top Parent Account]])</f>
        <v>PCH MAYOREO</v>
      </c>
      <c r="H5193" s="1"/>
    </row>
    <row r="5194" spans="1:8" x14ac:dyDescent="0.35">
      <c r="A5194" s="21"/>
      <c r="B5194" t="s">
        <v>820</v>
      </c>
      <c r="C5194" t="s">
        <v>6</v>
      </c>
      <c r="D5194" t="s">
        <v>321</v>
      </c>
      <c r="F5194" s="1">
        <v>45790</v>
      </c>
      <c r="G5194" t="str">
        <f>IF(Table3[[#This Row],[Top Parent Account]]="",Table3[[#This Row],[Account Legal Name]],Table3[[#This Row],[Top Parent Account]])</f>
        <v>Conservas La Costena</v>
      </c>
      <c r="H5194" s="1"/>
    </row>
    <row r="5195" spans="1:8" x14ac:dyDescent="0.35">
      <c r="A5195" s="21"/>
      <c r="B5195" t="s">
        <v>78</v>
      </c>
      <c r="C5195" t="s">
        <v>6</v>
      </c>
      <c r="D5195" t="s">
        <v>2132</v>
      </c>
      <c r="F5195" s="1">
        <v>45790</v>
      </c>
      <c r="G5195" t="str">
        <f>IF(Table3[[#This Row],[Top Parent Account]]="",Table3[[#This Row],[Account Legal Name]],Table3[[#This Row],[Top Parent Account]])</f>
        <v>Driller Cimentaciones</v>
      </c>
      <c r="H5195" s="1"/>
    </row>
    <row r="5196" spans="1:8" x14ac:dyDescent="0.35">
      <c r="A5196" s="21"/>
      <c r="B5196" t="s">
        <v>207</v>
      </c>
      <c r="C5196" t="s">
        <v>6</v>
      </c>
      <c r="D5196" t="s">
        <v>656</v>
      </c>
      <c r="F5196" s="1">
        <v>45790</v>
      </c>
      <c r="G5196" t="str">
        <f>IF(Table3[[#This Row],[Top Parent Account]]="",Table3[[#This Row],[Account Legal Name]],Table3[[#This Row],[Top Parent Account]])</f>
        <v>Boxer Ttl</v>
      </c>
      <c r="H5196" s="1"/>
    </row>
    <row r="5197" spans="1:8" x14ac:dyDescent="0.35">
      <c r="A5197" s="21"/>
      <c r="B5197" t="s">
        <v>589</v>
      </c>
      <c r="C5197" t="s">
        <v>6</v>
      </c>
      <c r="D5197" t="s">
        <v>2088</v>
      </c>
      <c r="F5197" s="1">
        <v>45790</v>
      </c>
      <c r="G5197" t="str">
        <f>IF(Table3[[#This Row],[Top Parent Account]]="",Table3[[#This Row],[Account Legal Name]],Table3[[#This Row],[Top Parent Account]])</f>
        <v>ALLTANSA</v>
      </c>
      <c r="H5197" s="1"/>
    </row>
    <row r="5198" spans="1:8" x14ac:dyDescent="0.35">
      <c r="A5198" s="21"/>
      <c r="B5198" t="s">
        <v>10</v>
      </c>
      <c r="C5198" t="s">
        <v>6</v>
      </c>
      <c r="D5198" t="s">
        <v>410</v>
      </c>
      <c r="F5198" s="1">
        <v>45790</v>
      </c>
      <c r="G5198" t="str">
        <f>IF(Table3[[#This Row],[Top Parent Account]]="",Table3[[#This Row],[Account Legal Name]],Table3[[#This Row],[Top Parent Account]])</f>
        <v>CORPORATIVO SERYSI</v>
      </c>
      <c r="H5198" s="1"/>
    </row>
    <row r="5199" spans="1:8" x14ac:dyDescent="0.35">
      <c r="A5199" s="21"/>
      <c r="B5199" t="s">
        <v>1511</v>
      </c>
      <c r="C5199" t="s">
        <v>22</v>
      </c>
      <c r="D5199" t="s">
        <v>1249</v>
      </c>
      <c r="F5199" s="1">
        <v>45790</v>
      </c>
      <c r="G5199" t="str">
        <f>IF(Table3[[#This Row],[Top Parent Account]]="",Table3[[#This Row],[Account Legal Name]],Table3[[#This Row],[Top Parent Account]])</f>
        <v>Grupo Regional Santa Fé</v>
      </c>
      <c r="H5199" s="1"/>
    </row>
    <row r="5200" spans="1:8" x14ac:dyDescent="0.35">
      <c r="A5200" s="21"/>
      <c r="B5200" t="s">
        <v>39</v>
      </c>
      <c r="C5200" t="s">
        <v>570</v>
      </c>
      <c r="D5200" t="s">
        <v>529</v>
      </c>
      <c r="E5200" t="s">
        <v>530</v>
      </c>
      <c r="F5200" s="1">
        <v>45790</v>
      </c>
      <c r="G5200" t="str">
        <f>IF(Table3[[#This Row],[Top Parent Account]]="",Table3[[#This Row],[Account Legal Name]],Table3[[#This Row],[Top Parent Account]])</f>
        <v>International De Baja California - Mexicali</v>
      </c>
      <c r="H5200" s="1"/>
    </row>
    <row r="5201" spans="1:8" x14ac:dyDescent="0.35">
      <c r="A5201" s="21"/>
      <c r="B5201" t="s">
        <v>589</v>
      </c>
      <c r="C5201" t="s">
        <v>6</v>
      </c>
      <c r="D5201" t="s">
        <v>2910</v>
      </c>
      <c r="F5201" s="1">
        <v>45790</v>
      </c>
      <c r="G5201" t="str">
        <f>IF(Table3[[#This Row],[Top Parent Account]]="",Table3[[#This Row],[Account Legal Name]],Table3[[#This Row],[Top Parent Account]])</f>
        <v>Concretos local</v>
      </c>
      <c r="H5201" s="1"/>
    </row>
    <row r="5202" spans="1:8" x14ac:dyDescent="0.35">
      <c r="A5202" s="21"/>
      <c r="B5202" t="s">
        <v>10</v>
      </c>
      <c r="C5202" t="s">
        <v>6</v>
      </c>
      <c r="D5202" t="s">
        <v>481</v>
      </c>
      <c r="F5202" s="1">
        <v>45790</v>
      </c>
      <c r="G5202" t="str">
        <f>IF(Table3[[#This Row],[Top Parent Account]]="",Table3[[#This Row],[Account Legal Name]],Table3[[#This Row],[Top Parent Account]])</f>
        <v>Laboratorios Virbac México</v>
      </c>
      <c r="H5202" s="1"/>
    </row>
    <row r="5203" spans="1:8" x14ac:dyDescent="0.35">
      <c r="A5203" s="21"/>
      <c r="B5203" t="s">
        <v>375</v>
      </c>
      <c r="C5203" t="s">
        <v>6</v>
      </c>
      <c r="D5203" t="s">
        <v>563</v>
      </c>
      <c r="F5203" s="1">
        <v>45790</v>
      </c>
      <c r="G5203" t="str">
        <f>IF(Table3[[#This Row],[Top Parent Account]]="",Table3[[#This Row],[Account Legal Name]],Table3[[#This Row],[Top Parent Account]])</f>
        <v>Integradora De Servicios De Transportación Xihutec</v>
      </c>
      <c r="H5203" s="1"/>
    </row>
    <row r="5204" spans="1:8" x14ac:dyDescent="0.35">
      <c r="A5204" s="21"/>
      <c r="B5204" t="s">
        <v>172</v>
      </c>
      <c r="C5204" t="s">
        <v>6</v>
      </c>
      <c r="D5204" t="s">
        <v>2129</v>
      </c>
      <c r="F5204" s="1">
        <v>45790</v>
      </c>
      <c r="G5204" t="str">
        <f>IF(Table3[[#This Row],[Top Parent Account]]="",Table3[[#This Row],[Account Legal Name]],Table3[[#This Row],[Top Parent Account]])</f>
        <v>OPE MANUFACTURER MEXICO</v>
      </c>
      <c r="H5204" s="1"/>
    </row>
    <row r="5205" spans="1:8" x14ac:dyDescent="0.35">
      <c r="A5205" s="21"/>
      <c r="B5205" t="s">
        <v>37</v>
      </c>
      <c r="C5205" t="s">
        <v>22</v>
      </c>
      <c r="D5205" t="s">
        <v>626</v>
      </c>
      <c r="F5205" s="1">
        <v>45790</v>
      </c>
      <c r="G5205" t="str">
        <f>IF(Table3[[#This Row],[Top Parent Account]]="",Table3[[#This Row],[Account Legal Name]],Table3[[#This Row],[Top Parent Account]])</f>
        <v>PAQUETERIA Y MENSAJERIA MINERA</v>
      </c>
      <c r="H5205" s="1"/>
    </row>
    <row r="5206" spans="1:8" x14ac:dyDescent="0.35">
      <c r="A5206" s="21"/>
      <c r="B5206" t="s">
        <v>30</v>
      </c>
      <c r="C5206" t="s">
        <v>6</v>
      </c>
      <c r="D5206" t="s">
        <v>690</v>
      </c>
      <c r="E5206" t="s">
        <v>1218</v>
      </c>
      <c r="F5206" s="1">
        <v>45790</v>
      </c>
      <c r="G5206" t="str">
        <f>IF(Table3[[#This Row],[Top Parent Account]]="",Table3[[#This Row],[Account Legal Name]],Table3[[#This Row],[Top Parent Account]])</f>
        <v>Grupo Vazol (Grupo Empresarial Angeles)</v>
      </c>
      <c r="H5206" s="1"/>
    </row>
    <row r="5207" spans="1:8" x14ac:dyDescent="0.35">
      <c r="A5207" s="21"/>
      <c r="B5207" t="s">
        <v>925</v>
      </c>
      <c r="C5207" t="s">
        <v>6</v>
      </c>
      <c r="D5207" t="s">
        <v>2089</v>
      </c>
      <c r="F5207" s="1">
        <v>45790</v>
      </c>
      <c r="G5207" t="str">
        <f>IF(Table3[[#This Row],[Top Parent Account]]="",Table3[[#This Row],[Account Legal Name]],Table3[[#This Row],[Top Parent Account]])</f>
        <v>RAFMEX</v>
      </c>
      <c r="H5207" s="1"/>
    </row>
    <row r="5208" spans="1:8" x14ac:dyDescent="0.35">
      <c r="A5208" s="21"/>
      <c r="B5208" t="s">
        <v>116</v>
      </c>
      <c r="C5208" t="s">
        <v>6</v>
      </c>
      <c r="D5208" t="s">
        <v>2090</v>
      </c>
      <c r="F5208" s="1">
        <v>45790</v>
      </c>
      <c r="G5208" t="str">
        <f>IF(Table3[[#This Row],[Top Parent Account]]="",Table3[[#This Row],[Account Legal Name]],Table3[[#This Row],[Top Parent Account]])</f>
        <v>SMART INDUSTRIES</v>
      </c>
      <c r="H5208" s="1"/>
    </row>
    <row r="5209" spans="1:8" x14ac:dyDescent="0.35">
      <c r="A5209" s="21"/>
      <c r="B5209" t="s">
        <v>88</v>
      </c>
      <c r="C5209" t="s">
        <v>6</v>
      </c>
      <c r="D5209" t="s">
        <v>2091</v>
      </c>
      <c r="F5209" s="1">
        <v>45790</v>
      </c>
      <c r="G5209" t="str">
        <f>IF(Table3[[#This Row],[Top Parent Account]]="",Table3[[#This Row],[Account Legal Name]],Table3[[#This Row],[Top Parent Account]])</f>
        <v>Drex Soluciones Comerciales</v>
      </c>
      <c r="H5209" s="1"/>
    </row>
    <row r="5210" spans="1:8" x14ac:dyDescent="0.35">
      <c r="A5210" s="21"/>
      <c r="B5210" t="s">
        <v>1006</v>
      </c>
      <c r="C5210" t="s">
        <v>6</v>
      </c>
      <c r="D5210" t="s">
        <v>2092</v>
      </c>
      <c r="F5210" s="1">
        <v>45790</v>
      </c>
      <c r="G5210" t="str">
        <f>IF(Table3[[#This Row],[Top Parent Account]]="",Table3[[#This Row],[Account Legal Name]],Table3[[#This Row],[Top Parent Account]])</f>
        <v>Homero Castro Rodriguez</v>
      </c>
      <c r="H5210" s="1"/>
    </row>
    <row r="5211" spans="1:8" x14ac:dyDescent="0.35">
      <c r="A5211" s="21"/>
      <c r="B5211" t="s">
        <v>12</v>
      </c>
      <c r="C5211" t="s">
        <v>6</v>
      </c>
      <c r="D5211" t="s">
        <v>2130</v>
      </c>
      <c r="F5211" s="1">
        <v>45790</v>
      </c>
      <c r="G5211" t="str">
        <f>IF(Table3[[#This Row],[Top Parent Account]]="",Table3[[#This Row],[Account Legal Name]],Table3[[#This Row],[Top Parent Account]])</f>
        <v>Administración Tultitlán</v>
      </c>
      <c r="H5211" s="1"/>
    </row>
    <row r="5212" spans="1:8" x14ac:dyDescent="0.35">
      <c r="A5212" s="21"/>
      <c r="B5212" t="s">
        <v>24</v>
      </c>
      <c r="C5212" t="s">
        <v>6</v>
      </c>
      <c r="D5212" t="s">
        <v>614</v>
      </c>
      <c r="F5212" s="1">
        <v>45790</v>
      </c>
      <c r="G5212" t="str">
        <f>IF(Table3[[#This Row],[Top Parent Account]]="",Table3[[#This Row],[Account Legal Name]],Table3[[#This Row],[Top Parent Account]])</f>
        <v>HellermannTyton</v>
      </c>
      <c r="H5212" s="1"/>
    </row>
    <row r="5213" spans="1:8" x14ac:dyDescent="0.35">
      <c r="A5213" s="21"/>
      <c r="B5213" t="s">
        <v>12</v>
      </c>
      <c r="C5213" t="s">
        <v>6</v>
      </c>
      <c r="D5213" t="s">
        <v>946</v>
      </c>
      <c r="F5213" s="1">
        <v>45790</v>
      </c>
      <c r="G5213" t="str">
        <f>IF(Table3[[#This Row],[Top Parent Account]]="",Table3[[#This Row],[Account Legal Name]],Table3[[#This Row],[Top Parent Account]])</f>
        <v>instalaciones e ingenierias industriales</v>
      </c>
      <c r="H5213" s="1"/>
    </row>
    <row r="5214" spans="1:8" x14ac:dyDescent="0.35">
      <c r="A5214" s="21"/>
      <c r="B5214" t="s">
        <v>207</v>
      </c>
      <c r="C5214" t="s">
        <v>6</v>
      </c>
      <c r="D5214" t="s">
        <v>2093</v>
      </c>
      <c r="F5214" s="1">
        <v>45790</v>
      </c>
      <c r="G5214" t="str">
        <f>IF(Table3[[#This Row],[Top Parent Account]]="",Table3[[#This Row],[Account Legal Name]],Table3[[#This Row],[Top Parent Account]])</f>
        <v>Zirin Laboratorios</v>
      </c>
      <c r="H5214" s="1"/>
    </row>
    <row r="5215" spans="1:8" x14ac:dyDescent="0.35">
      <c r="A5215" s="21"/>
      <c r="B5215" t="s">
        <v>121</v>
      </c>
      <c r="C5215" t="s">
        <v>6</v>
      </c>
      <c r="D5215" t="s">
        <v>2203</v>
      </c>
      <c r="F5215" s="1">
        <v>45790</v>
      </c>
      <c r="G5215" t="str">
        <f>IF(Table3[[#This Row],[Top Parent Account]]="",Table3[[#This Row],[Account Legal Name]],Table3[[#This Row],[Top Parent Account]])</f>
        <v>Equipos Agrícolas Jar</v>
      </c>
      <c r="H5215" s="1"/>
    </row>
    <row r="5216" spans="1:8" x14ac:dyDescent="0.35">
      <c r="A5216" s="21"/>
      <c r="B5216" t="s">
        <v>207</v>
      </c>
      <c r="C5216" t="s">
        <v>6</v>
      </c>
      <c r="D5216" t="s">
        <v>2094</v>
      </c>
      <c r="F5216" s="1">
        <v>45789</v>
      </c>
      <c r="G5216" t="str">
        <f>IF(Table3[[#This Row],[Top Parent Account]]="",Table3[[#This Row],[Account Legal Name]],Table3[[#This Row],[Top Parent Account]])</f>
        <v>LADAVINES COSMETICOS</v>
      </c>
      <c r="H5216" s="1"/>
    </row>
    <row r="5217" spans="1:8" x14ac:dyDescent="0.35">
      <c r="A5217" s="21"/>
      <c r="B5217" t="s">
        <v>590</v>
      </c>
      <c r="C5217" t="s">
        <v>6</v>
      </c>
      <c r="D5217" t="s">
        <v>1474</v>
      </c>
      <c r="F5217" s="1">
        <v>45789</v>
      </c>
      <c r="G5217" t="str">
        <f>IF(Table3[[#This Row],[Top Parent Account]]="",Table3[[#This Row],[Account Legal Name]],Table3[[#This Row],[Top Parent Account]])</f>
        <v>Laboratorios Corne</v>
      </c>
      <c r="H5217" s="1"/>
    </row>
    <row r="5218" spans="1:8" x14ac:dyDescent="0.35">
      <c r="A5218" s="21"/>
      <c r="B5218" t="s">
        <v>39</v>
      </c>
      <c r="C5218" t="s">
        <v>2095</v>
      </c>
      <c r="D5218" t="s">
        <v>1903</v>
      </c>
      <c r="F5218" s="1">
        <v>45789</v>
      </c>
      <c r="G5218" t="str">
        <f>IF(Table3[[#This Row],[Top Parent Account]]="",Table3[[#This Row],[Account Legal Name]],Table3[[#This Row],[Top Parent Account]])</f>
        <v>EWS</v>
      </c>
      <c r="H5218" s="1"/>
    </row>
    <row r="5219" spans="1:8" x14ac:dyDescent="0.35">
      <c r="A5219" s="21"/>
      <c r="B5219" t="s">
        <v>1006</v>
      </c>
      <c r="C5219" t="s">
        <v>6</v>
      </c>
      <c r="D5219" t="s">
        <v>1916</v>
      </c>
      <c r="F5219" s="1">
        <v>45789</v>
      </c>
      <c r="G5219" t="str">
        <f>IF(Table3[[#This Row],[Top Parent Account]]="",Table3[[#This Row],[Account Legal Name]],Table3[[#This Row],[Top Parent Account]])</f>
        <v>Logística Mafa</v>
      </c>
      <c r="H5219" s="1"/>
    </row>
    <row r="5220" spans="1:8" x14ac:dyDescent="0.35">
      <c r="A5220" s="21"/>
      <c r="B5220" t="s">
        <v>27</v>
      </c>
      <c r="C5220" t="s">
        <v>6</v>
      </c>
      <c r="D5220" t="s">
        <v>2096</v>
      </c>
      <c r="F5220" s="1">
        <v>45789</v>
      </c>
      <c r="G5220" t="str">
        <f>IF(Table3[[#This Row],[Top Parent Account]]="",Table3[[#This Row],[Account Legal Name]],Table3[[#This Row],[Top Parent Account]])</f>
        <v>En-trega</v>
      </c>
      <c r="H5220" s="1"/>
    </row>
    <row r="5221" spans="1:8" x14ac:dyDescent="0.35">
      <c r="A5221" s="21"/>
      <c r="B5221" t="s">
        <v>10</v>
      </c>
      <c r="C5221" t="s">
        <v>6</v>
      </c>
      <c r="D5221" t="s">
        <v>296</v>
      </c>
      <c r="F5221" s="1">
        <v>45789</v>
      </c>
      <c r="G5221" t="str">
        <f>IF(Table3[[#This Row],[Top Parent Account]]="",Table3[[#This Row],[Account Legal Name]],Table3[[#This Row],[Top Parent Account]])</f>
        <v>Express Mg</v>
      </c>
      <c r="H5221" s="1"/>
    </row>
    <row r="5222" spans="1:8" x14ac:dyDescent="0.35">
      <c r="A5222" s="21"/>
      <c r="B5222" t="s">
        <v>375</v>
      </c>
      <c r="C5222" t="s">
        <v>6</v>
      </c>
      <c r="D5222" t="s">
        <v>2097</v>
      </c>
      <c r="F5222" s="1">
        <v>45789</v>
      </c>
      <c r="G5222" t="str">
        <f>IF(Table3[[#This Row],[Top Parent Account]]="",Table3[[#This Row],[Account Legal Name]],Table3[[#This Row],[Top Parent Account]])</f>
        <v>Constructora y Edificadora GIA+A</v>
      </c>
      <c r="H5222" s="1"/>
    </row>
    <row r="5223" spans="1:8" x14ac:dyDescent="0.35">
      <c r="A5223" s="21"/>
      <c r="B5223" t="s">
        <v>77</v>
      </c>
      <c r="C5223" t="s">
        <v>6</v>
      </c>
      <c r="D5223" t="s">
        <v>2131</v>
      </c>
      <c r="F5223" s="1">
        <v>45789</v>
      </c>
      <c r="G5223" t="str">
        <f>IF(Table3[[#This Row],[Top Parent Account]]="",Table3[[#This Row],[Account Legal Name]],Table3[[#This Row],[Top Parent Account]])</f>
        <v>Sparta Transportes de personal</v>
      </c>
      <c r="H5223" s="1"/>
    </row>
    <row r="5224" spans="1:8" x14ac:dyDescent="0.35">
      <c r="A5224" s="21"/>
      <c r="B5224" t="s">
        <v>30</v>
      </c>
      <c r="C5224" t="s">
        <v>6</v>
      </c>
      <c r="D5224" t="s">
        <v>365</v>
      </c>
      <c r="F5224" s="1">
        <v>45789</v>
      </c>
      <c r="G5224" t="str">
        <f>IF(Table3[[#This Row],[Top Parent Account]]="",Table3[[#This Row],[Account Legal Name]],Table3[[#This Row],[Top Parent Account]])</f>
        <v>Nestlé México</v>
      </c>
      <c r="H5224" s="1"/>
    </row>
    <row r="5225" spans="1:8" x14ac:dyDescent="0.35">
      <c r="A5225" s="21"/>
      <c r="B5225" t="s">
        <v>207</v>
      </c>
      <c r="C5225" t="s">
        <v>6</v>
      </c>
      <c r="D5225" t="s">
        <v>2098</v>
      </c>
      <c r="F5225" s="1">
        <v>45789</v>
      </c>
      <c r="G5225" t="str">
        <f>IF(Table3[[#This Row],[Top Parent Account]]="",Table3[[#This Row],[Account Legal Name]],Table3[[#This Row],[Top Parent Account]])</f>
        <v>Simil Cuero Plymouth</v>
      </c>
      <c r="H5225" s="1"/>
    </row>
    <row r="5226" spans="1:8" x14ac:dyDescent="0.35">
      <c r="A5226" s="21"/>
      <c r="B5226" t="s">
        <v>969</v>
      </c>
      <c r="C5226" t="s">
        <v>6</v>
      </c>
      <c r="D5226" t="s">
        <v>2099</v>
      </c>
      <c r="F5226" s="1">
        <v>45789</v>
      </c>
      <c r="G5226" t="str">
        <f>IF(Table3[[#This Row],[Top Parent Account]]="",Table3[[#This Row],[Account Legal Name]],Table3[[#This Row],[Top Parent Account]])</f>
        <v>Dos Tercios y Medios</v>
      </c>
      <c r="H5226" s="1"/>
    </row>
    <row r="5227" spans="1:8" x14ac:dyDescent="0.35">
      <c r="A5227" s="21"/>
      <c r="B5227" t="s">
        <v>38</v>
      </c>
      <c r="C5227" t="s">
        <v>6</v>
      </c>
      <c r="D5227" t="s">
        <v>1173</v>
      </c>
      <c r="F5227" s="1">
        <v>45789</v>
      </c>
      <c r="G5227" t="str">
        <f>IF(Table3[[#This Row],[Top Parent Account]]="",Table3[[#This Row],[Account Legal Name]],Table3[[#This Row],[Top Parent Account]])</f>
        <v>Grupo Gusi</v>
      </c>
      <c r="H5227" s="1"/>
    </row>
    <row r="5228" spans="1:8" x14ac:dyDescent="0.35">
      <c r="A5228" s="21"/>
      <c r="B5228" t="s">
        <v>989</v>
      </c>
      <c r="C5228" t="s">
        <v>6</v>
      </c>
      <c r="D5228" t="s">
        <v>1498</v>
      </c>
      <c r="F5228" s="1">
        <v>45789</v>
      </c>
      <c r="G5228" t="str">
        <f>IF(Table3[[#This Row],[Top Parent Account]]="",Table3[[#This Row],[Account Legal Name]],Table3[[#This Row],[Top Parent Account]])</f>
        <v>Grupo Canutarra</v>
      </c>
      <c r="H5228" s="1"/>
    </row>
    <row r="5229" spans="1:8" x14ac:dyDescent="0.35">
      <c r="A5229" s="21"/>
      <c r="B5229" t="s">
        <v>169</v>
      </c>
      <c r="C5229" t="s">
        <v>6</v>
      </c>
      <c r="D5229" t="s">
        <v>2021</v>
      </c>
      <c r="F5229" s="1">
        <v>45786</v>
      </c>
      <c r="G5229" t="str">
        <f>IF(Table3[[#This Row],[Top Parent Account]]="",Table3[[#This Row],[Account Legal Name]],Table3[[#This Row],[Top Parent Account]])</f>
        <v>REVERGY</v>
      </c>
      <c r="H5229" s="1"/>
    </row>
    <row r="5230" spans="1:8" x14ac:dyDescent="0.35">
      <c r="A5230" s="21"/>
      <c r="B5230" t="s">
        <v>172</v>
      </c>
      <c r="C5230" t="s">
        <v>6</v>
      </c>
      <c r="D5230" t="s">
        <v>866</v>
      </c>
      <c r="F5230" s="1">
        <v>45786</v>
      </c>
      <c r="G5230" t="str">
        <f>IF(Table3[[#This Row],[Top Parent Account]]="",Table3[[#This Row],[Account Legal Name]],Table3[[#This Row],[Top Parent Account]])</f>
        <v>Compañia Impresora Especializada</v>
      </c>
      <c r="H5230" s="1"/>
    </row>
    <row r="5231" spans="1:8" x14ac:dyDescent="0.35">
      <c r="A5231" s="21"/>
      <c r="B5231" t="s">
        <v>989</v>
      </c>
      <c r="C5231" t="s">
        <v>6</v>
      </c>
      <c r="D5231" t="s">
        <v>1096</v>
      </c>
      <c r="F5231" s="1">
        <v>45786</v>
      </c>
      <c r="G5231" t="str">
        <f>IF(Table3[[#This Row],[Top Parent Account]]="",Table3[[#This Row],[Account Legal Name]],Table3[[#This Row],[Top Parent Account]])</f>
        <v>EMM Home and Personal Care</v>
      </c>
      <c r="H5231" s="1"/>
    </row>
    <row r="5232" spans="1:8" x14ac:dyDescent="0.35">
      <c r="A5232" s="21"/>
      <c r="B5232" t="s">
        <v>84</v>
      </c>
      <c r="C5232" t="s">
        <v>2022</v>
      </c>
      <c r="D5232" t="s">
        <v>117</v>
      </c>
      <c r="F5232" s="1">
        <v>45786</v>
      </c>
      <c r="G5232" t="str">
        <f>IF(Table3[[#This Row],[Top Parent Account]]="",Table3[[#This Row],[Account Legal Name]],Table3[[#This Row],[Top Parent Account]])</f>
        <v>Epsilon Media Group</v>
      </c>
      <c r="H5232" s="1"/>
    </row>
    <row r="5233" spans="1:8" x14ac:dyDescent="0.35">
      <c r="A5233" s="21"/>
      <c r="B5233" t="s">
        <v>26</v>
      </c>
      <c r="C5233" t="s">
        <v>6</v>
      </c>
      <c r="D5233" t="s">
        <v>2023</v>
      </c>
      <c r="F5233" s="1">
        <v>45786</v>
      </c>
      <c r="G5233" t="str">
        <f>IF(Table3[[#This Row],[Top Parent Account]]="",Table3[[#This Row],[Account Legal Name]],Table3[[#This Row],[Top Parent Account]])</f>
        <v>Operadora de Terminales Marítimas</v>
      </c>
      <c r="H5233" s="1"/>
    </row>
    <row r="5234" spans="1:8" x14ac:dyDescent="0.35">
      <c r="A5234" s="21"/>
      <c r="B5234" t="s">
        <v>39</v>
      </c>
      <c r="C5234" t="s">
        <v>2024</v>
      </c>
      <c r="D5234" t="s">
        <v>1903</v>
      </c>
      <c r="F5234" s="1">
        <v>45786</v>
      </c>
      <c r="G5234" t="str">
        <f>IF(Table3[[#This Row],[Top Parent Account]]="",Table3[[#This Row],[Account Legal Name]],Table3[[#This Row],[Top Parent Account]])</f>
        <v>EWS</v>
      </c>
      <c r="H5234" s="1"/>
    </row>
    <row r="5235" spans="1:8" x14ac:dyDescent="0.35">
      <c r="A5235" s="21"/>
      <c r="B5235" t="s">
        <v>208</v>
      </c>
      <c r="C5235" t="s">
        <v>6</v>
      </c>
      <c r="D5235" t="s">
        <v>1926</v>
      </c>
      <c r="F5235" s="1">
        <v>45786</v>
      </c>
      <c r="G5235" t="str">
        <f>IF(Table3[[#This Row],[Top Parent Account]]="",Table3[[#This Row],[Account Legal Name]],Table3[[#This Row],[Top Parent Account]])</f>
        <v>CORAN QUALITY SOLUTIONS</v>
      </c>
      <c r="H5235" s="1"/>
    </row>
    <row r="5236" spans="1:8" x14ac:dyDescent="0.35">
      <c r="A5236" s="21"/>
      <c r="B5236" t="s">
        <v>12</v>
      </c>
      <c r="C5236" t="s">
        <v>6</v>
      </c>
      <c r="D5236" t="s">
        <v>2025</v>
      </c>
      <c r="F5236" s="1">
        <v>45786</v>
      </c>
      <c r="G5236" t="str">
        <f>IF(Table3[[#This Row],[Top Parent Account]]="",Table3[[#This Row],[Account Legal Name]],Table3[[#This Row],[Top Parent Account]])</f>
        <v>Polimerida</v>
      </c>
      <c r="H5236" s="1"/>
    </row>
    <row r="5237" spans="1:8" x14ac:dyDescent="0.35">
      <c r="A5237" s="21"/>
      <c r="B5237" t="s">
        <v>208</v>
      </c>
      <c r="C5237" t="s">
        <v>6</v>
      </c>
      <c r="D5237" t="s">
        <v>2026</v>
      </c>
      <c r="F5237" s="1">
        <v>45786</v>
      </c>
      <c r="G5237" t="str">
        <f>IF(Table3[[#This Row],[Top Parent Account]]="",Table3[[#This Row],[Account Legal Name]],Table3[[#This Row],[Top Parent Account]])</f>
        <v>GRUPO COMERCOLOR SA DE CV</v>
      </c>
      <c r="H5237" s="1"/>
    </row>
    <row r="5238" spans="1:8" x14ac:dyDescent="0.35">
      <c r="A5238" s="21"/>
      <c r="B5238" t="s">
        <v>27</v>
      </c>
      <c r="C5238" t="s">
        <v>6</v>
      </c>
      <c r="D5238" t="s">
        <v>1242</v>
      </c>
      <c r="F5238" s="1">
        <v>45786</v>
      </c>
      <c r="G5238" t="str">
        <f>IF(Table3[[#This Row],[Top Parent Account]]="",Table3[[#This Row],[Account Legal Name]],Table3[[#This Row],[Top Parent Account]])</f>
        <v>Cristacurva</v>
      </c>
      <c r="H5238" s="1"/>
    </row>
    <row r="5239" spans="1:8" x14ac:dyDescent="0.35">
      <c r="A5239" s="21"/>
      <c r="B5239" t="s">
        <v>280</v>
      </c>
      <c r="C5239" t="s">
        <v>6</v>
      </c>
      <c r="D5239" t="s">
        <v>709</v>
      </c>
      <c r="F5239" s="1">
        <v>45786</v>
      </c>
      <c r="G5239" t="str">
        <f>IF(Table3[[#This Row],[Top Parent Account]]="",Table3[[#This Row],[Account Legal Name]],Table3[[#This Row],[Top Parent Account]])</f>
        <v>Fuerza en Traslado</v>
      </c>
      <c r="H5239" s="1"/>
    </row>
    <row r="5240" spans="1:8" x14ac:dyDescent="0.35">
      <c r="A5240" s="21"/>
      <c r="B5240" t="s">
        <v>88</v>
      </c>
      <c r="C5240" t="s">
        <v>6</v>
      </c>
      <c r="D5240" t="s">
        <v>2027</v>
      </c>
      <c r="F5240" s="1">
        <v>45786</v>
      </c>
      <c r="G5240" t="str">
        <f>IF(Table3[[#This Row],[Top Parent Account]]="",Table3[[#This Row],[Account Legal Name]],Table3[[#This Row],[Top Parent Account]])</f>
        <v>Margger Ingenieros</v>
      </c>
      <c r="H5240" s="1"/>
    </row>
    <row r="5241" spans="1:8" x14ac:dyDescent="0.35">
      <c r="A5241" s="21"/>
      <c r="B5241" t="s">
        <v>1006</v>
      </c>
      <c r="C5241" t="s">
        <v>6</v>
      </c>
      <c r="D5241" t="s">
        <v>2028</v>
      </c>
      <c r="F5241" s="1">
        <v>45786</v>
      </c>
      <c r="G5241" t="str">
        <f>IF(Table3[[#This Row],[Top Parent Account]]="",Table3[[#This Row],[Account Legal Name]],Table3[[#This Row],[Top Parent Account]])</f>
        <v>4M Industrias Plasticas</v>
      </c>
      <c r="H5241" s="1"/>
    </row>
    <row r="5242" spans="1:8" x14ac:dyDescent="0.35">
      <c r="A5242" s="21"/>
      <c r="B5242" t="s">
        <v>1643</v>
      </c>
      <c r="C5242" t="s">
        <v>6</v>
      </c>
      <c r="D5242" t="s">
        <v>2030</v>
      </c>
      <c r="F5242" s="1">
        <v>45786</v>
      </c>
      <c r="G5242" t="str">
        <f>IF(Table3[[#This Row],[Top Parent Account]]="",Table3[[#This Row],[Account Legal Name]],Table3[[#This Row],[Top Parent Account]])</f>
        <v>Trak Transportaciones</v>
      </c>
      <c r="H5242" s="1"/>
    </row>
    <row r="5243" spans="1:8" x14ac:dyDescent="0.35">
      <c r="A5243" s="21"/>
      <c r="B5243" t="s">
        <v>172</v>
      </c>
      <c r="C5243" t="s">
        <v>6</v>
      </c>
      <c r="D5243" t="s">
        <v>2029</v>
      </c>
      <c r="F5243" s="1">
        <v>45786</v>
      </c>
      <c r="G5243" t="str">
        <f>IF(Table3[[#This Row],[Top Parent Account]]="",Table3[[#This Row],[Account Legal Name]],Table3[[#This Row],[Top Parent Account]])</f>
        <v>Copeland de Mexico</v>
      </c>
      <c r="H5243" s="1"/>
    </row>
    <row r="5244" spans="1:8" x14ac:dyDescent="0.35">
      <c r="A5244" s="21"/>
      <c r="B5244" t="s">
        <v>1131</v>
      </c>
      <c r="C5244" t="s">
        <v>6</v>
      </c>
      <c r="D5244" t="s">
        <v>86</v>
      </c>
      <c r="F5244" s="1">
        <v>45786</v>
      </c>
      <c r="G5244" t="str">
        <f>IF(Table3[[#This Row],[Top Parent Account]]="",Table3[[#This Row],[Account Legal Name]],Table3[[#This Row],[Top Parent Account]])</f>
        <v>SALZILLO</v>
      </c>
      <c r="H5244" s="1"/>
    </row>
    <row r="5245" spans="1:8" x14ac:dyDescent="0.35">
      <c r="A5245" s="21"/>
      <c r="B5245" t="s">
        <v>280</v>
      </c>
      <c r="C5245" t="s">
        <v>6</v>
      </c>
      <c r="D5245" t="s">
        <v>594</v>
      </c>
      <c r="F5245" s="1">
        <v>45785</v>
      </c>
      <c r="G5245" t="str">
        <f>IF(Table3[[#This Row],[Top Parent Account]]="",Table3[[#This Row],[Account Legal Name]],Table3[[#This Row],[Top Parent Account]])</f>
        <v>Integradoras de Granos de Numaran</v>
      </c>
      <c r="H5245" s="1"/>
    </row>
    <row r="5246" spans="1:8" x14ac:dyDescent="0.35">
      <c r="A5246" s="21"/>
      <c r="B5246" t="s">
        <v>23</v>
      </c>
      <c r="C5246" t="s">
        <v>6</v>
      </c>
      <c r="D5246" t="s">
        <v>1970</v>
      </c>
      <c r="F5246" s="1">
        <v>45785</v>
      </c>
      <c r="G5246" t="str">
        <f>IF(Table3[[#This Row],[Top Parent Account]]="",Table3[[#This Row],[Account Legal Name]],Table3[[#This Row],[Top Parent Account]])</f>
        <v>TL LOGISTICS</v>
      </c>
      <c r="H5246" s="1"/>
    </row>
    <row r="5247" spans="1:8" x14ac:dyDescent="0.35">
      <c r="A5247" s="21"/>
      <c r="B5247" t="s">
        <v>880</v>
      </c>
      <c r="C5247" t="s">
        <v>2031</v>
      </c>
      <c r="D5247" t="s">
        <v>327</v>
      </c>
      <c r="F5247" s="1">
        <v>45785</v>
      </c>
      <c r="G5247" t="str">
        <f>IF(Table3[[#This Row],[Top Parent Account]]="",Table3[[#This Row],[Account Legal Name]],Table3[[#This Row],[Top Parent Account]])</f>
        <v>Tienda Neto</v>
      </c>
      <c r="H5247" s="1"/>
    </row>
    <row r="5248" spans="1:8" x14ac:dyDescent="0.35">
      <c r="A5248" s="21"/>
      <c r="B5248" t="s">
        <v>54</v>
      </c>
      <c r="C5248" t="s">
        <v>2031</v>
      </c>
      <c r="D5248" t="s">
        <v>327</v>
      </c>
      <c r="F5248" s="1">
        <v>45785</v>
      </c>
      <c r="G5248" t="str">
        <f>IF(Table3[[#This Row],[Top Parent Account]]="",Table3[[#This Row],[Account Legal Name]],Table3[[#This Row],[Top Parent Account]])</f>
        <v>Tienda Neto</v>
      </c>
      <c r="H5248" s="1"/>
    </row>
    <row r="5249" spans="1:8" x14ac:dyDescent="0.35">
      <c r="A5249" s="21"/>
      <c r="B5249" t="s">
        <v>925</v>
      </c>
      <c r="C5249" t="s">
        <v>6</v>
      </c>
      <c r="D5249" t="s">
        <v>94</v>
      </c>
      <c r="F5249" s="1">
        <v>45785</v>
      </c>
      <c r="G5249" t="str">
        <f>IF(Table3[[#This Row],[Top Parent Account]]="",Table3[[#This Row],[Account Legal Name]],Table3[[#This Row],[Top Parent Account]])</f>
        <v>Grupo Atsa</v>
      </c>
      <c r="H5249" s="1"/>
    </row>
    <row r="5250" spans="1:8" x14ac:dyDescent="0.35">
      <c r="A5250" s="21"/>
      <c r="B5250" t="s">
        <v>51</v>
      </c>
      <c r="C5250" t="s">
        <v>6</v>
      </c>
      <c r="D5250" t="s">
        <v>348</v>
      </c>
      <c r="F5250" s="1">
        <v>45785</v>
      </c>
      <c r="G5250" t="str">
        <f>IF(Table3[[#This Row],[Top Parent Account]]="",Table3[[#This Row],[Account Legal Name]],Table3[[#This Row],[Top Parent Account]])</f>
        <v>Vorago</v>
      </c>
      <c r="H5250" s="1"/>
    </row>
    <row r="5251" spans="1:8" x14ac:dyDescent="0.35">
      <c r="A5251" s="21"/>
      <c r="B5251" t="s">
        <v>78</v>
      </c>
      <c r="C5251" t="s">
        <v>6</v>
      </c>
      <c r="D5251" t="s">
        <v>2100</v>
      </c>
      <c r="F5251" s="1">
        <v>45785</v>
      </c>
      <c r="G5251" t="str">
        <f>IF(Table3[[#This Row],[Top Parent Account]]="",Table3[[#This Row],[Account Legal Name]],Table3[[#This Row],[Top Parent Account]])</f>
        <v>CENTRO PRODUCTOR AGRICOLA EL CHAPOTEADERO</v>
      </c>
      <c r="H5251" s="1"/>
    </row>
    <row r="5252" spans="1:8" x14ac:dyDescent="0.35">
      <c r="A5252" s="21"/>
      <c r="B5252" t="s">
        <v>1511</v>
      </c>
      <c r="C5252" t="s">
        <v>22</v>
      </c>
      <c r="D5252" t="s">
        <v>1775</v>
      </c>
      <c r="F5252" s="1">
        <v>45785</v>
      </c>
      <c r="G5252" t="str">
        <f>IF(Table3[[#This Row],[Top Parent Account]]="",Table3[[#This Row],[Account Legal Name]],Table3[[#This Row],[Top Parent Account]])</f>
        <v>Transportes De Los Santos</v>
      </c>
      <c r="H5252" s="1"/>
    </row>
    <row r="5253" spans="1:8" x14ac:dyDescent="0.35">
      <c r="A5253" s="21"/>
      <c r="B5253" t="s">
        <v>56</v>
      </c>
      <c r="C5253" t="s">
        <v>6</v>
      </c>
      <c r="D5253" t="s">
        <v>452</v>
      </c>
      <c r="F5253" s="1">
        <v>45785</v>
      </c>
      <c r="G5253" t="str">
        <f>IF(Table3[[#This Row],[Top Parent Account]]="",Table3[[#This Row],[Account Legal Name]],Table3[[#This Row],[Top Parent Account]])</f>
        <v>Tiendas Tres B</v>
      </c>
      <c r="H5253" s="1"/>
    </row>
    <row r="5254" spans="1:8" x14ac:dyDescent="0.35">
      <c r="A5254" s="21"/>
      <c r="B5254" t="s">
        <v>1006</v>
      </c>
      <c r="C5254" t="s">
        <v>6</v>
      </c>
      <c r="D5254" t="s">
        <v>1061</v>
      </c>
      <c r="F5254" s="1">
        <v>45785</v>
      </c>
      <c r="G5254" t="str">
        <f>IF(Table3[[#This Row],[Top Parent Account]]="",Table3[[#This Row],[Account Legal Name]],Table3[[#This Row],[Top Parent Account]])</f>
        <v>Lácteos Mojica</v>
      </c>
      <c r="H5254" s="1"/>
    </row>
    <row r="5255" spans="1:8" x14ac:dyDescent="0.35">
      <c r="A5255" s="21"/>
      <c r="B5255" t="s">
        <v>280</v>
      </c>
      <c r="C5255" t="s">
        <v>6</v>
      </c>
      <c r="D5255" t="s">
        <v>895</v>
      </c>
      <c r="F5255" s="1">
        <v>45785</v>
      </c>
      <c r="G5255" t="str">
        <f>IF(Table3[[#This Row],[Top Parent Account]]="",Table3[[#This Row],[Account Legal Name]],Table3[[#This Row],[Top Parent Account]])</f>
        <v>PRINCER</v>
      </c>
      <c r="H5255" s="1"/>
    </row>
    <row r="5256" spans="1:8" x14ac:dyDescent="0.35">
      <c r="A5256" s="21"/>
      <c r="B5256" t="s">
        <v>38</v>
      </c>
      <c r="C5256" t="s">
        <v>6</v>
      </c>
      <c r="D5256" t="s">
        <v>2032</v>
      </c>
      <c r="F5256" s="1">
        <v>45785</v>
      </c>
      <c r="G5256" t="str">
        <f>IF(Table3[[#This Row],[Top Parent Account]]="",Table3[[#This Row],[Account Legal Name]],Table3[[#This Row],[Top Parent Account]])</f>
        <v>Grupo Canels</v>
      </c>
      <c r="H5256" s="1"/>
    </row>
    <row r="5257" spans="1:8" x14ac:dyDescent="0.35">
      <c r="A5257" s="21"/>
      <c r="B5257" t="s">
        <v>78</v>
      </c>
      <c r="C5257" t="s">
        <v>6</v>
      </c>
      <c r="D5257" t="s">
        <v>2033</v>
      </c>
      <c r="F5257" s="1">
        <v>45785</v>
      </c>
      <c r="G5257" t="str">
        <f>IF(Table3[[#This Row],[Top Parent Account]]="",Table3[[#This Row],[Account Legal Name]],Table3[[#This Row],[Top Parent Account]])</f>
        <v>UELITINI TONATIUTEOTL</v>
      </c>
      <c r="H5257" s="1"/>
    </row>
    <row r="5258" spans="1:8" x14ac:dyDescent="0.35">
      <c r="A5258" s="21"/>
      <c r="B5258" t="s">
        <v>37</v>
      </c>
      <c r="C5258" t="s">
        <v>6</v>
      </c>
      <c r="D5258" t="s">
        <v>2365</v>
      </c>
      <c r="F5258" s="1">
        <v>45785</v>
      </c>
      <c r="G5258" t="str">
        <f>IF(Table3[[#This Row],[Top Parent Account]]="",Table3[[#This Row],[Account Legal Name]],Table3[[#This Row],[Top Parent Account]])</f>
        <v>GLECO MEDICAL USA</v>
      </c>
      <c r="H5258" s="1"/>
    </row>
    <row r="5259" spans="1:8" x14ac:dyDescent="0.35">
      <c r="A5259" s="21"/>
      <c r="B5259" t="s">
        <v>28</v>
      </c>
      <c r="C5259" t="s">
        <v>6</v>
      </c>
      <c r="D5259" t="s">
        <v>899</v>
      </c>
      <c r="F5259" s="1">
        <v>45785</v>
      </c>
      <c r="G5259" t="str">
        <f>IF(Table3[[#This Row],[Top Parent Account]]="",Table3[[#This Row],[Account Legal Name]],Table3[[#This Row],[Top Parent Account]])</f>
        <v>GRUAS Y TRANSPORTES RENTERIA</v>
      </c>
      <c r="H5259" s="1"/>
    </row>
    <row r="5260" spans="1:8" x14ac:dyDescent="0.35">
      <c r="A5260" s="21"/>
      <c r="B5260" t="s">
        <v>172</v>
      </c>
      <c r="C5260" t="s">
        <v>6</v>
      </c>
      <c r="D5260" t="s">
        <v>238</v>
      </c>
      <c r="F5260" s="1">
        <v>45785</v>
      </c>
      <c r="G5260" t="str">
        <f>IF(Table3[[#This Row],[Top Parent Account]]="",Table3[[#This Row],[Account Legal Name]],Table3[[#This Row],[Top Parent Account]])</f>
        <v>Grupo Industrial Monclova</v>
      </c>
      <c r="H5260" s="1"/>
    </row>
    <row r="5261" spans="1:8" x14ac:dyDescent="0.35">
      <c r="A5261" s="21"/>
      <c r="B5261" t="s">
        <v>77</v>
      </c>
      <c r="C5261" t="s">
        <v>6</v>
      </c>
      <c r="D5261" t="s">
        <v>1893</v>
      </c>
      <c r="F5261" s="1">
        <v>45785</v>
      </c>
      <c r="G5261" t="str">
        <f>IF(Table3[[#This Row],[Top Parent Account]]="",Table3[[#This Row],[Account Legal Name]],Table3[[#This Row],[Top Parent Account]])</f>
        <v>Corporacion Chihuahua</v>
      </c>
      <c r="H5261" s="1"/>
    </row>
    <row r="5262" spans="1:8" x14ac:dyDescent="0.35">
      <c r="A5262" s="21"/>
      <c r="B5262" t="s">
        <v>880</v>
      </c>
      <c r="C5262" t="s">
        <v>2034</v>
      </c>
      <c r="D5262" t="s">
        <v>59</v>
      </c>
      <c r="F5262" s="1">
        <v>45785</v>
      </c>
      <c r="G5262" t="str">
        <f>IF(Table3[[#This Row],[Top Parent Account]]="",Table3[[#This Row],[Account Legal Name]],Table3[[#This Row],[Top Parent Account]])</f>
        <v>Usk Internacional</v>
      </c>
      <c r="H5262" s="1"/>
    </row>
    <row r="5263" spans="1:8" x14ac:dyDescent="0.35">
      <c r="A5263" s="21"/>
      <c r="B5263" t="s">
        <v>1282</v>
      </c>
      <c r="C5263" t="s">
        <v>2034</v>
      </c>
      <c r="D5263" t="s">
        <v>59</v>
      </c>
      <c r="F5263" s="1">
        <v>45785</v>
      </c>
      <c r="G5263" t="str">
        <f>IF(Table3[[#This Row],[Top Parent Account]]="",Table3[[#This Row],[Account Legal Name]],Table3[[#This Row],[Top Parent Account]])</f>
        <v>Usk Internacional</v>
      </c>
      <c r="H5263" s="1"/>
    </row>
    <row r="5264" spans="1:8" x14ac:dyDescent="0.35">
      <c r="A5264" s="21"/>
      <c r="B5264" t="s">
        <v>54</v>
      </c>
      <c r="C5264" t="s">
        <v>2034</v>
      </c>
      <c r="D5264" t="s">
        <v>59</v>
      </c>
      <c r="F5264" s="1">
        <v>45785</v>
      </c>
      <c r="G5264" t="str">
        <f>IF(Table3[[#This Row],[Top Parent Account]]="",Table3[[#This Row],[Account Legal Name]],Table3[[#This Row],[Top Parent Account]])</f>
        <v>Usk Internacional</v>
      </c>
      <c r="H5264" s="1"/>
    </row>
    <row r="5265" spans="1:8" x14ac:dyDescent="0.35">
      <c r="A5265" s="21"/>
      <c r="B5265" t="s">
        <v>375</v>
      </c>
      <c r="C5265" t="s">
        <v>6</v>
      </c>
      <c r="D5265" t="s">
        <v>1971</v>
      </c>
      <c r="F5265" s="1">
        <v>45785</v>
      </c>
      <c r="G5265" t="str">
        <f>IF(Table3[[#This Row],[Top Parent Account]]="",Table3[[#This Row],[Account Legal Name]],Table3[[#This Row],[Top Parent Account]])</f>
        <v>Chemo de Mexico</v>
      </c>
      <c r="H5265" s="1"/>
    </row>
    <row r="5266" spans="1:8" x14ac:dyDescent="0.35">
      <c r="A5266" s="21"/>
      <c r="B5266" t="s">
        <v>1511</v>
      </c>
      <c r="C5266" t="s">
        <v>22</v>
      </c>
      <c r="D5266" t="s">
        <v>1663</v>
      </c>
      <c r="F5266" s="1">
        <v>45785</v>
      </c>
      <c r="G5266" t="str">
        <f>IF(Table3[[#This Row],[Top Parent Account]]="",Table3[[#This Row],[Account Legal Name]],Table3[[#This Row],[Top Parent Account]])</f>
        <v>Grote Industries de México</v>
      </c>
      <c r="H5266" s="1"/>
    </row>
    <row r="5267" spans="1:8" x14ac:dyDescent="0.35">
      <c r="A5267" s="21"/>
      <c r="B5267" t="s">
        <v>589</v>
      </c>
      <c r="C5267" t="s">
        <v>6</v>
      </c>
      <c r="D5267" t="s">
        <v>2035</v>
      </c>
      <c r="F5267" s="1">
        <v>45785</v>
      </c>
      <c r="G5267" t="str">
        <f>IF(Table3[[#This Row],[Top Parent Account]]="",Table3[[#This Row],[Account Legal Name]],Table3[[#This Row],[Top Parent Account]])</f>
        <v>comercializadora san german</v>
      </c>
      <c r="H5267" s="1"/>
    </row>
    <row r="5268" spans="1:8" x14ac:dyDescent="0.35">
      <c r="A5268" s="21"/>
      <c r="B5268" t="s">
        <v>21</v>
      </c>
      <c r="C5268" t="s">
        <v>6</v>
      </c>
      <c r="D5268" t="s">
        <v>2036</v>
      </c>
      <c r="F5268" s="1">
        <v>45785</v>
      </c>
      <c r="G5268" t="str">
        <f>IF(Table3[[#This Row],[Top Parent Account]]="",Table3[[#This Row],[Account Legal Name]],Table3[[#This Row],[Top Parent Account]])</f>
        <v>Laboratorio de Servicios Ambientales</v>
      </c>
      <c r="H5268" s="1"/>
    </row>
    <row r="5269" spans="1:8" x14ac:dyDescent="0.35">
      <c r="A5269" s="21"/>
      <c r="B5269" t="s">
        <v>30</v>
      </c>
      <c r="C5269" t="s">
        <v>6</v>
      </c>
      <c r="D5269" t="s">
        <v>412</v>
      </c>
      <c r="E5269" t="s">
        <v>35</v>
      </c>
      <c r="F5269" s="1">
        <v>45785</v>
      </c>
      <c r="G5269" t="str">
        <f>IF(Table3[[#This Row],[Top Parent Account]]="",Table3[[#This Row],[Account Legal Name]],Table3[[#This Row],[Top Parent Account]])</f>
        <v>Bayer de México</v>
      </c>
      <c r="H5269" s="1"/>
    </row>
    <row r="5270" spans="1:8" x14ac:dyDescent="0.35">
      <c r="A5270" s="21"/>
      <c r="B5270" t="s">
        <v>88</v>
      </c>
      <c r="C5270" t="s">
        <v>6</v>
      </c>
      <c r="D5270" t="s">
        <v>2569</v>
      </c>
      <c r="F5270" s="1">
        <v>45785</v>
      </c>
      <c r="G5270" t="str">
        <f>IF(Table3[[#This Row],[Top Parent Account]]="",Table3[[#This Row],[Account Legal Name]],Table3[[#This Row],[Top Parent Account]])</f>
        <v>Tarimas y empaques de madera luca</v>
      </c>
      <c r="H5270" s="1"/>
    </row>
    <row r="5271" spans="1:8" x14ac:dyDescent="0.35">
      <c r="A5271" s="21"/>
      <c r="B5271" t="s">
        <v>78</v>
      </c>
      <c r="C5271" t="s">
        <v>6</v>
      </c>
      <c r="D5271" t="s">
        <v>390</v>
      </c>
      <c r="F5271" s="1">
        <v>45785</v>
      </c>
      <c r="G5271" t="str">
        <f>IF(Table3[[#This Row],[Top Parent Account]]="",Table3[[#This Row],[Account Legal Name]],Table3[[#This Row],[Top Parent Account]])</f>
        <v>COMUNIDAD UNIVERSITARIA DEL GOLFO CENTRO</v>
      </c>
      <c r="H5271" s="1"/>
    </row>
    <row r="5272" spans="1:8" x14ac:dyDescent="0.35">
      <c r="A5272" s="21"/>
      <c r="B5272" t="s">
        <v>32</v>
      </c>
      <c r="C5272" t="s">
        <v>6</v>
      </c>
      <c r="D5272" t="s">
        <v>425</v>
      </c>
      <c r="F5272" s="1">
        <v>45785</v>
      </c>
      <c r="G5272" t="str">
        <f>IF(Table3[[#This Row],[Top Parent Account]]="",Table3[[#This Row],[Account Legal Name]],Table3[[#This Row],[Top Parent Account]])</f>
        <v>Po Empaques Flexibles</v>
      </c>
      <c r="H5272" s="1"/>
    </row>
    <row r="5273" spans="1:8" x14ac:dyDescent="0.35">
      <c r="A5273" s="21"/>
      <c r="B5273" t="s">
        <v>54</v>
      </c>
      <c r="C5273" t="s">
        <v>6</v>
      </c>
      <c r="D5273" t="s">
        <v>176</v>
      </c>
      <c r="F5273" s="1">
        <v>45785</v>
      </c>
      <c r="G5273" t="str">
        <f>IF(Table3[[#This Row],[Top Parent Account]]="",Table3[[#This Row],[Account Legal Name]],Table3[[#This Row],[Top Parent Account]])</f>
        <v>Plazteca</v>
      </c>
      <c r="H5273" s="1"/>
    </row>
    <row r="5274" spans="1:8" x14ac:dyDescent="0.35">
      <c r="A5274" s="21"/>
      <c r="B5274" t="s">
        <v>23</v>
      </c>
      <c r="C5274" t="s">
        <v>6</v>
      </c>
      <c r="D5274" t="s">
        <v>1972</v>
      </c>
      <c r="F5274" s="1">
        <v>45785</v>
      </c>
      <c r="G5274" t="str">
        <f>IF(Table3[[#This Row],[Top Parent Account]]="",Table3[[#This Row],[Account Legal Name]],Table3[[#This Row],[Top Parent Account]])</f>
        <v>Constructora Brigue</v>
      </c>
      <c r="H5274" s="1"/>
    </row>
    <row r="5275" spans="1:8" x14ac:dyDescent="0.35">
      <c r="A5275" s="21"/>
      <c r="B5275" t="s">
        <v>989</v>
      </c>
      <c r="C5275" t="s">
        <v>6</v>
      </c>
      <c r="D5275" t="s">
        <v>1973</v>
      </c>
      <c r="F5275" s="1">
        <v>45785</v>
      </c>
      <c r="G5275" t="str">
        <f>IF(Table3[[#This Row],[Top Parent Account]]="",Table3[[#This Row],[Account Legal Name]],Table3[[#This Row],[Top Parent Account]])</f>
        <v>Impelmex</v>
      </c>
      <c r="H5275" s="1"/>
    </row>
    <row r="5276" spans="1:8" x14ac:dyDescent="0.35">
      <c r="A5276" s="21"/>
      <c r="B5276" t="s">
        <v>1511</v>
      </c>
      <c r="C5276" t="s">
        <v>6</v>
      </c>
      <c r="D5276" t="s">
        <v>1249</v>
      </c>
      <c r="F5276" s="1">
        <v>45785</v>
      </c>
      <c r="G5276" t="str">
        <f>IF(Table3[[#This Row],[Top Parent Account]]="",Table3[[#This Row],[Account Legal Name]],Table3[[#This Row],[Top Parent Account]])</f>
        <v>Grupo Regional Santa Fé</v>
      </c>
      <c r="H5276" s="1"/>
    </row>
    <row r="5277" spans="1:8" x14ac:dyDescent="0.35">
      <c r="A5277" s="21"/>
      <c r="B5277" t="s">
        <v>590</v>
      </c>
      <c r="C5277" t="s">
        <v>6</v>
      </c>
      <c r="D5277" t="s">
        <v>653</v>
      </c>
      <c r="F5277" s="1">
        <v>45785</v>
      </c>
      <c r="G5277" t="str">
        <f>IF(Table3[[#This Row],[Top Parent Account]]="",Table3[[#This Row],[Account Legal Name]],Table3[[#This Row],[Top Parent Account]])</f>
        <v>Galvaprime</v>
      </c>
      <c r="H5277" s="1"/>
    </row>
    <row r="5278" spans="1:8" x14ac:dyDescent="0.35">
      <c r="A5278" s="21"/>
      <c r="B5278" t="s">
        <v>29</v>
      </c>
      <c r="C5278" t="s">
        <v>6</v>
      </c>
      <c r="D5278" t="s">
        <v>2037</v>
      </c>
      <c r="F5278" s="1">
        <v>45785</v>
      </c>
      <c r="G5278" t="str">
        <f>IF(Table3[[#This Row],[Top Parent Account]]="",Table3[[#This Row],[Account Legal Name]],Table3[[#This Row],[Top Parent Account]])</f>
        <v>Procesadora de Alimentos Integrales</v>
      </c>
      <c r="H5278" s="1"/>
    </row>
    <row r="5279" spans="1:8" x14ac:dyDescent="0.35">
      <c r="A5279" s="21"/>
      <c r="B5279" t="s">
        <v>56</v>
      </c>
      <c r="C5279" t="s">
        <v>6</v>
      </c>
      <c r="D5279" t="s">
        <v>424</v>
      </c>
      <c r="F5279" s="1">
        <v>45785</v>
      </c>
      <c r="G5279" t="str">
        <f>IF(Table3[[#This Row],[Top Parent Account]]="",Table3[[#This Row],[Account Legal Name]],Table3[[#This Row],[Top Parent Account]])</f>
        <v>Acegrapas Fifa</v>
      </c>
      <c r="H5279" s="1"/>
    </row>
    <row r="5280" spans="1:8" x14ac:dyDescent="0.35">
      <c r="A5280" s="21"/>
      <c r="B5280" t="s">
        <v>38</v>
      </c>
      <c r="C5280" t="s">
        <v>6</v>
      </c>
      <c r="D5280" t="s">
        <v>512</v>
      </c>
      <c r="F5280" s="1">
        <v>45785</v>
      </c>
      <c r="G5280" t="str">
        <f>IF(Table3[[#This Row],[Top Parent Account]]="",Table3[[#This Row],[Account Legal Name]],Table3[[#This Row],[Top Parent Account]])</f>
        <v>Productos Pecuarios Especializados</v>
      </c>
      <c r="H5280" s="1"/>
    </row>
    <row r="5281" spans="1:8" x14ac:dyDescent="0.35">
      <c r="A5281" s="21"/>
      <c r="B5281" t="s">
        <v>38</v>
      </c>
      <c r="C5281" t="s">
        <v>6</v>
      </c>
      <c r="D5281" t="s">
        <v>664</v>
      </c>
      <c r="F5281" s="1">
        <v>45785</v>
      </c>
      <c r="G5281" t="str">
        <f>IF(Table3[[#This Row],[Top Parent Account]]="",Table3[[#This Row],[Account Legal Name]],Table3[[#This Row],[Top Parent Account]])</f>
        <v>Waukesha Metal Products de México</v>
      </c>
      <c r="H5281" s="1"/>
    </row>
    <row r="5282" spans="1:8" x14ac:dyDescent="0.35">
      <c r="A5282" s="21"/>
      <c r="B5282" t="s">
        <v>38</v>
      </c>
      <c r="C5282" t="s">
        <v>6</v>
      </c>
      <c r="D5282" t="s">
        <v>1337</v>
      </c>
      <c r="F5282" s="1">
        <v>45785</v>
      </c>
      <c r="G5282" t="str">
        <f>IF(Table3[[#This Row],[Top Parent Account]]="",Table3[[#This Row],[Account Legal Name]],Table3[[#This Row],[Top Parent Account]])</f>
        <v>Empaques y Envolturas</v>
      </c>
      <c r="H5282" s="1"/>
    </row>
    <row r="5283" spans="1:8" x14ac:dyDescent="0.35">
      <c r="A5283" s="21"/>
      <c r="B5283" t="s">
        <v>38</v>
      </c>
      <c r="C5283" t="s">
        <v>6</v>
      </c>
      <c r="D5283" t="s">
        <v>506</v>
      </c>
      <c r="F5283" s="1">
        <v>45785</v>
      </c>
      <c r="G5283" t="str">
        <f>IF(Table3[[#This Row],[Top Parent Account]]="",Table3[[#This Row],[Account Legal Name]],Table3[[#This Row],[Top Parent Account]])</f>
        <v>Grupo Acerero</v>
      </c>
      <c r="H5283" s="1"/>
    </row>
    <row r="5284" spans="1:8" x14ac:dyDescent="0.35">
      <c r="A5284" s="21"/>
      <c r="B5284" t="s">
        <v>78</v>
      </c>
      <c r="C5284" t="s">
        <v>6</v>
      </c>
      <c r="D5284" t="s">
        <v>678</v>
      </c>
      <c r="F5284" s="1">
        <v>45785</v>
      </c>
      <c r="G5284" t="str">
        <f>IF(Table3[[#This Row],[Top Parent Account]]="",Table3[[#This Row],[Account Legal Name]],Table3[[#This Row],[Top Parent Account]])</f>
        <v>Transportes Terrestres Novillero</v>
      </c>
      <c r="H5284" s="1"/>
    </row>
    <row r="5285" spans="1:8" x14ac:dyDescent="0.35">
      <c r="A5285" s="21"/>
      <c r="B5285" t="s">
        <v>70</v>
      </c>
      <c r="C5285" t="s">
        <v>6</v>
      </c>
      <c r="D5285" t="s">
        <v>447</v>
      </c>
      <c r="F5285" s="1">
        <v>45785</v>
      </c>
      <c r="G5285" t="str">
        <f>IF(Table3[[#This Row],[Top Parent Account]]="",Table3[[#This Row],[Account Legal Name]],Table3[[#This Row],[Top Parent Account]])</f>
        <v>Intermet</v>
      </c>
      <c r="H5285" s="1"/>
    </row>
    <row r="5286" spans="1:8" x14ac:dyDescent="0.35">
      <c r="A5286" s="21"/>
      <c r="B5286" t="s">
        <v>7</v>
      </c>
      <c r="C5286" t="s">
        <v>6</v>
      </c>
      <c r="D5286" t="s">
        <v>2038</v>
      </c>
      <c r="F5286" s="1">
        <v>45785</v>
      </c>
      <c r="G5286" t="str">
        <f>IF(Table3[[#This Row],[Top Parent Account]]="",Table3[[#This Row],[Account Legal Name]],Table3[[#This Row],[Top Parent Account]])</f>
        <v>Minera Rio Tinto</v>
      </c>
      <c r="H5286" s="1"/>
    </row>
    <row r="5287" spans="1:8" x14ac:dyDescent="0.35">
      <c r="A5287" s="21"/>
      <c r="B5287" t="s">
        <v>25</v>
      </c>
      <c r="C5287" t="s">
        <v>6</v>
      </c>
      <c r="D5287" t="s">
        <v>2039</v>
      </c>
      <c r="E5287" t="s">
        <v>2040</v>
      </c>
      <c r="F5287" s="1">
        <v>45784</v>
      </c>
      <c r="G5287" t="str">
        <f>IF(Table3[[#This Row],[Top Parent Account]]="",Table3[[#This Row],[Account Legal Name]],Table3[[#This Row],[Top Parent Account]])</f>
        <v>Cooper-Standard Automotive Services</v>
      </c>
      <c r="H5287" s="1"/>
    </row>
    <row r="5288" spans="1:8" x14ac:dyDescent="0.35">
      <c r="A5288" s="21"/>
      <c r="B5288" t="s">
        <v>28</v>
      </c>
      <c r="C5288" t="s">
        <v>6</v>
      </c>
      <c r="D5288" t="s">
        <v>1052</v>
      </c>
      <c r="F5288" s="1">
        <v>45784</v>
      </c>
      <c r="G5288" t="str">
        <f>IF(Table3[[#This Row],[Top Parent Account]]="",Table3[[#This Row],[Account Legal Name]],Table3[[#This Row],[Top Parent Account]])</f>
        <v>Agricenter zevilla</v>
      </c>
      <c r="H5288" s="1"/>
    </row>
    <row r="5289" spans="1:8" x14ac:dyDescent="0.35">
      <c r="A5289" s="21"/>
      <c r="B5289" t="s">
        <v>77</v>
      </c>
      <c r="C5289" t="s">
        <v>6</v>
      </c>
      <c r="D5289" t="s">
        <v>766</v>
      </c>
      <c r="F5289" s="1">
        <v>45784</v>
      </c>
      <c r="G5289" t="str">
        <f>IF(Table3[[#This Row],[Top Parent Account]]="",Table3[[#This Row],[Account Legal Name]],Table3[[#This Row],[Top Parent Account]])</f>
        <v>Aditivos y Recubrimientos Técnicos</v>
      </c>
      <c r="H5289" s="1"/>
    </row>
    <row r="5290" spans="1:8" x14ac:dyDescent="0.35">
      <c r="A5290" s="21"/>
      <c r="B5290" t="s">
        <v>27</v>
      </c>
      <c r="C5290" t="s">
        <v>22</v>
      </c>
      <c r="D5290" t="s">
        <v>432</v>
      </c>
      <c r="F5290" s="1">
        <v>45784</v>
      </c>
      <c r="G5290" t="str">
        <f>IF(Table3[[#This Row],[Top Parent Account]]="",Table3[[#This Row],[Account Legal Name]],Table3[[#This Row],[Top Parent Account]])</f>
        <v>Alcamare</v>
      </c>
      <c r="H5290" s="1"/>
    </row>
    <row r="5291" spans="1:8" x14ac:dyDescent="0.35">
      <c r="A5291" s="21"/>
      <c r="B5291" t="s">
        <v>10</v>
      </c>
      <c r="C5291" t="s">
        <v>6</v>
      </c>
      <c r="D5291" t="s">
        <v>445</v>
      </c>
      <c r="F5291" s="1">
        <v>45784</v>
      </c>
      <c r="G5291" t="str">
        <f>IF(Table3[[#This Row],[Top Parent Account]]="",Table3[[#This Row],[Account Legal Name]],Table3[[#This Row],[Top Parent Account]])</f>
        <v>GRUPO CASA MAZATLAN</v>
      </c>
      <c r="H5291" s="1"/>
    </row>
    <row r="5292" spans="1:8" x14ac:dyDescent="0.35">
      <c r="A5292" s="21"/>
      <c r="B5292" t="s">
        <v>589</v>
      </c>
      <c r="C5292" t="s">
        <v>6</v>
      </c>
      <c r="D5292" t="s">
        <v>1974</v>
      </c>
      <c r="F5292" s="1">
        <v>45784</v>
      </c>
      <c r="G5292" t="str">
        <f>IF(Table3[[#This Row],[Top Parent Account]]="",Table3[[#This Row],[Account Legal Name]],Table3[[#This Row],[Top Parent Account]])</f>
        <v>Duro Concretos</v>
      </c>
      <c r="H5292" s="1"/>
    </row>
    <row r="5293" spans="1:8" x14ac:dyDescent="0.35">
      <c r="A5293" s="21"/>
      <c r="B5293" t="s">
        <v>1643</v>
      </c>
      <c r="C5293" t="s">
        <v>6</v>
      </c>
      <c r="D5293" t="s">
        <v>1647</v>
      </c>
      <c r="F5293" s="1">
        <v>45784</v>
      </c>
      <c r="G5293" t="str">
        <f>IF(Table3[[#This Row],[Top Parent Account]]="",Table3[[#This Row],[Account Legal Name]],Table3[[#This Row],[Top Parent Account]])</f>
        <v>Fundicion Aguilas</v>
      </c>
      <c r="H5293" s="1"/>
    </row>
    <row r="5294" spans="1:8" x14ac:dyDescent="0.35">
      <c r="A5294" s="21"/>
      <c r="B5294" t="s">
        <v>8</v>
      </c>
      <c r="C5294" t="s">
        <v>1801</v>
      </c>
      <c r="D5294" t="s">
        <v>915</v>
      </c>
      <c r="F5294" s="1">
        <v>45784</v>
      </c>
      <c r="G5294" t="str">
        <f>IF(Table3[[#This Row],[Top Parent Account]]="",Table3[[#This Row],[Account Legal Name]],Table3[[#This Row],[Top Parent Account]])</f>
        <v>Luca Mining</v>
      </c>
      <c r="H5294" s="1"/>
    </row>
    <row r="5295" spans="1:8" x14ac:dyDescent="0.35">
      <c r="A5295" s="21"/>
      <c r="B5295" t="s">
        <v>24</v>
      </c>
      <c r="C5295" t="s">
        <v>6</v>
      </c>
      <c r="D5295" t="s">
        <v>1975</v>
      </c>
      <c r="F5295" s="1">
        <v>45784</v>
      </c>
      <c r="G5295" t="str">
        <f>IF(Table3[[#This Row],[Top Parent Account]]="",Table3[[#This Row],[Account Legal Name]],Table3[[#This Row],[Top Parent Account]])</f>
        <v>Agregados Zacanta</v>
      </c>
      <c r="H5295" s="1"/>
    </row>
    <row r="5296" spans="1:8" x14ac:dyDescent="0.35">
      <c r="A5296" s="21"/>
      <c r="B5296" t="s">
        <v>172</v>
      </c>
      <c r="C5296" t="s">
        <v>6</v>
      </c>
      <c r="D5296" t="s">
        <v>105</v>
      </c>
      <c r="F5296" s="1">
        <v>45784</v>
      </c>
      <c r="G5296" t="str">
        <f>IF(Table3[[#This Row],[Top Parent Account]]="",Table3[[#This Row],[Account Legal Name]],Table3[[#This Row],[Top Parent Account]])</f>
        <v>NORCAST</v>
      </c>
      <c r="H5296" s="1"/>
    </row>
    <row r="5297" spans="1:8" x14ac:dyDescent="0.35">
      <c r="A5297" s="21"/>
      <c r="B5297" t="s">
        <v>1511</v>
      </c>
      <c r="C5297" t="s">
        <v>6</v>
      </c>
      <c r="D5297" t="s">
        <v>439</v>
      </c>
      <c r="F5297" s="1">
        <v>45784</v>
      </c>
      <c r="G5297" t="str">
        <f>IF(Table3[[#This Row],[Top Parent Account]]="",Table3[[#This Row],[Account Legal Name]],Table3[[#This Row],[Top Parent Account]])</f>
        <v>Copamex</v>
      </c>
      <c r="H5297" s="1"/>
    </row>
    <row r="5298" spans="1:8" x14ac:dyDescent="0.35">
      <c r="A5298" s="21"/>
      <c r="B5298" t="s">
        <v>28</v>
      </c>
      <c r="C5298" t="s">
        <v>6</v>
      </c>
      <c r="D5298" t="s">
        <v>650</v>
      </c>
      <c r="F5298" s="1">
        <v>45784</v>
      </c>
      <c r="G5298" t="str">
        <f>IF(Table3[[#This Row],[Top Parent Account]]="",Table3[[#This Row],[Account Legal Name]],Table3[[#This Row],[Top Parent Account]])</f>
        <v>GP MAQUID</v>
      </c>
      <c r="H5298" s="1"/>
    </row>
    <row r="5299" spans="1:8" x14ac:dyDescent="0.35">
      <c r="A5299" s="21"/>
      <c r="B5299" t="s">
        <v>84</v>
      </c>
      <c r="C5299" t="s">
        <v>1976</v>
      </c>
      <c r="D5299" t="s">
        <v>1060</v>
      </c>
      <c r="F5299" s="1">
        <v>45784</v>
      </c>
      <c r="G5299" t="str">
        <f>IF(Table3[[#This Row],[Top Parent Account]]="",Table3[[#This Row],[Account Legal Name]],Table3[[#This Row],[Top Parent Account]])</f>
        <v>Cremería Del Yaqui</v>
      </c>
      <c r="H5299" s="1"/>
    </row>
    <row r="5300" spans="1:8" x14ac:dyDescent="0.35">
      <c r="A5300" s="21"/>
      <c r="B5300" t="s">
        <v>43</v>
      </c>
      <c r="C5300" t="s">
        <v>22</v>
      </c>
      <c r="D5300" t="s">
        <v>556</v>
      </c>
      <c r="F5300" s="1">
        <v>45784</v>
      </c>
      <c r="G5300" t="str">
        <f>IF(Table3[[#This Row],[Top Parent Account]]="",Table3[[#This Row],[Account Legal Name]],Table3[[#This Row],[Top Parent Account]])</f>
        <v>Acuario Grupo Empresarial</v>
      </c>
      <c r="H5300" s="1"/>
    </row>
    <row r="5301" spans="1:8" x14ac:dyDescent="0.35">
      <c r="A5301" s="21"/>
      <c r="B5301" t="s">
        <v>7</v>
      </c>
      <c r="C5301" t="s">
        <v>6</v>
      </c>
      <c r="D5301" t="s">
        <v>2041</v>
      </c>
      <c r="F5301" s="1">
        <v>45784</v>
      </c>
      <c r="G5301" t="str">
        <f>IF(Table3[[#This Row],[Top Parent Account]]="",Table3[[#This Row],[Account Legal Name]],Table3[[#This Row],[Top Parent Account]])</f>
        <v>Concretta</v>
      </c>
      <c r="H5301" s="1"/>
    </row>
    <row r="5302" spans="1:8" x14ac:dyDescent="0.35">
      <c r="A5302" s="21"/>
      <c r="B5302" t="s">
        <v>169</v>
      </c>
      <c r="C5302" t="s">
        <v>6</v>
      </c>
      <c r="D5302" t="s">
        <v>1977</v>
      </c>
      <c r="F5302" s="1">
        <v>45784</v>
      </c>
      <c r="G5302" t="str">
        <f>IF(Table3[[#This Row],[Top Parent Account]]="",Table3[[#This Row],[Account Legal Name]],Table3[[#This Row],[Top Parent Account]])</f>
        <v>INDUSTRIA GRANDE DE ALIMENTOS</v>
      </c>
      <c r="H5302" s="1"/>
    </row>
    <row r="5303" spans="1:8" x14ac:dyDescent="0.35">
      <c r="A5303" s="21"/>
      <c r="B5303" t="s">
        <v>20</v>
      </c>
      <c r="C5303" t="s">
        <v>6</v>
      </c>
      <c r="D5303" t="s">
        <v>2101</v>
      </c>
      <c r="F5303" s="1">
        <v>45784</v>
      </c>
      <c r="G5303" t="str">
        <f>IF(Table3[[#This Row],[Top Parent Account]]="",Table3[[#This Row],[Account Legal Name]],Table3[[#This Row],[Top Parent Account]])</f>
        <v>Noxgen Biotech</v>
      </c>
      <c r="H5303" s="1"/>
    </row>
    <row r="5304" spans="1:8" x14ac:dyDescent="0.35">
      <c r="A5304" s="21"/>
      <c r="B5304" t="s">
        <v>1006</v>
      </c>
      <c r="C5304" t="s">
        <v>6</v>
      </c>
      <c r="D5304" t="s">
        <v>1819</v>
      </c>
      <c r="F5304" s="1">
        <v>45784</v>
      </c>
      <c r="G5304" t="str">
        <f>IF(Table3[[#This Row],[Top Parent Account]]="",Table3[[#This Row],[Account Legal Name]],Table3[[#This Row],[Top Parent Account]])</f>
        <v>Elite Produce</v>
      </c>
      <c r="H5304" s="1"/>
    </row>
    <row r="5305" spans="1:8" x14ac:dyDescent="0.35">
      <c r="A5305" s="21"/>
      <c r="B5305" t="s">
        <v>39</v>
      </c>
      <c r="C5305" t="s">
        <v>2042</v>
      </c>
      <c r="D5305" t="s">
        <v>2043</v>
      </c>
      <c r="F5305" s="1">
        <v>45784</v>
      </c>
      <c r="G5305" t="str">
        <f>IF(Table3[[#This Row],[Top Parent Account]]="",Table3[[#This Row],[Account Legal Name]],Table3[[#This Row],[Top Parent Account]])</f>
        <v>Mision 21</v>
      </c>
      <c r="H5305" s="1"/>
    </row>
    <row r="5306" spans="1:8" x14ac:dyDescent="0.35">
      <c r="A5306" s="21"/>
      <c r="B5306" t="s">
        <v>14</v>
      </c>
      <c r="C5306" t="s">
        <v>6</v>
      </c>
      <c r="D5306" t="s">
        <v>1978</v>
      </c>
      <c r="F5306" s="1">
        <v>45784</v>
      </c>
      <c r="G5306" t="str">
        <f>IF(Table3[[#This Row],[Top Parent Account]]="",Table3[[#This Row],[Account Legal Name]],Table3[[#This Row],[Top Parent Account]])</f>
        <v>Mexicana de Anclas Mineras</v>
      </c>
      <c r="H5306" s="1"/>
    </row>
    <row r="5307" spans="1:8" x14ac:dyDescent="0.35">
      <c r="A5307" s="21"/>
      <c r="B5307" t="s">
        <v>43</v>
      </c>
      <c r="C5307" t="s">
        <v>6</v>
      </c>
      <c r="D5307" t="s">
        <v>1979</v>
      </c>
      <c r="F5307" s="1">
        <v>45784</v>
      </c>
      <c r="G5307" t="str">
        <f>IF(Table3[[#This Row],[Top Parent Account]]="",Table3[[#This Row],[Account Legal Name]],Table3[[#This Row],[Top Parent Account]])</f>
        <v>PYATRA MINERALS</v>
      </c>
      <c r="H5307" s="1"/>
    </row>
    <row r="5308" spans="1:8" x14ac:dyDescent="0.35">
      <c r="A5308" s="21"/>
      <c r="B5308" t="s">
        <v>1006</v>
      </c>
      <c r="C5308" t="s">
        <v>6</v>
      </c>
      <c r="D5308" t="s">
        <v>1916</v>
      </c>
      <c r="F5308" s="1">
        <v>45784</v>
      </c>
      <c r="G5308" t="str">
        <f>IF(Table3[[#This Row],[Top Parent Account]]="",Table3[[#This Row],[Account Legal Name]],Table3[[#This Row],[Top Parent Account]])</f>
        <v>Logística Mafa</v>
      </c>
      <c r="H5308" s="1"/>
    </row>
    <row r="5309" spans="1:8" x14ac:dyDescent="0.35">
      <c r="A5309" s="21"/>
      <c r="B5309" t="s">
        <v>39</v>
      </c>
      <c r="C5309" t="s">
        <v>1980</v>
      </c>
      <c r="D5309" t="s">
        <v>1981</v>
      </c>
      <c r="F5309" s="1">
        <v>45784</v>
      </c>
      <c r="G5309" t="str">
        <f>IF(Table3[[#This Row],[Top Parent Account]]="",Table3[[#This Row],[Account Legal Name]],Table3[[#This Row],[Top Parent Account]])</f>
        <v>Consultoría y Asesoría De Redes</v>
      </c>
      <c r="H5309" s="1"/>
    </row>
    <row r="5310" spans="1:8" x14ac:dyDescent="0.35">
      <c r="A5310" s="21"/>
      <c r="B5310" t="s">
        <v>1643</v>
      </c>
      <c r="C5310" t="s">
        <v>6</v>
      </c>
      <c r="D5310" t="s">
        <v>1983</v>
      </c>
      <c r="E5310" t="s">
        <v>1904</v>
      </c>
      <c r="F5310" s="1">
        <v>45784</v>
      </c>
      <c r="G5310" t="str">
        <f>IF(Table3[[#This Row],[Top Parent Account]]="",Table3[[#This Row],[Account Legal Name]],Table3[[#This Row],[Top Parent Account]])</f>
        <v>Ematec</v>
      </c>
      <c r="H5310" s="1"/>
    </row>
    <row r="5311" spans="1:8" x14ac:dyDescent="0.35">
      <c r="A5311" s="21"/>
      <c r="B5311" t="s">
        <v>7</v>
      </c>
      <c r="C5311" t="s">
        <v>6</v>
      </c>
      <c r="D5311" t="s">
        <v>1982</v>
      </c>
      <c r="F5311" s="1">
        <v>45784</v>
      </c>
      <c r="G5311" t="str">
        <f>IF(Table3[[#This Row],[Top Parent Account]]="",Table3[[#This Row],[Account Legal Name]],Table3[[#This Row],[Top Parent Account]])</f>
        <v>Semiremolques el Puma</v>
      </c>
      <c r="H5311" s="1"/>
    </row>
    <row r="5312" spans="1:8" x14ac:dyDescent="0.35">
      <c r="A5312" s="21"/>
      <c r="B5312" t="s">
        <v>23</v>
      </c>
      <c r="C5312" t="s">
        <v>6</v>
      </c>
      <c r="D5312" t="s">
        <v>860</v>
      </c>
      <c r="F5312" s="1">
        <v>45784</v>
      </c>
      <c r="G5312" t="str">
        <f>IF(Table3[[#This Row],[Top Parent Account]]="",Table3[[#This Row],[Account Legal Name]],Table3[[#This Row],[Top Parent Account]])</f>
        <v>BRASIMEX MADERAS Y EMBALAJES</v>
      </c>
      <c r="H5312" s="1"/>
    </row>
    <row r="5313" spans="1:8" x14ac:dyDescent="0.35">
      <c r="A5313" s="21"/>
      <c r="B5313" t="s">
        <v>169</v>
      </c>
      <c r="C5313" t="s">
        <v>6</v>
      </c>
      <c r="D5313" t="s">
        <v>1984</v>
      </c>
      <c r="F5313" s="1">
        <v>45784</v>
      </c>
      <c r="G5313" t="str">
        <f>IF(Table3[[#This Row],[Top Parent Account]]="",Table3[[#This Row],[Account Legal Name]],Table3[[#This Row],[Top Parent Account]])</f>
        <v>Covimexi</v>
      </c>
      <c r="H5313" s="1"/>
    </row>
    <row r="5314" spans="1:8" x14ac:dyDescent="0.35">
      <c r="A5314" s="21"/>
      <c r="B5314" t="s">
        <v>39</v>
      </c>
      <c r="C5314" t="s">
        <v>1985</v>
      </c>
      <c r="D5314" t="s">
        <v>1035</v>
      </c>
      <c r="F5314" s="1">
        <v>45784</v>
      </c>
      <c r="G5314" t="str">
        <f>IF(Table3[[#This Row],[Top Parent Account]]="",Table3[[#This Row],[Account Legal Name]],Table3[[#This Row],[Top Parent Account]])</f>
        <v>Distribuidora De Concretos Mxl</v>
      </c>
      <c r="H5314" s="1"/>
    </row>
    <row r="5315" spans="1:8" x14ac:dyDescent="0.35">
      <c r="A5315" s="21"/>
      <c r="B5315" t="s">
        <v>114</v>
      </c>
      <c r="C5315" t="s">
        <v>6</v>
      </c>
      <c r="D5315" t="s">
        <v>1987</v>
      </c>
      <c r="E5315" t="s">
        <v>345</v>
      </c>
      <c r="F5315" s="1">
        <v>45784</v>
      </c>
      <c r="G5315" t="str">
        <f>IF(Table3[[#This Row],[Top Parent Account]]="",Table3[[#This Row],[Account Legal Name]],Table3[[#This Row],[Top Parent Account]])</f>
        <v>Hydal</v>
      </c>
      <c r="H5315" s="1"/>
    </row>
    <row r="5316" spans="1:8" x14ac:dyDescent="0.35">
      <c r="A5316" s="21"/>
      <c r="B5316" t="s">
        <v>589</v>
      </c>
      <c r="C5316" t="s">
        <v>6</v>
      </c>
      <c r="D5316" t="s">
        <v>823</v>
      </c>
      <c r="F5316" s="1">
        <v>45784</v>
      </c>
      <c r="G5316" t="str">
        <f>IF(Table3[[#This Row],[Top Parent Account]]="",Table3[[#This Row],[Account Legal Name]],Table3[[#This Row],[Top Parent Account]])</f>
        <v>Concretos Tancol</v>
      </c>
      <c r="H5316" s="1"/>
    </row>
    <row r="5317" spans="1:8" x14ac:dyDescent="0.35">
      <c r="A5317" s="21"/>
      <c r="B5317" t="s">
        <v>970</v>
      </c>
      <c r="C5317" t="s">
        <v>6</v>
      </c>
      <c r="D5317" t="s">
        <v>1147</v>
      </c>
      <c r="F5317" s="1">
        <v>45784</v>
      </c>
      <c r="G5317" t="str">
        <f>IF(Table3[[#This Row],[Top Parent Account]]="",Table3[[#This Row],[Account Legal Name]],Table3[[#This Row],[Top Parent Account]])</f>
        <v>RLH Properties</v>
      </c>
      <c r="H5317" s="1"/>
    </row>
    <row r="5318" spans="1:8" x14ac:dyDescent="0.35">
      <c r="A5318" s="21"/>
      <c r="B5318" t="s">
        <v>121</v>
      </c>
      <c r="C5318" t="s">
        <v>6</v>
      </c>
      <c r="D5318" t="s">
        <v>2044</v>
      </c>
      <c r="F5318" s="1">
        <v>45784</v>
      </c>
      <c r="G5318" t="str">
        <f>IF(Table3[[#This Row],[Top Parent Account]]="",Table3[[#This Row],[Account Legal Name]],Table3[[#This Row],[Top Parent Account]])</f>
        <v>DESARROLLO RESIDENCIAS DEL CAÑON</v>
      </c>
      <c r="H5318" s="1"/>
    </row>
    <row r="5319" spans="1:8" x14ac:dyDescent="0.35">
      <c r="A5319" s="21"/>
      <c r="B5319" t="s">
        <v>208</v>
      </c>
      <c r="C5319" t="s">
        <v>6</v>
      </c>
      <c r="D5319" t="s">
        <v>259</v>
      </c>
      <c r="F5319" s="1">
        <v>45784</v>
      </c>
      <c r="G5319" t="str">
        <f>IF(Table3[[#This Row],[Top Parent Account]]="",Table3[[#This Row],[Account Legal Name]],Table3[[#This Row],[Top Parent Account]])</f>
        <v>Infagon Web</v>
      </c>
      <c r="H5319" s="1"/>
    </row>
    <row r="5320" spans="1:8" x14ac:dyDescent="0.35">
      <c r="A5320" s="21"/>
      <c r="B5320" t="s">
        <v>20</v>
      </c>
      <c r="C5320" t="s">
        <v>6</v>
      </c>
      <c r="D5320" t="s">
        <v>2102</v>
      </c>
      <c r="F5320" s="1">
        <v>45784</v>
      </c>
      <c r="G5320" t="str">
        <f>IF(Table3[[#This Row],[Top Parent Account]]="",Table3[[#This Row],[Account Legal Name]],Table3[[#This Row],[Top Parent Account]])</f>
        <v>Especias de Amacuzac</v>
      </c>
      <c r="H5320" s="1"/>
    </row>
    <row r="5321" spans="1:8" x14ac:dyDescent="0.35">
      <c r="A5321" s="21"/>
      <c r="B5321" t="s">
        <v>32</v>
      </c>
      <c r="C5321" t="s">
        <v>6</v>
      </c>
      <c r="D5321" t="s">
        <v>954</v>
      </c>
      <c r="F5321" s="1">
        <v>45784</v>
      </c>
      <c r="G5321" t="str">
        <f>IF(Table3[[#This Row],[Top Parent Account]]="",Table3[[#This Row],[Account Legal Name]],Table3[[#This Row],[Top Parent Account]])</f>
        <v>ACCIONA INFRAESTRUCTURAS MÉXICO</v>
      </c>
      <c r="H5321" s="1"/>
    </row>
    <row r="5322" spans="1:8" x14ac:dyDescent="0.35">
      <c r="A5322" s="21"/>
      <c r="B5322" t="s">
        <v>10</v>
      </c>
      <c r="C5322" t="s">
        <v>6</v>
      </c>
      <c r="D5322" t="s">
        <v>869</v>
      </c>
      <c r="F5322" s="1">
        <v>45784</v>
      </c>
      <c r="G5322" t="str">
        <f>IF(Table3[[#This Row],[Top Parent Account]]="",Table3[[#This Row],[Account Legal Name]],Table3[[#This Row],[Top Parent Account]])</f>
        <v>Logística Multimodal Especializada</v>
      </c>
      <c r="H5322" s="1"/>
    </row>
    <row r="5323" spans="1:8" x14ac:dyDescent="0.35">
      <c r="A5323" s="21"/>
      <c r="B5323" t="s">
        <v>23</v>
      </c>
      <c r="C5323" t="s">
        <v>6</v>
      </c>
      <c r="D5323" t="s">
        <v>1988</v>
      </c>
      <c r="F5323" s="1">
        <v>45784</v>
      </c>
      <c r="G5323" t="str">
        <f>IF(Table3[[#This Row],[Top Parent Account]]="",Table3[[#This Row],[Account Legal Name]],Table3[[#This Row],[Top Parent Account]])</f>
        <v>Calendarios Landin</v>
      </c>
      <c r="H5323" s="1"/>
    </row>
    <row r="5324" spans="1:8" x14ac:dyDescent="0.35">
      <c r="A5324" s="21"/>
      <c r="B5324" t="s">
        <v>7</v>
      </c>
      <c r="C5324" t="s">
        <v>6</v>
      </c>
      <c r="D5324" t="s">
        <v>1989</v>
      </c>
      <c r="F5324" s="1">
        <v>45784</v>
      </c>
      <c r="G5324" t="str">
        <f>IF(Table3[[#This Row],[Top Parent Account]]="",Table3[[#This Row],[Account Legal Name]],Table3[[#This Row],[Top Parent Account]])</f>
        <v>Gonhermex</v>
      </c>
      <c r="H5324" s="1"/>
    </row>
    <row r="5325" spans="1:8" x14ac:dyDescent="0.35">
      <c r="A5325" s="21"/>
      <c r="B5325" t="s">
        <v>169</v>
      </c>
      <c r="C5325" t="s">
        <v>6</v>
      </c>
      <c r="D5325" t="s">
        <v>851</v>
      </c>
      <c r="F5325" s="1">
        <v>45784</v>
      </c>
      <c r="G5325" t="str">
        <f>IF(Table3[[#This Row],[Top Parent Account]]="",Table3[[#This Row],[Account Legal Name]],Table3[[#This Row],[Top Parent Account]])</f>
        <v>Cayco Construcción</v>
      </c>
      <c r="H5325" s="1"/>
    </row>
    <row r="5326" spans="1:8" x14ac:dyDescent="0.35">
      <c r="A5326" s="21"/>
      <c r="B5326" t="s">
        <v>38</v>
      </c>
      <c r="C5326" t="s">
        <v>6</v>
      </c>
      <c r="D5326" t="s">
        <v>2103</v>
      </c>
      <c r="F5326" s="1">
        <v>45784</v>
      </c>
      <c r="G5326" t="str">
        <f>IF(Table3[[#This Row],[Top Parent Account]]="",Table3[[#This Row],[Account Legal Name]],Table3[[#This Row],[Top Parent Account]])</f>
        <v>Gruas San Luis</v>
      </c>
      <c r="H5326" s="1"/>
    </row>
    <row r="5327" spans="1:8" x14ac:dyDescent="0.35">
      <c r="A5327" s="21"/>
      <c r="B5327" t="s">
        <v>84</v>
      </c>
      <c r="C5327" t="s">
        <v>428</v>
      </c>
      <c r="D5327" t="s">
        <v>216</v>
      </c>
      <c r="F5327" s="1">
        <v>45783</v>
      </c>
      <c r="G5327" t="str">
        <f>IF(Table3[[#This Row],[Top Parent Account]]="",Table3[[#This Row],[Account Legal Name]],Table3[[#This Row],[Top Parent Account]])</f>
        <v>Fletes Esquer</v>
      </c>
      <c r="H5327" s="1"/>
    </row>
    <row r="5328" spans="1:8" x14ac:dyDescent="0.35">
      <c r="A5328" s="21"/>
      <c r="B5328" t="s">
        <v>84</v>
      </c>
      <c r="C5328" t="s">
        <v>55</v>
      </c>
      <c r="D5328" t="s">
        <v>718</v>
      </c>
      <c r="F5328" s="1">
        <v>45783</v>
      </c>
      <c r="G5328" t="str">
        <f>IF(Table3[[#This Row],[Top Parent Account]]="",Table3[[#This Row],[Account Legal Name]],Table3[[#This Row],[Top Parent Account]])</f>
        <v>IMAGENES MEDICAS</v>
      </c>
      <c r="H5328" s="1"/>
    </row>
    <row r="5329" spans="1:8" x14ac:dyDescent="0.35">
      <c r="A5329" s="21"/>
      <c r="B5329" t="s">
        <v>77</v>
      </c>
      <c r="C5329" t="s">
        <v>6</v>
      </c>
      <c r="D5329" t="s">
        <v>2045</v>
      </c>
      <c r="F5329" s="1">
        <v>45783</v>
      </c>
      <c r="G5329" t="str">
        <f>IF(Table3[[#This Row],[Top Parent Account]]="",Table3[[#This Row],[Account Legal Name]],Table3[[#This Row],[Top Parent Account]])</f>
        <v>Postres Congelados Juárez</v>
      </c>
      <c r="H5329" s="1"/>
    </row>
    <row r="5330" spans="1:8" x14ac:dyDescent="0.35">
      <c r="A5330" s="21"/>
      <c r="B5330" t="s">
        <v>1899</v>
      </c>
      <c r="C5330" t="s">
        <v>6</v>
      </c>
      <c r="D5330" t="s">
        <v>1990</v>
      </c>
      <c r="E5330" t="s">
        <v>1991</v>
      </c>
      <c r="F5330" s="1">
        <v>45783</v>
      </c>
      <c r="G5330" t="str">
        <f>IF(Table3[[#This Row],[Top Parent Account]]="",Table3[[#This Row],[Account Legal Name]],Table3[[#This Row],[Top Parent Account]])</f>
        <v>El Charal</v>
      </c>
      <c r="H5330" s="1"/>
    </row>
    <row r="5331" spans="1:8" x14ac:dyDescent="0.35">
      <c r="A5331" s="21"/>
      <c r="B5331" t="s">
        <v>172</v>
      </c>
      <c r="C5331" t="s">
        <v>6</v>
      </c>
      <c r="D5331" t="s">
        <v>655</v>
      </c>
      <c r="E5331" t="s">
        <v>660</v>
      </c>
      <c r="F5331" s="1">
        <v>45783</v>
      </c>
      <c r="G5331" t="str">
        <f>IF(Table3[[#This Row],[Top Parent Account]]="",Table3[[#This Row],[Account Legal Name]],Table3[[#This Row],[Top Parent Account]])</f>
        <v>Sociedad Ecologica Mexicana del Norte</v>
      </c>
      <c r="H5331" s="1"/>
    </row>
    <row r="5332" spans="1:8" x14ac:dyDescent="0.35">
      <c r="A5332" s="21"/>
      <c r="B5332" t="s">
        <v>10</v>
      </c>
      <c r="C5332" t="s">
        <v>6</v>
      </c>
      <c r="D5332" t="s">
        <v>2046</v>
      </c>
      <c r="F5332" s="1">
        <v>45783</v>
      </c>
      <c r="G5332" t="str">
        <f>IF(Table3[[#This Row],[Top Parent Account]]="",Table3[[#This Row],[Account Legal Name]],Table3[[#This Row],[Top Parent Account]])</f>
        <v>Embutidos Corona</v>
      </c>
      <c r="H5332" s="1"/>
    </row>
    <row r="5333" spans="1:8" x14ac:dyDescent="0.35">
      <c r="A5333" s="21"/>
      <c r="B5333" t="s">
        <v>14</v>
      </c>
      <c r="C5333" t="s">
        <v>6</v>
      </c>
      <c r="D5333" t="s">
        <v>2047</v>
      </c>
      <c r="F5333" s="1">
        <v>45783</v>
      </c>
      <c r="G5333" t="str">
        <f>IF(Table3[[#This Row],[Top Parent Account]]="",Table3[[#This Row],[Account Legal Name]],Table3[[#This Row],[Top Parent Account]])</f>
        <v>Grupo Aldaramiz</v>
      </c>
      <c r="H5333" s="1"/>
    </row>
    <row r="5334" spans="1:8" x14ac:dyDescent="0.35">
      <c r="A5334" s="21"/>
      <c r="B5334" t="s">
        <v>70</v>
      </c>
      <c r="C5334" t="s">
        <v>6</v>
      </c>
      <c r="D5334" t="s">
        <v>1992</v>
      </c>
      <c r="F5334" s="1">
        <v>45783</v>
      </c>
      <c r="G5334" t="str">
        <f>IF(Table3[[#This Row],[Top Parent Account]]="",Table3[[#This Row],[Account Legal Name]],Table3[[#This Row],[Top Parent Account]])</f>
        <v>Operadora Juventud</v>
      </c>
      <c r="H5334" s="1"/>
    </row>
    <row r="5335" spans="1:8" x14ac:dyDescent="0.35">
      <c r="A5335" s="21"/>
      <c r="B5335" t="s">
        <v>1511</v>
      </c>
      <c r="C5335" t="s">
        <v>6</v>
      </c>
      <c r="D5335" t="s">
        <v>2048</v>
      </c>
      <c r="F5335" s="1">
        <v>45783</v>
      </c>
      <c r="G5335" t="str">
        <f>IF(Table3[[#This Row],[Top Parent Account]]="",Table3[[#This Row],[Account Legal Name]],Table3[[#This Row],[Top Parent Account]])</f>
        <v>MACONDGMX</v>
      </c>
      <c r="H5335" s="1"/>
    </row>
    <row r="5336" spans="1:8" x14ac:dyDescent="0.35">
      <c r="A5336" s="21"/>
      <c r="B5336" t="s">
        <v>172</v>
      </c>
      <c r="C5336" t="s">
        <v>6</v>
      </c>
      <c r="D5336" t="s">
        <v>369</v>
      </c>
      <c r="F5336" s="1">
        <v>45783</v>
      </c>
      <c r="G5336" t="str">
        <f>IF(Table3[[#This Row],[Top Parent Account]]="",Table3[[#This Row],[Account Legal Name]],Table3[[#This Row],[Top Parent Account]])</f>
        <v>Nusantara de México</v>
      </c>
      <c r="H5336" s="1"/>
    </row>
    <row r="5337" spans="1:8" x14ac:dyDescent="0.35">
      <c r="A5337" s="21"/>
      <c r="B5337" t="s">
        <v>54</v>
      </c>
      <c r="C5337" t="s">
        <v>1993</v>
      </c>
      <c r="D5337" t="s">
        <v>304</v>
      </c>
      <c r="F5337" s="1">
        <v>45783</v>
      </c>
      <c r="G5337" t="str">
        <f>IF(Table3[[#This Row],[Top Parent Account]]="",Table3[[#This Row],[Account Legal Name]],Table3[[#This Row],[Top Parent Account]])</f>
        <v>Robert Bosch Gmbh</v>
      </c>
      <c r="H5337" s="1"/>
    </row>
    <row r="5338" spans="1:8" x14ac:dyDescent="0.35">
      <c r="A5338" s="21"/>
      <c r="B5338" t="s">
        <v>8</v>
      </c>
      <c r="C5338" t="s">
        <v>1994</v>
      </c>
      <c r="D5338" t="s">
        <v>1995</v>
      </c>
      <c r="E5338" t="s">
        <v>1996</v>
      </c>
      <c r="F5338" s="1">
        <v>45783</v>
      </c>
      <c r="G5338" t="str">
        <f>IF(Table3[[#This Row],[Top Parent Account]]="",Table3[[#This Row],[Account Legal Name]],Table3[[#This Row],[Top Parent Account]])</f>
        <v>Motorola Comercial</v>
      </c>
      <c r="H5338" s="1"/>
    </row>
    <row r="5339" spans="1:8" x14ac:dyDescent="0.35">
      <c r="A5339" s="21"/>
      <c r="B5339" t="s">
        <v>28</v>
      </c>
      <c r="C5339" t="s">
        <v>6</v>
      </c>
      <c r="D5339" t="s">
        <v>1962</v>
      </c>
      <c r="F5339" s="1">
        <v>45783</v>
      </c>
      <c r="G5339" t="str">
        <f>IF(Table3[[#This Row],[Top Parent Account]]="",Table3[[#This Row],[Account Legal Name]],Table3[[#This Row],[Top Parent Account]])</f>
        <v>BITUMEN Y CONCRETO</v>
      </c>
      <c r="H5339" s="1"/>
    </row>
    <row r="5340" spans="1:8" x14ac:dyDescent="0.35">
      <c r="A5340" s="21"/>
      <c r="B5340" t="s">
        <v>969</v>
      </c>
      <c r="C5340" t="s">
        <v>6</v>
      </c>
      <c r="D5340" t="s">
        <v>1997</v>
      </c>
      <c r="F5340" s="1">
        <v>45783</v>
      </c>
      <c r="G5340" t="str">
        <f>IF(Table3[[#This Row],[Top Parent Account]]="",Table3[[#This Row],[Account Legal Name]],Table3[[#This Row],[Top Parent Account]])</f>
        <v>GLOBAL TOTAL SERVICES LOGISTICS</v>
      </c>
      <c r="H5340" s="1"/>
    </row>
    <row r="5341" spans="1:8" x14ac:dyDescent="0.35">
      <c r="A5341" s="21"/>
      <c r="B5341" t="s">
        <v>589</v>
      </c>
      <c r="C5341" t="s">
        <v>6</v>
      </c>
      <c r="D5341" t="s">
        <v>1998</v>
      </c>
      <c r="F5341" s="1">
        <v>45783</v>
      </c>
      <c r="G5341" t="str">
        <f>IF(Table3[[#This Row],[Top Parent Account]]="",Table3[[#This Row],[Account Legal Name]],Table3[[#This Row],[Top Parent Account]])</f>
        <v>RUTER</v>
      </c>
      <c r="H5341" s="1"/>
    </row>
    <row r="5342" spans="1:8" x14ac:dyDescent="0.35">
      <c r="A5342" s="21"/>
      <c r="B5342" t="s">
        <v>925</v>
      </c>
      <c r="C5342" t="s">
        <v>6</v>
      </c>
      <c r="D5342" t="s">
        <v>1999</v>
      </c>
      <c r="F5342" s="1">
        <v>45783</v>
      </c>
      <c r="G5342" t="str">
        <f>IF(Table3[[#This Row],[Top Parent Account]]="",Table3[[#This Row],[Account Legal Name]],Table3[[#This Row],[Top Parent Account]])</f>
        <v>BOBIMEX</v>
      </c>
      <c r="H5342" s="1"/>
    </row>
    <row r="5343" spans="1:8" x14ac:dyDescent="0.35">
      <c r="A5343" s="21"/>
      <c r="B5343" t="s">
        <v>23</v>
      </c>
      <c r="C5343" t="s">
        <v>6</v>
      </c>
      <c r="D5343" t="s">
        <v>2000</v>
      </c>
      <c r="F5343" s="1">
        <v>45783</v>
      </c>
      <c r="G5343" t="str">
        <f>IF(Table3[[#This Row],[Top Parent Account]]="",Table3[[#This Row],[Account Legal Name]],Table3[[#This Row],[Top Parent Account]])</f>
        <v>ASM STEEL METAL</v>
      </c>
      <c r="H5343" s="1"/>
    </row>
    <row r="5344" spans="1:8" x14ac:dyDescent="0.35">
      <c r="A5344" s="21"/>
      <c r="B5344" t="s">
        <v>590</v>
      </c>
      <c r="C5344" t="s">
        <v>6</v>
      </c>
      <c r="D5344" t="s">
        <v>1753</v>
      </c>
      <c r="F5344" s="1">
        <v>45783</v>
      </c>
      <c r="G5344" t="str">
        <f>IF(Table3[[#This Row],[Top Parent Account]]="",Table3[[#This Row],[Account Legal Name]],Table3[[#This Row],[Top Parent Account]])</f>
        <v>Control De Potencia Y Regulación Eléctrica</v>
      </c>
      <c r="H5344" s="1"/>
    </row>
    <row r="5345" spans="1:8" x14ac:dyDescent="0.35">
      <c r="A5345" s="21"/>
      <c r="B5345" t="s">
        <v>26</v>
      </c>
      <c r="C5345" t="s">
        <v>6</v>
      </c>
      <c r="D5345" t="s">
        <v>2049</v>
      </c>
      <c r="F5345" s="1">
        <v>45783</v>
      </c>
      <c r="G5345" t="str">
        <f>IF(Table3[[#This Row],[Top Parent Account]]="",Table3[[#This Row],[Account Legal Name]],Table3[[#This Row],[Top Parent Account]])</f>
        <v>Sypris Technologies México</v>
      </c>
      <c r="H5345" s="1"/>
    </row>
    <row r="5346" spans="1:8" x14ac:dyDescent="0.35">
      <c r="A5346" s="21"/>
      <c r="B5346" t="s">
        <v>39</v>
      </c>
      <c r="C5346" t="s">
        <v>2002</v>
      </c>
      <c r="D5346" t="s">
        <v>2003</v>
      </c>
      <c r="E5346" t="s">
        <v>2004</v>
      </c>
      <c r="F5346" s="1">
        <v>45783</v>
      </c>
      <c r="G5346" t="str">
        <f>IF(Table3[[#This Row],[Top Parent Account]]="",Table3[[#This Row],[Account Legal Name]],Table3[[#This Row],[Top Parent Account]])</f>
        <v>Mobinsa</v>
      </c>
      <c r="H5346" s="1"/>
    </row>
    <row r="5347" spans="1:8" x14ac:dyDescent="0.35">
      <c r="A5347" s="21"/>
      <c r="B5347" t="s">
        <v>43</v>
      </c>
      <c r="C5347" t="s">
        <v>6</v>
      </c>
      <c r="D5347" t="s">
        <v>1008</v>
      </c>
      <c r="F5347" s="1">
        <v>45783</v>
      </c>
      <c r="G5347" t="str">
        <f>IF(Table3[[#This Row],[Top Parent Account]]="",Table3[[#This Row],[Account Legal Name]],Table3[[#This Row],[Top Parent Account]])</f>
        <v>Laboratorios Vanquish</v>
      </c>
      <c r="H5347" s="1"/>
    </row>
    <row r="5348" spans="1:8" x14ac:dyDescent="0.35">
      <c r="A5348" s="21"/>
      <c r="B5348" t="s">
        <v>969</v>
      </c>
      <c r="C5348" t="s">
        <v>6</v>
      </c>
      <c r="D5348" t="s">
        <v>2001</v>
      </c>
      <c r="F5348" s="1">
        <v>45783</v>
      </c>
      <c r="G5348" t="str">
        <f>IF(Table3[[#This Row],[Top Parent Account]]="",Table3[[#This Row],[Account Legal Name]],Table3[[#This Row],[Top Parent Account]])</f>
        <v>Compa&amp;ia Industrial Plasvic</v>
      </c>
      <c r="H5348" s="1"/>
    </row>
    <row r="5349" spans="1:8" x14ac:dyDescent="0.35">
      <c r="A5349" s="21"/>
      <c r="B5349" t="s">
        <v>30</v>
      </c>
      <c r="C5349" t="s">
        <v>6</v>
      </c>
      <c r="D5349" t="s">
        <v>972</v>
      </c>
      <c r="F5349" s="1">
        <v>45783</v>
      </c>
      <c r="G5349" t="str">
        <f>IF(Table3[[#This Row],[Top Parent Account]]="",Table3[[#This Row],[Account Legal Name]],Table3[[#This Row],[Top Parent Account]])</f>
        <v>Sistemas y Equipos Procesadores de Efectivo</v>
      </c>
      <c r="H5349" s="1"/>
    </row>
    <row r="5350" spans="1:8" x14ac:dyDescent="0.35">
      <c r="A5350" s="21"/>
      <c r="B5350" t="s">
        <v>970</v>
      </c>
      <c r="C5350" t="s">
        <v>6</v>
      </c>
      <c r="D5350" t="s">
        <v>814</v>
      </c>
      <c r="F5350" s="1">
        <v>45783</v>
      </c>
      <c r="G5350" t="str">
        <f>IF(Table3[[#This Row],[Top Parent Account]]="",Table3[[#This Row],[Account Legal Name]],Table3[[#This Row],[Top Parent Account]])</f>
        <v>Peri Cimbras y Andamios</v>
      </c>
      <c r="H5350" s="1"/>
    </row>
    <row r="5351" spans="1:8" x14ac:dyDescent="0.35">
      <c r="A5351" s="21"/>
      <c r="B5351" t="s">
        <v>970</v>
      </c>
      <c r="C5351" t="s">
        <v>6</v>
      </c>
      <c r="D5351" t="s">
        <v>814</v>
      </c>
      <c r="F5351" s="1">
        <v>45783</v>
      </c>
      <c r="G5351" t="str">
        <f>IF(Table3[[#This Row],[Top Parent Account]]="",Table3[[#This Row],[Account Legal Name]],Table3[[#This Row],[Top Parent Account]])</f>
        <v>Peri Cimbras y Andamios</v>
      </c>
      <c r="H5351" s="1"/>
    </row>
    <row r="5352" spans="1:8" x14ac:dyDescent="0.35">
      <c r="A5352" s="21"/>
      <c r="B5352" t="s">
        <v>172</v>
      </c>
      <c r="C5352" t="s">
        <v>6</v>
      </c>
      <c r="D5352" t="s">
        <v>595</v>
      </c>
      <c r="F5352" s="1">
        <v>45783</v>
      </c>
      <c r="G5352" t="str">
        <f>IF(Table3[[#This Row],[Top Parent Account]]="",Table3[[#This Row],[Account Legal Name]],Table3[[#This Row],[Top Parent Account]])</f>
        <v>Aveymas</v>
      </c>
      <c r="H5352" s="1"/>
    </row>
    <row r="5353" spans="1:8" x14ac:dyDescent="0.35">
      <c r="A5353" s="21"/>
      <c r="B5353" t="s">
        <v>21</v>
      </c>
      <c r="C5353" t="s">
        <v>6</v>
      </c>
      <c r="D5353" t="s">
        <v>2050</v>
      </c>
      <c r="F5353" s="1">
        <v>45783</v>
      </c>
      <c r="G5353" t="str">
        <f>IF(Table3[[#This Row],[Top Parent Account]]="",Table3[[#This Row],[Account Legal Name]],Table3[[#This Row],[Top Parent Account]])</f>
        <v>Grupo en Aceros del Sureste Mixteco</v>
      </c>
      <c r="H5353" s="1"/>
    </row>
    <row r="5354" spans="1:8" x14ac:dyDescent="0.35">
      <c r="A5354" s="21"/>
      <c r="B5354" t="s">
        <v>1511</v>
      </c>
      <c r="C5354" t="s">
        <v>22</v>
      </c>
      <c r="D5354" t="s">
        <v>1895</v>
      </c>
      <c r="F5354" s="1">
        <v>45783</v>
      </c>
      <c r="G5354" t="str">
        <f>IF(Table3[[#This Row],[Top Parent Account]]="",Table3[[#This Row],[Account Legal Name]],Table3[[#This Row],[Top Parent Account]])</f>
        <v>Casa Rivero</v>
      </c>
      <c r="H5354" s="1"/>
    </row>
    <row r="5355" spans="1:8" x14ac:dyDescent="0.35">
      <c r="A5355" s="21"/>
      <c r="B5355" t="s">
        <v>88</v>
      </c>
      <c r="C5355" t="s">
        <v>6</v>
      </c>
      <c r="D5355" t="s">
        <v>2005</v>
      </c>
      <c r="F5355" s="1">
        <v>45783</v>
      </c>
      <c r="G5355" t="str">
        <f>IF(Table3[[#This Row],[Top Parent Account]]="",Table3[[#This Row],[Account Legal Name]],Table3[[#This Row],[Top Parent Account]])</f>
        <v>INDUSTRIAS PLASTICAS TARKUS</v>
      </c>
      <c r="H5355" s="1"/>
    </row>
    <row r="5356" spans="1:8" x14ac:dyDescent="0.35">
      <c r="A5356" s="21"/>
      <c r="B5356" t="s">
        <v>1511</v>
      </c>
      <c r="C5356" t="s">
        <v>6</v>
      </c>
      <c r="D5356" t="s">
        <v>2051</v>
      </c>
      <c r="F5356" s="1">
        <v>45783</v>
      </c>
      <c r="G5356" t="str">
        <f>IF(Table3[[#This Row],[Top Parent Account]]="",Table3[[#This Row],[Account Legal Name]],Table3[[#This Row],[Top Parent Account]])</f>
        <v>Mexicana Automotriz</v>
      </c>
      <c r="H5356" s="1"/>
    </row>
    <row r="5357" spans="1:8" x14ac:dyDescent="0.35">
      <c r="A5357" s="21"/>
      <c r="B5357" t="s">
        <v>32</v>
      </c>
      <c r="C5357" t="s">
        <v>6</v>
      </c>
      <c r="D5357" t="s">
        <v>953</v>
      </c>
      <c r="F5357" s="1">
        <v>45783</v>
      </c>
      <c r="G5357" t="str">
        <f>IF(Table3[[#This Row],[Top Parent Account]]="",Table3[[#This Row],[Account Legal Name]],Table3[[#This Row],[Top Parent Account]])</f>
        <v>Kensa Logistics México</v>
      </c>
      <c r="H5357" s="1"/>
    </row>
    <row r="5358" spans="1:8" x14ac:dyDescent="0.35">
      <c r="A5358" s="21"/>
      <c r="B5358" t="s">
        <v>989</v>
      </c>
      <c r="C5358" t="s">
        <v>6</v>
      </c>
      <c r="D5358" t="s">
        <v>2052</v>
      </c>
      <c r="F5358" s="1">
        <v>45783</v>
      </c>
      <c r="G5358" t="str">
        <f>IF(Table3[[#This Row],[Top Parent Account]]="",Table3[[#This Row],[Account Legal Name]],Table3[[#This Row],[Top Parent Account]])</f>
        <v>Grupo ACMA</v>
      </c>
      <c r="H5358" s="1"/>
    </row>
    <row r="5359" spans="1:8" x14ac:dyDescent="0.35">
      <c r="A5359" s="21"/>
      <c r="B5359" t="s">
        <v>590</v>
      </c>
      <c r="C5359" t="s">
        <v>6</v>
      </c>
      <c r="D5359" t="s">
        <v>1179</v>
      </c>
      <c r="F5359" s="1">
        <v>45783</v>
      </c>
      <c r="G5359" t="str">
        <f>IF(Table3[[#This Row],[Top Parent Account]]="",Table3[[#This Row],[Account Legal Name]],Table3[[#This Row],[Top Parent Account]])</f>
        <v>Procesadora y Comercializadora Conagro</v>
      </c>
      <c r="H5359" s="1"/>
    </row>
    <row r="5360" spans="1:8" x14ac:dyDescent="0.35">
      <c r="A5360" s="21"/>
      <c r="B5360" t="s">
        <v>77</v>
      </c>
      <c r="C5360" t="s">
        <v>6</v>
      </c>
      <c r="D5360" t="s">
        <v>2053</v>
      </c>
      <c r="F5360" s="1">
        <v>45783</v>
      </c>
      <c r="G5360" t="str">
        <f>IF(Table3[[#This Row],[Top Parent Account]]="",Table3[[#This Row],[Account Legal Name]],Table3[[#This Row],[Top Parent Account]])</f>
        <v>MARIO ALBERTO SAENZ GARCIA</v>
      </c>
      <c r="H5360" s="1"/>
    </row>
    <row r="5361" spans="1:8" x14ac:dyDescent="0.35">
      <c r="A5361" s="21"/>
      <c r="B5361" t="s">
        <v>1511</v>
      </c>
      <c r="C5361" t="s">
        <v>6</v>
      </c>
      <c r="D5361" t="s">
        <v>1512</v>
      </c>
      <c r="F5361" s="1">
        <v>45783</v>
      </c>
      <c r="G5361" t="str">
        <f>IF(Table3[[#This Row],[Top Parent Account]]="",Table3[[#This Row],[Account Legal Name]],Table3[[#This Row],[Top Parent Account]])</f>
        <v>Auto Camiones Universidad</v>
      </c>
      <c r="H5361" s="1"/>
    </row>
    <row r="5362" spans="1:8" x14ac:dyDescent="0.35">
      <c r="A5362" s="21"/>
      <c r="B5362" t="s">
        <v>51</v>
      </c>
      <c r="C5362" t="s">
        <v>6</v>
      </c>
      <c r="D5362" t="s">
        <v>482</v>
      </c>
      <c r="F5362" s="1">
        <v>45783</v>
      </c>
      <c r="G5362" t="str">
        <f>IF(Table3[[#This Row],[Top Parent Account]]="",Table3[[#This Row],[Account Legal Name]],Table3[[#This Row],[Top Parent Account]])</f>
        <v>Construcciones Perez y Gil</v>
      </c>
      <c r="H5362" s="1"/>
    </row>
    <row r="5363" spans="1:8" x14ac:dyDescent="0.35">
      <c r="A5363" s="21"/>
      <c r="B5363" t="s">
        <v>1006</v>
      </c>
      <c r="C5363" t="s">
        <v>6</v>
      </c>
      <c r="D5363" t="s">
        <v>1491</v>
      </c>
      <c r="F5363" s="1">
        <v>45783</v>
      </c>
      <c r="G5363" t="str">
        <f>IF(Table3[[#This Row],[Top Parent Account]]="",Table3[[#This Row],[Account Legal Name]],Table3[[#This Row],[Top Parent Account]])</f>
        <v>GRUPO MOC</v>
      </c>
      <c r="H5363" s="1"/>
    </row>
    <row r="5364" spans="1:8" x14ac:dyDescent="0.35">
      <c r="A5364" s="21"/>
      <c r="B5364" t="s">
        <v>1899</v>
      </c>
      <c r="C5364" t="s">
        <v>6</v>
      </c>
      <c r="D5364" t="s">
        <v>641</v>
      </c>
      <c r="F5364" s="1">
        <v>45783</v>
      </c>
      <c r="G5364" t="str">
        <f>IF(Table3[[#This Row],[Top Parent Account]]="",Table3[[#This Row],[Account Legal Name]],Table3[[#This Row],[Top Parent Account]])</f>
        <v>APR Gruas y Logistica</v>
      </c>
      <c r="H5364" s="1"/>
    </row>
    <row r="5365" spans="1:8" x14ac:dyDescent="0.35">
      <c r="A5365" s="21"/>
      <c r="B5365" t="s">
        <v>258</v>
      </c>
      <c r="C5365" t="s">
        <v>6</v>
      </c>
      <c r="D5365" t="s">
        <v>602</v>
      </c>
      <c r="F5365" s="1">
        <v>45782</v>
      </c>
      <c r="G5365" t="str">
        <f>IF(Table3[[#This Row],[Top Parent Account]]="",Table3[[#This Row],[Account Legal Name]],Table3[[#This Row],[Top Parent Account]])</f>
        <v>OPERADORA YAAN</v>
      </c>
      <c r="H5365" s="1"/>
    </row>
    <row r="5366" spans="1:8" x14ac:dyDescent="0.35">
      <c r="A5366" s="21"/>
      <c r="B5366" t="s">
        <v>880</v>
      </c>
      <c r="C5366" t="s">
        <v>2006</v>
      </c>
      <c r="D5366" t="s">
        <v>598</v>
      </c>
      <c r="F5366" s="1">
        <v>45782</v>
      </c>
      <c r="G5366" t="str">
        <f>IF(Table3[[#This Row],[Top Parent Account]]="",Table3[[#This Row],[Account Legal Name]],Table3[[#This Row],[Top Parent Account]])</f>
        <v>Transportes Mexamerik</v>
      </c>
      <c r="H5366" s="1"/>
    </row>
    <row r="5367" spans="1:8" x14ac:dyDescent="0.35">
      <c r="A5367" s="21"/>
      <c r="B5367" t="s">
        <v>54</v>
      </c>
      <c r="C5367" t="s">
        <v>2006</v>
      </c>
      <c r="D5367" t="s">
        <v>598</v>
      </c>
      <c r="F5367" s="1">
        <v>45782</v>
      </c>
      <c r="G5367" t="str">
        <f>IF(Table3[[#This Row],[Top Parent Account]]="",Table3[[#This Row],[Account Legal Name]],Table3[[#This Row],[Top Parent Account]])</f>
        <v>Transportes Mexamerik</v>
      </c>
      <c r="H5367" s="1"/>
    </row>
    <row r="5368" spans="1:8" x14ac:dyDescent="0.35">
      <c r="A5368" s="21"/>
      <c r="B5368" t="s">
        <v>88</v>
      </c>
      <c r="C5368" t="s">
        <v>6</v>
      </c>
      <c r="D5368" t="s">
        <v>2007</v>
      </c>
      <c r="F5368" s="1">
        <v>45782</v>
      </c>
      <c r="G5368" t="str">
        <f>IF(Table3[[#This Row],[Top Parent Account]]="",Table3[[#This Row],[Account Legal Name]],Table3[[#This Row],[Top Parent Account]])</f>
        <v>GA Chem</v>
      </c>
      <c r="H5368" s="1"/>
    </row>
    <row r="5369" spans="1:8" x14ac:dyDescent="0.35">
      <c r="A5369" s="21"/>
      <c r="B5369" t="s">
        <v>28</v>
      </c>
      <c r="C5369" t="s">
        <v>6</v>
      </c>
      <c r="D5369" t="s">
        <v>2054</v>
      </c>
      <c r="F5369" s="1">
        <v>45782</v>
      </c>
      <c r="G5369" t="str">
        <f>IF(Table3[[#This Row],[Top Parent Account]]="",Table3[[#This Row],[Account Legal Name]],Table3[[#This Row],[Top Parent Account]])</f>
        <v>Avícola Santo Madero</v>
      </c>
      <c r="H5369" s="1"/>
    </row>
    <row r="5370" spans="1:8" x14ac:dyDescent="0.35">
      <c r="A5370" s="21"/>
      <c r="B5370" t="s">
        <v>1899</v>
      </c>
      <c r="C5370" t="s">
        <v>6</v>
      </c>
      <c r="D5370" t="s">
        <v>800</v>
      </c>
      <c r="F5370" s="1">
        <v>45782</v>
      </c>
      <c r="G5370" t="str">
        <f>IF(Table3[[#This Row],[Top Parent Account]]="",Table3[[#This Row],[Account Legal Name]],Table3[[#This Row],[Top Parent Account]])</f>
        <v>Climaproyectos</v>
      </c>
      <c r="H5370" s="1"/>
    </row>
    <row r="5371" spans="1:8" x14ac:dyDescent="0.35">
      <c r="A5371" s="21"/>
      <c r="B5371" t="s">
        <v>37</v>
      </c>
      <c r="C5371" t="s">
        <v>6</v>
      </c>
      <c r="D5371" t="s">
        <v>2008</v>
      </c>
      <c r="F5371" s="1">
        <v>45782</v>
      </c>
      <c r="G5371" t="str">
        <f>IF(Table3[[#This Row],[Top Parent Account]]="",Table3[[#This Row],[Account Legal Name]],Table3[[#This Row],[Top Parent Account]])</f>
        <v>Qualy Plast</v>
      </c>
      <c r="H5371" s="1"/>
    </row>
    <row r="5372" spans="1:8" x14ac:dyDescent="0.35">
      <c r="A5372" s="21"/>
      <c r="B5372" t="s">
        <v>14</v>
      </c>
      <c r="C5372" t="s">
        <v>6</v>
      </c>
      <c r="D5372" t="s">
        <v>1128</v>
      </c>
      <c r="F5372" s="1">
        <v>45782</v>
      </c>
      <c r="G5372" t="str">
        <f>IF(Table3[[#This Row],[Top Parent Account]]="",Table3[[#This Row],[Account Legal Name]],Table3[[#This Row],[Top Parent Account]])</f>
        <v>Logística Express La Bufa</v>
      </c>
      <c r="H5372" s="1"/>
    </row>
    <row r="5373" spans="1:8" x14ac:dyDescent="0.35">
      <c r="A5373" s="21"/>
      <c r="B5373" t="s">
        <v>30</v>
      </c>
      <c r="C5373" t="s">
        <v>6</v>
      </c>
      <c r="D5373" t="s">
        <v>936</v>
      </c>
      <c r="E5373" t="s">
        <v>615</v>
      </c>
      <c r="F5373" s="1">
        <v>45782</v>
      </c>
      <c r="G5373" t="str">
        <f>IF(Table3[[#This Row],[Top Parent Account]]="",Table3[[#This Row],[Account Legal Name]],Table3[[#This Row],[Top Parent Account]])</f>
        <v>EVOX México</v>
      </c>
      <c r="H5373" s="1"/>
    </row>
    <row r="5374" spans="1:8" x14ac:dyDescent="0.35">
      <c r="A5374" s="21"/>
      <c r="B5374" t="s">
        <v>121</v>
      </c>
      <c r="C5374" t="s">
        <v>6</v>
      </c>
      <c r="D5374" t="s">
        <v>756</v>
      </c>
      <c r="F5374" s="1">
        <v>45782</v>
      </c>
      <c r="G5374" t="str">
        <f>IF(Table3[[#This Row],[Top Parent Account]]="",Table3[[#This Row],[Account Legal Name]],Table3[[#This Row],[Top Parent Account]])</f>
        <v>Harinera De Sinaloa</v>
      </c>
      <c r="H5374" s="1"/>
    </row>
    <row r="5375" spans="1:8" x14ac:dyDescent="0.35">
      <c r="A5375" s="21"/>
      <c r="B5375" t="s">
        <v>14</v>
      </c>
      <c r="C5375" t="s">
        <v>6</v>
      </c>
      <c r="D5375" t="s">
        <v>562</v>
      </c>
      <c r="F5375" s="1">
        <v>45782</v>
      </c>
      <c r="G5375" t="str">
        <f>IF(Table3[[#This Row],[Top Parent Account]]="",Table3[[#This Row],[Account Legal Name]],Table3[[#This Row],[Top Parent Account]])</f>
        <v>Translogistics L&amp;M De Zacatecas</v>
      </c>
      <c r="H5375" s="1"/>
    </row>
    <row r="5376" spans="1:8" x14ac:dyDescent="0.35">
      <c r="A5376" s="21"/>
      <c r="B5376" t="s">
        <v>375</v>
      </c>
      <c r="C5376" t="s">
        <v>6</v>
      </c>
      <c r="D5376" t="s">
        <v>2009</v>
      </c>
      <c r="E5376" t="s">
        <v>2010</v>
      </c>
      <c r="F5376" s="1">
        <v>45782</v>
      </c>
      <c r="G5376" t="str">
        <f>IF(Table3[[#This Row],[Top Parent Account]]="",Table3[[#This Row],[Account Legal Name]],Table3[[#This Row],[Top Parent Account]])</f>
        <v>Industrias Ch</v>
      </c>
      <c r="H5376" s="1"/>
    </row>
    <row r="5377" spans="1:8" x14ac:dyDescent="0.35">
      <c r="A5377" s="21"/>
      <c r="B5377" t="s">
        <v>1006</v>
      </c>
      <c r="C5377" t="s">
        <v>6</v>
      </c>
      <c r="D5377" t="s">
        <v>1433</v>
      </c>
      <c r="F5377" s="1">
        <v>45782</v>
      </c>
      <c r="G5377" t="str">
        <f>IF(Table3[[#This Row],[Top Parent Account]]="",Table3[[#This Row],[Account Legal Name]],Table3[[#This Row],[Top Parent Account]])</f>
        <v>Acrílicos Newton</v>
      </c>
      <c r="H5377" s="1"/>
    </row>
    <row r="5378" spans="1:8" x14ac:dyDescent="0.35">
      <c r="A5378" s="21"/>
      <c r="B5378" t="s">
        <v>30</v>
      </c>
      <c r="C5378" t="s">
        <v>6</v>
      </c>
      <c r="D5378" t="s">
        <v>533</v>
      </c>
      <c r="E5378" t="s">
        <v>236</v>
      </c>
      <c r="F5378" s="1">
        <v>45782</v>
      </c>
      <c r="G5378" t="str">
        <f>IF(Table3[[#This Row],[Top Parent Account]]="",Table3[[#This Row],[Account Legal Name]],Table3[[#This Row],[Top Parent Account]])</f>
        <v>Grupo Smurfit</v>
      </c>
      <c r="H5378" s="1"/>
    </row>
    <row r="5379" spans="1:8" x14ac:dyDescent="0.35">
      <c r="A5379" s="21"/>
      <c r="B5379" t="s">
        <v>43</v>
      </c>
      <c r="C5379" t="s">
        <v>2104</v>
      </c>
      <c r="D5379" t="s">
        <v>556</v>
      </c>
      <c r="F5379" s="1">
        <v>45782</v>
      </c>
      <c r="G5379" t="str">
        <f>IF(Table3[[#This Row],[Top Parent Account]]="",Table3[[#This Row],[Account Legal Name]],Table3[[#This Row],[Top Parent Account]])</f>
        <v>Acuario Grupo Empresarial</v>
      </c>
      <c r="H5379" s="1"/>
    </row>
    <row r="5380" spans="1:8" x14ac:dyDescent="0.35">
      <c r="A5380" s="21"/>
      <c r="B5380" t="s">
        <v>1511</v>
      </c>
      <c r="C5380" t="s">
        <v>22</v>
      </c>
      <c r="D5380" t="s">
        <v>2055</v>
      </c>
      <c r="F5380" s="1">
        <v>45782</v>
      </c>
      <c r="G5380" t="str">
        <f>IF(Table3[[#This Row],[Top Parent Account]]="",Table3[[#This Row],[Account Legal Name]],Table3[[#This Row],[Top Parent Account]])</f>
        <v>Fletera Nacional de Gases</v>
      </c>
      <c r="H5380" s="1"/>
    </row>
    <row r="5381" spans="1:8" x14ac:dyDescent="0.35">
      <c r="A5381" s="21"/>
      <c r="B5381" t="s">
        <v>77</v>
      </c>
      <c r="C5381" t="s">
        <v>6</v>
      </c>
      <c r="D5381" t="s">
        <v>2056</v>
      </c>
      <c r="F5381" s="1">
        <v>45782</v>
      </c>
      <c r="G5381" t="str">
        <f>IF(Table3[[#This Row],[Top Parent Account]]="",Table3[[#This Row],[Account Legal Name]],Table3[[#This Row],[Top Parent Account]])</f>
        <v>PICK-ONE</v>
      </c>
      <c r="H5381" s="1"/>
    </row>
    <row r="5382" spans="1:8" x14ac:dyDescent="0.35">
      <c r="A5382" s="21"/>
      <c r="B5382" t="s">
        <v>43</v>
      </c>
      <c r="C5382" t="s">
        <v>6</v>
      </c>
      <c r="D5382" t="s">
        <v>1633</v>
      </c>
      <c r="F5382" s="1">
        <v>45782</v>
      </c>
      <c r="G5382" t="str">
        <f>IF(Table3[[#This Row],[Top Parent Account]]="",Table3[[#This Row],[Account Legal Name]],Table3[[#This Row],[Top Parent Account]])</f>
        <v>Transportes Jego</v>
      </c>
      <c r="H5382" s="1"/>
    </row>
    <row r="5383" spans="1:8" x14ac:dyDescent="0.35">
      <c r="A5383" s="21"/>
      <c r="B5383" t="s">
        <v>932</v>
      </c>
      <c r="C5383" t="s">
        <v>2105</v>
      </c>
      <c r="D5383" t="s">
        <v>2064</v>
      </c>
      <c r="F5383" s="1">
        <v>45782</v>
      </c>
      <c r="G5383" t="str">
        <f>IF(Table3[[#This Row],[Top Parent Account]]="",Table3[[#This Row],[Account Legal Name]],Table3[[#This Row],[Top Parent Account]])</f>
        <v>Védat de Mexico</v>
      </c>
      <c r="H5383" s="1"/>
    </row>
    <row r="5384" spans="1:8" x14ac:dyDescent="0.35">
      <c r="A5384" s="21"/>
      <c r="B5384" t="s">
        <v>375</v>
      </c>
      <c r="C5384" t="s">
        <v>6</v>
      </c>
      <c r="D5384" t="s">
        <v>2011</v>
      </c>
      <c r="F5384" s="1">
        <v>45782</v>
      </c>
      <c r="G5384" t="str">
        <f>IF(Table3[[#This Row],[Top Parent Account]]="",Table3[[#This Row],[Account Legal Name]],Table3[[#This Row],[Top Parent Account]])</f>
        <v>Enso Comunicacion</v>
      </c>
      <c r="H5384" s="1"/>
    </row>
    <row r="5385" spans="1:8" x14ac:dyDescent="0.35">
      <c r="A5385" s="21"/>
      <c r="B5385" t="s">
        <v>28</v>
      </c>
      <c r="C5385" t="s">
        <v>6</v>
      </c>
      <c r="D5385" t="s">
        <v>2745</v>
      </c>
      <c r="F5385" s="1">
        <v>45780</v>
      </c>
      <c r="G5385" t="str">
        <f>IF(Table3[[#This Row],[Top Parent Account]]="",Table3[[#This Row],[Account Legal Name]],Table3[[#This Row],[Top Parent Account]])</f>
        <v>HAKKAI MEXICO</v>
      </c>
      <c r="H5385" s="1"/>
    </row>
    <row r="5386" spans="1:8" x14ac:dyDescent="0.35">
      <c r="A5386" s="21"/>
      <c r="B5386" t="s">
        <v>286</v>
      </c>
      <c r="C5386" t="s">
        <v>6</v>
      </c>
      <c r="D5386" t="s">
        <v>1964</v>
      </c>
      <c r="F5386" s="1">
        <v>45779</v>
      </c>
      <c r="G5386" t="str">
        <f>IF(Table3[[#This Row],[Top Parent Account]]="",Table3[[#This Row],[Account Legal Name]],Table3[[#This Row],[Top Parent Account]])</f>
        <v>Artículos Industriales de Baquelita</v>
      </c>
      <c r="H5386" s="1"/>
    </row>
    <row r="5387" spans="1:8" x14ac:dyDescent="0.35">
      <c r="A5387" s="21"/>
      <c r="B5387" t="s">
        <v>20</v>
      </c>
      <c r="C5387" t="s">
        <v>6</v>
      </c>
      <c r="D5387" t="s">
        <v>2012</v>
      </c>
      <c r="F5387" s="1">
        <v>45779</v>
      </c>
      <c r="G5387" t="str">
        <f>IF(Table3[[#This Row],[Top Parent Account]]="",Table3[[#This Row],[Account Legal Name]],Table3[[#This Row],[Top Parent Account]])</f>
        <v>Grupo MyT</v>
      </c>
      <c r="H5387" s="1"/>
    </row>
    <row r="5388" spans="1:8" x14ac:dyDescent="0.35">
      <c r="A5388" s="21"/>
      <c r="B5388" t="s">
        <v>77</v>
      </c>
      <c r="C5388" t="s">
        <v>6</v>
      </c>
      <c r="D5388" t="s">
        <v>1937</v>
      </c>
      <c r="F5388" s="1">
        <v>45779</v>
      </c>
      <c r="G5388" t="str">
        <f>IF(Table3[[#This Row],[Top Parent Account]]="",Table3[[#This Row],[Account Legal Name]],Table3[[#This Row],[Top Parent Account]])</f>
        <v>CAMPESTRE DE CHIHUAHUA</v>
      </c>
      <c r="H5388" s="1"/>
    </row>
    <row r="5389" spans="1:8" x14ac:dyDescent="0.35">
      <c r="A5389" s="21"/>
      <c r="B5389" t="s">
        <v>77</v>
      </c>
      <c r="C5389" t="s">
        <v>6</v>
      </c>
      <c r="D5389" t="s">
        <v>1938</v>
      </c>
      <c r="F5389" s="1">
        <v>45779</v>
      </c>
      <c r="G5389" t="str">
        <f>IF(Table3[[#This Row],[Top Parent Account]]="",Table3[[#This Row],[Account Legal Name]],Table3[[#This Row],[Top Parent Account]])</f>
        <v>Algodonera los reyes</v>
      </c>
      <c r="H5389" s="1"/>
    </row>
    <row r="5390" spans="1:8" x14ac:dyDescent="0.35">
      <c r="A5390" s="21"/>
      <c r="B5390" t="s">
        <v>28</v>
      </c>
      <c r="C5390" t="s">
        <v>6</v>
      </c>
      <c r="D5390" t="s">
        <v>1965</v>
      </c>
      <c r="F5390" s="1">
        <v>45779</v>
      </c>
      <c r="G5390" t="str">
        <f>IF(Table3[[#This Row],[Top Parent Account]]="",Table3[[#This Row],[Account Legal Name]],Table3[[#This Row],[Top Parent Account]])</f>
        <v>4 ON THE GO, S.A. DE C.V.</v>
      </c>
      <c r="H5390" s="1"/>
    </row>
    <row r="5391" spans="1:8" x14ac:dyDescent="0.35">
      <c r="A5391" s="21"/>
      <c r="B5391" t="s">
        <v>84</v>
      </c>
      <c r="C5391" t="s">
        <v>55</v>
      </c>
      <c r="D5391" t="s">
        <v>1939</v>
      </c>
      <c r="E5391" t="s">
        <v>1940</v>
      </c>
      <c r="F5391" s="1">
        <v>45779</v>
      </c>
      <c r="G5391" t="str">
        <f>IF(Table3[[#This Row],[Top Parent Account]]="",Table3[[#This Row],[Account Legal Name]],Table3[[#This Row],[Top Parent Account]])</f>
        <v>Cervecería Cuauhtémoc Moctezuma</v>
      </c>
      <c r="H5391" s="1"/>
    </row>
    <row r="5392" spans="1:8" x14ac:dyDescent="0.35">
      <c r="A5392" s="21"/>
      <c r="B5392" t="s">
        <v>258</v>
      </c>
      <c r="C5392" t="s">
        <v>6</v>
      </c>
      <c r="D5392" t="s">
        <v>1961</v>
      </c>
      <c r="F5392" s="1">
        <v>45779</v>
      </c>
      <c r="G5392" t="str">
        <f>IF(Table3[[#This Row],[Top Parent Account]]="",Table3[[#This Row],[Account Legal Name]],Table3[[#This Row],[Top Parent Account]])</f>
        <v>BOTANAS BORJAS</v>
      </c>
      <c r="H5392" s="1"/>
    </row>
    <row r="5393" spans="1:8" x14ac:dyDescent="0.35">
      <c r="A5393" s="21"/>
      <c r="B5393" t="s">
        <v>1511</v>
      </c>
      <c r="C5393" t="s">
        <v>6</v>
      </c>
      <c r="D5393" t="s">
        <v>1681</v>
      </c>
      <c r="F5393" s="1">
        <v>45779</v>
      </c>
      <c r="G5393" t="str">
        <f>IF(Table3[[#This Row],[Top Parent Account]]="",Table3[[#This Row],[Account Legal Name]],Table3[[#This Row],[Top Parent Account]])</f>
        <v>K-FLEX DE MEXICO</v>
      </c>
      <c r="H5393" s="1"/>
    </row>
    <row r="5394" spans="1:8" x14ac:dyDescent="0.35">
      <c r="A5394" s="21"/>
      <c r="B5394" t="s">
        <v>15</v>
      </c>
      <c r="C5394" t="s">
        <v>6</v>
      </c>
      <c r="D5394" t="s">
        <v>631</v>
      </c>
      <c r="F5394" s="1">
        <v>45779</v>
      </c>
      <c r="G5394" t="str">
        <f>IF(Table3[[#This Row],[Top Parent Account]]="",Table3[[#This Row],[Account Legal Name]],Table3[[#This Row],[Top Parent Account]])</f>
        <v>Koprimo</v>
      </c>
      <c r="H5394" s="1"/>
    </row>
    <row r="5395" spans="1:8" x14ac:dyDescent="0.35">
      <c r="A5395" s="21"/>
      <c r="B5395" t="s">
        <v>39</v>
      </c>
      <c r="C5395" t="s">
        <v>1942</v>
      </c>
      <c r="D5395" t="s">
        <v>1035</v>
      </c>
      <c r="F5395" s="1">
        <v>45779</v>
      </c>
      <c r="G5395" t="str">
        <f>IF(Table3[[#This Row],[Top Parent Account]]="",Table3[[#This Row],[Account Legal Name]],Table3[[#This Row],[Top Parent Account]])</f>
        <v>Distribuidora De Concretos Mxl</v>
      </c>
      <c r="H5395" s="1"/>
    </row>
    <row r="5396" spans="1:8" x14ac:dyDescent="0.35">
      <c r="A5396" s="21"/>
      <c r="B5396" t="s">
        <v>207</v>
      </c>
      <c r="C5396" t="s">
        <v>22</v>
      </c>
      <c r="D5396" t="s">
        <v>1941</v>
      </c>
      <c r="F5396" s="1">
        <v>45779</v>
      </c>
      <c r="G5396" t="str">
        <f>IF(Table3[[#This Row],[Top Parent Account]]="",Table3[[#This Row],[Account Legal Name]],Table3[[#This Row],[Top Parent Account]])</f>
        <v>Owens Corning México</v>
      </c>
      <c r="H5396" s="1"/>
    </row>
    <row r="5397" spans="1:8" x14ac:dyDescent="0.35">
      <c r="A5397" s="21"/>
      <c r="B5397" t="s">
        <v>590</v>
      </c>
      <c r="C5397" t="s">
        <v>6</v>
      </c>
      <c r="D5397" t="s">
        <v>1943</v>
      </c>
      <c r="F5397" s="1">
        <v>45779</v>
      </c>
      <c r="G5397" t="str">
        <f>IF(Table3[[#This Row],[Top Parent Account]]="",Table3[[#This Row],[Account Legal Name]],Table3[[#This Row],[Top Parent Account]])</f>
        <v>Mna Nutrición Animal</v>
      </c>
      <c r="H5397" s="1"/>
    </row>
    <row r="5398" spans="1:8" x14ac:dyDescent="0.35">
      <c r="A5398" s="21"/>
      <c r="B5398" t="s">
        <v>970</v>
      </c>
      <c r="C5398" t="s">
        <v>6</v>
      </c>
      <c r="D5398" t="s">
        <v>307</v>
      </c>
      <c r="F5398" s="1">
        <v>45779</v>
      </c>
      <c r="G5398" t="str">
        <f>IF(Table3[[#This Row],[Top Parent Account]]="",Table3[[#This Row],[Account Legal Name]],Table3[[#This Row],[Top Parent Account]])</f>
        <v>Thor Urbana</v>
      </c>
      <c r="H5398" s="1"/>
    </row>
    <row r="5399" spans="1:8" x14ac:dyDescent="0.35">
      <c r="A5399" s="21"/>
      <c r="B5399" t="s">
        <v>207</v>
      </c>
      <c r="C5399" t="s">
        <v>6</v>
      </c>
      <c r="D5399" t="s">
        <v>1945</v>
      </c>
      <c r="F5399" s="1">
        <v>45779</v>
      </c>
      <c r="G5399" t="str">
        <f>IF(Table3[[#This Row],[Top Parent Account]]="",Table3[[#This Row],[Account Legal Name]],Table3[[#This Row],[Top Parent Account]])</f>
        <v>FARUBER</v>
      </c>
      <c r="H5399" s="1"/>
    </row>
    <row r="5400" spans="1:8" x14ac:dyDescent="0.35">
      <c r="A5400" s="21"/>
      <c r="B5400" t="s">
        <v>192</v>
      </c>
      <c r="C5400" t="s">
        <v>49</v>
      </c>
      <c r="D5400" t="s">
        <v>928</v>
      </c>
      <c r="F5400" s="1">
        <v>45779</v>
      </c>
      <c r="G5400" t="str">
        <f>IF(Table3[[#This Row],[Top Parent Account]]="",Table3[[#This Row],[Account Legal Name]],Table3[[#This Row],[Top Parent Account]])</f>
        <v>SRNS LATINOAMERICA</v>
      </c>
      <c r="H5400" s="1"/>
    </row>
    <row r="5401" spans="1:8" x14ac:dyDescent="0.35">
      <c r="A5401" s="21"/>
      <c r="B5401" t="s">
        <v>84</v>
      </c>
      <c r="C5401" t="s">
        <v>67</v>
      </c>
      <c r="D5401" t="s">
        <v>640</v>
      </c>
      <c r="F5401" s="1">
        <v>45779</v>
      </c>
      <c r="G5401" t="str">
        <f>IF(Table3[[#This Row],[Top Parent Account]]="",Table3[[#This Row],[Account Legal Name]],Table3[[#This Row],[Top Parent Account]])</f>
        <v>Gruas Del Norte</v>
      </c>
      <c r="H5401" s="1"/>
    </row>
    <row r="5402" spans="1:8" x14ac:dyDescent="0.35">
      <c r="A5402" s="21"/>
      <c r="B5402" t="s">
        <v>84</v>
      </c>
      <c r="C5402" t="s">
        <v>1944</v>
      </c>
      <c r="D5402" t="s">
        <v>117</v>
      </c>
      <c r="F5402" s="1">
        <v>45779</v>
      </c>
      <c r="G5402" t="str">
        <f>IF(Table3[[#This Row],[Top Parent Account]]="",Table3[[#This Row],[Account Legal Name]],Table3[[#This Row],[Top Parent Account]])</f>
        <v>Epsilon Media Group</v>
      </c>
      <c r="H5402" s="1"/>
    </row>
    <row r="5403" spans="1:8" x14ac:dyDescent="0.35">
      <c r="A5403" s="21"/>
      <c r="B5403" t="s">
        <v>1031</v>
      </c>
      <c r="C5403" t="s">
        <v>6</v>
      </c>
      <c r="D5403" t="s">
        <v>1966</v>
      </c>
      <c r="F5403" s="1">
        <v>45779</v>
      </c>
      <c r="G5403" t="str">
        <f>IF(Table3[[#This Row],[Top Parent Account]]="",Table3[[#This Row],[Account Legal Name]],Table3[[#This Row],[Top Parent Account]])</f>
        <v>Gpi Y Asociados</v>
      </c>
      <c r="H5403" s="1"/>
    </row>
    <row r="5404" spans="1:8" x14ac:dyDescent="0.35">
      <c r="A5404" s="21"/>
      <c r="B5404" t="s">
        <v>21</v>
      </c>
      <c r="C5404" t="s">
        <v>6</v>
      </c>
      <c r="D5404" t="s">
        <v>789</v>
      </c>
      <c r="F5404" s="1">
        <v>45779</v>
      </c>
      <c r="G5404" t="str">
        <f>IF(Table3[[#This Row],[Top Parent Account]]="",Table3[[#This Row],[Account Legal Name]],Table3[[#This Row],[Top Parent Account]])</f>
        <v>Daig Conduccion</v>
      </c>
      <c r="H5404" s="1"/>
    </row>
    <row r="5405" spans="1:8" x14ac:dyDescent="0.35">
      <c r="A5405" s="21"/>
      <c r="B5405" t="s">
        <v>10</v>
      </c>
      <c r="C5405" t="s">
        <v>6</v>
      </c>
      <c r="D5405" t="s">
        <v>491</v>
      </c>
      <c r="F5405" s="1">
        <v>45778</v>
      </c>
      <c r="G5405" t="str">
        <f>IF(Table3[[#This Row],[Top Parent Account]]="",Table3[[#This Row],[Account Legal Name]],Table3[[#This Row],[Top Parent Account]])</f>
        <v>RDCM</v>
      </c>
      <c r="H5405" s="1"/>
    </row>
    <row r="5406" spans="1:8" x14ac:dyDescent="0.35">
      <c r="A5406" s="21"/>
      <c r="B5406" t="s">
        <v>1511</v>
      </c>
      <c r="C5406" t="s">
        <v>22</v>
      </c>
      <c r="D5406" t="s">
        <v>2121</v>
      </c>
      <c r="F5406" s="1">
        <v>45778</v>
      </c>
      <c r="G5406" t="str">
        <f>IF(Table3[[#This Row],[Top Parent Account]]="",Table3[[#This Row],[Account Legal Name]],Table3[[#This Row],[Top Parent Account]])</f>
        <v>Grupo Inmobiliario Arrendador</v>
      </c>
      <c r="H5406" s="1"/>
    </row>
    <row r="5407" spans="1:8" x14ac:dyDescent="0.35">
      <c r="A5407" s="21"/>
      <c r="B5407" t="s">
        <v>121</v>
      </c>
      <c r="C5407" t="s">
        <v>6</v>
      </c>
      <c r="D5407" t="s">
        <v>2014</v>
      </c>
      <c r="F5407" s="1">
        <v>45778</v>
      </c>
      <c r="G5407" t="str">
        <f>IF(Table3[[#This Row],[Top Parent Account]]="",Table3[[#This Row],[Account Legal Name]],Table3[[#This Row],[Top Parent Account]])</f>
        <v>TRANSPORTES REASA LOGIST</v>
      </c>
      <c r="H5407" s="1"/>
    </row>
    <row r="5408" spans="1:8" x14ac:dyDescent="0.35">
      <c r="A5408" s="21"/>
      <c r="B5408" t="s">
        <v>38</v>
      </c>
      <c r="C5408" t="s">
        <v>6</v>
      </c>
      <c r="D5408" t="s">
        <v>505</v>
      </c>
      <c r="F5408" s="1">
        <v>45777</v>
      </c>
      <c r="G5408" t="str">
        <f>IF(Table3[[#This Row],[Top Parent Account]]="",Table3[[#This Row],[Account Legal Name]],Table3[[#This Row],[Top Parent Account]])</f>
        <v>Grupo Solave (Antes Mieles Campos Azules)</v>
      </c>
      <c r="H5408" s="1"/>
    </row>
    <row r="5409" spans="1:8" x14ac:dyDescent="0.35">
      <c r="A5409" s="21"/>
      <c r="B5409" t="s">
        <v>18</v>
      </c>
      <c r="C5409" t="s">
        <v>6</v>
      </c>
      <c r="D5409" t="s">
        <v>1032</v>
      </c>
      <c r="F5409" s="1">
        <v>45777</v>
      </c>
      <c r="G5409" t="str">
        <f>IF(Table3[[#This Row],[Top Parent Account]]="",Table3[[#This Row],[Account Legal Name]],Table3[[#This Row],[Top Parent Account]])</f>
        <v>Gruas Zavala</v>
      </c>
      <c r="H5409" s="1"/>
    </row>
    <row r="5410" spans="1:8" x14ac:dyDescent="0.35">
      <c r="A5410" s="21"/>
      <c r="B5410" t="s">
        <v>39</v>
      </c>
      <c r="C5410" t="s">
        <v>1946</v>
      </c>
      <c r="D5410" t="s">
        <v>1914</v>
      </c>
      <c r="F5410" s="1">
        <v>45777</v>
      </c>
      <c r="G5410" t="str">
        <f>IF(Table3[[#This Row],[Top Parent Account]]="",Table3[[#This Row],[Account Legal Name]],Table3[[#This Row],[Top Parent Account]])</f>
        <v>Transportadora GEOS</v>
      </c>
      <c r="H5410" s="1"/>
    </row>
    <row r="5411" spans="1:8" x14ac:dyDescent="0.35">
      <c r="A5411" s="21"/>
      <c r="B5411" t="s">
        <v>70</v>
      </c>
      <c r="C5411" t="s">
        <v>6</v>
      </c>
      <c r="D5411" t="s">
        <v>568</v>
      </c>
      <c r="F5411" s="1">
        <v>45777</v>
      </c>
      <c r="G5411" t="str">
        <f>IF(Table3[[#This Row],[Top Parent Account]]="",Table3[[#This Row],[Account Legal Name]],Table3[[#This Row],[Top Parent Account]])</f>
        <v>COI Centro Oncológico Internacional</v>
      </c>
      <c r="H5411" s="1"/>
    </row>
    <row r="5412" spans="1:8" x14ac:dyDescent="0.35">
      <c r="A5412" s="21"/>
      <c r="B5412" t="s">
        <v>18</v>
      </c>
      <c r="C5412" t="s">
        <v>6</v>
      </c>
      <c r="D5412" t="s">
        <v>1947</v>
      </c>
      <c r="F5412" s="1">
        <v>45777</v>
      </c>
      <c r="G5412" t="str">
        <f>IF(Table3[[#This Row],[Top Parent Account]]="",Table3[[#This Row],[Account Legal Name]],Table3[[#This Row],[Top Parent Account]])</f>
        <v>Maderería Nasa</v>
      </c>
      <c r="H5412" s="1"/>
    </row>
    <row r="5413" spans="1:8" x14ac:dyDescent="0.35">
      <c r="A5413" s="21"/>
      <c r="B5413" t="s">
        <v>1643</v>
      </c>
      <c r="C5413" t="s">
        <v>1915</v>
      </c>
      <c r="D5413" t="s">
        <v>1647</v>
      </c>
      <c r="F5413" s="1">
        <v>45777</v>
      </c>
      <c r="G5413" t="str">
        <f>IF(Table3[[#This Row],[Top Parent Account]]="",Table3[[#This Row],[Account Legal Name]],Table3[[#This Row],[Top Parent Account]])</f>
        <v>Fundicion Aguilas</v>
      </c>
      <c r="H5413" s="1"/>
    </row>
    <row r="5414" spans="1:8" x14ac:dyDescent="0.35">
      <c r="A5414" s="21"/>
      <c r="B5414" t="s">
        <v>30</v>
      </c>
      <c r="C5414" t="s">
        <v>6</v>
      </c>
      <c r="D5414" t="s">
        <v>420</v>
      </c>
      <c r="F5414" s="1">
        <v>45777</v>
      </c>
      <c r="G5414" t="str">
        <f>IF(Table3[[#This Row],[Top Parent Account]]="",Table3[[#This Row],[Account Legal Name]],Table3[[#This Row],[Top Parent Account]])</f>
        <v>Mercado Libre</v>
      </c>
      <c r="H5414" s="1"/>
    </row>
    <row r="5415" spans="1:8" x14ac:dyDescent="0.35">
      <c r="A5415" s="21"/>
      <c r="B5415" t="s">
        <v>375</v>
      </c>
      <c r="C5415" t="s">
        <v>6</v>
      </c>
      <c r="D5415" t="s">
        <v>563</v>
      </c>
      <c r="F5415" s="1">
        <v>45777</v>
      </c>
      <c r="G5415" t="str">
        <f>IF(Table3[[#This Row],[Top Parent Account]]="",Table3[[#This Row],[Account Legal Name]],Table3[[#This Row],[Top Parent Account]])</f>
        <v>Integradora De Servicios De Transportación Xihutec</v>
      </c>
      <c r="H5415" s="1"/>
    </row>
    <row r="5416" spans="1:8" x14ac:dyDescent="0.35">
      <c r="A5416" s="21"/>
      <c r="B5416" t="s">
        <v>25</v>
      </c>
      <c r="C5416" t="s">
        <v>6</v>
      </c>
      <c r="D5416" t="s">
        <v>1948</v>
      </c>
      <c r="F5416" s="1">
        <v>45777</v>
      </c>
      <c r="G5416" t="str">
        <f>IF(Table3[[#This Row],[Top Parent Account]]="",Table3[[#This Row],[Account Legal Name]],Table3[[#This Row],[Top Parent Account]])</f>
        <v>INCOTECNICA</v>
      </c>
      <c r="H5416" s="1"/>
    </row>
    <row r="5417" spans="1:8" x14ac:dyDescent="0.35">
      <c r="A5417" s="21"/>
      <c r="B5417" t="s">
        <v>28</v>
      </c>
      <c r="C5417" t="s">
        <v>6</v>
      </c>
      <c r="D5417" t="s">
        <v>1967</v>
      </c>
      <c r="F5417" s="1">
        <v>45777</v>
      </c>
      <c r="G5417" t="str">
        <f>IF(Table3[[#This Row],[Top Parent Account]]="",Table3[[#This Row],[Account Legal Name]],Table3[[#This Row],[Top Parent Account]])</f>
        <v>Industrial Ferbus</v>
      </c>
      <c r="H5417" s="1"/>
    </row>
    <row r="5418" spans="1:8" x14ac:dyDescent="0.35">
      <c r="A5418" s="21"/>
      <c r="B5418" t="s">
        <v>114</v>
      </c>
      <c r="C5418" t="s">
        <v>6</v>
      </c>
      <c r="D5418" t="s">
        <v>446</v>
      </c>
      <c r="F5418" s="1">
        <v>45777</v>
      </c>
      <c r="G5418" t="str">
        <f>IF(Table3[[#This Row],[Top Parent Account]]="",Table3[[#This Row],[Account Legal Name]],Table3[[#This Row],[Top Parent Account]])</f>
        <v>Unilever de México</v>
      </c>
      <c r="H5418" s="1"/>
    </row>
    <row r="5419" spans="1:8" x14ac:dyDescent="0.35">
      <c r="A5419" s="21"/>
      <c r="B5419" t="s">
        <v>27</v>
      </c>
      <c r="C5419" t="s">
        <v>22</v>
      </c>
      <c r="D5419" t="s">
        <v>489</v>
      </c>
      <c r="F5419" s="1">
        <v>45777</v>
      </c>
      <c r="G5419" t="str">
        <f>IF(Table3[[#This Row],[Top Parent Account]]="",Table3[[#This Row],[Account Legal Name]],Table3[[#This Row],[Top Parent Account]])</f>
        <v>Logistics Interoceanica de Carga</v>
      </c>
      <c r="H5419" s="1"/>
    </row>
    <row r="5420" spans="1:8" x14ac:dyDescent="0.35">
      <c r="A5420" s="21"/>
      <c r="B5420" t="s">
        <v>10</v>
      </c>
      <c r="C5420" t="s">
        <v>6</v>
      </c>
      <c r="D5420" t="s">
        <v>79</v>
      </c>
      <c r="F5420" s="1">
        <v>45777</v>
      </c>
      <c r="G5420" t="str">
        <f>IF(Table3[[#This Row],[Top Parent Account]]="",Table3[[#This Row],[Account Legal Name]],Table3[[#This Row],[Top Parent Account]])</f>
        <v>Cereales y Pastas</v>
      </c>
      <c r="H5420" s="1"/>
    </row>
    <row r="5421" spans="1:8" x14ac:dyDescent="0.35">
      <c r="A5421" s="21"/>
      <c r="B5421" t="s">
        <v>20</v>
      </c>
      <c r="C5421" t="s">
        <v>6</v>
      </c>
      <c r="D5421" t="s">
        <v>2015</v>
      </c>
      <c r="F5421" s="1">
        <v>45777</v>
      </c>
      <c r="G5421" t="str">
        <f>IF(Table3[[#This Row],[Top Parent Account]]="",Table3[[#This Row],[Account Legal Name]],Table3[[#This Row],[Top Parent Account]])</f>
        <v>Condelmex</v>
      </c>
      <c r="H5421" s="1"/>
    </row>
    <row r="5422" spans="1:8" x14ac:dyDescent="0.35">
      <c r="A5422" s="21"/>
      <c r="B5422" t="s">
        <v>18</v>
      </c>
      <c r="C5422" t="s">
        <v>6</v>
      </c>
      <c r="D5422" t="s">
        <v>1950</v>
      </c>
      <c r="E5422" t="s">
        <v>1951</v>
      </c>
      <c r="F5422" s="1">
        <v>45777</v>
      </c>
      <c r="G5422" t="str">
        <f>IF(Table3[[#This Row],[Top Parent Account]]="",Table3[[#This Row],[Account Legal Name]],Table3[[#This Row],[Top Parent Account]])</f>
        <v>Transportes Aguila De Oro</v>
      </c>
      <c r="H5422" s="1"/>
    </row>
    <row r="5423" spans="1:8" x14ac:dyDescent="0.35">
      <c r="A5423" s="21"/>
      <c r="B5423" t="s">
        <v>114</v>
      </c>
      <c r="C5423" t="s">
        <v>6</v>
      </c>
      <c r="D5423" t="s">
        <v>1949</v>
      </c>
      <c r="F5423" s="1">
        <v>45777</v>
      </c>
      <c r="G5423" t="str">
        <f>IF(Table3[[#This Row],[Top Parent Account]]="",Table3[[#This Row],[Account Legal Name]],Table3[[#This Row],[Top Parent Account]])</f>
        <v>Hospital San Rafael</v>
      </c>
      <c r="H5423" s="1"/>
    </row>
    <row r="5424" spans="1:8" x14ac:dyDescent="0.35">
      <c r="A5424" s="21"/>
      <c r="B5424" t="s">
        <v>1511</v>
      </c>
      <c r="C5424" t="s">
        <v>6</v>
      </c>
      <c r="D5424" t="s">
        <v>1249</v>
      </c>
      <c r="F5424" s="1">
        <v>45777</v>
      </c>
      <c r="G5424" t="str">
        <f>IF(Table3[[#This Row],[Top Parent Account]]="",Table3[[#This Row],[Account Legal Name]],Table3[[#This Row],[Top Parent Account]])</f>
        <v>Grupo Regional Santa Fé</v>
      </c>
      <c r="H5424" s="1"/>
    </row>
    <row r="5425" spans="1:8" x14ac:dyDescent="0.35">
      <c r="A5425" s="21"/>
      <c r="B5425" t="s">
        <v>286</v>
      </c>
      <c r="C5425" t="s">
        <v>6</v>
      </c>
      <c r="D5425" t="s">
        <v>1968</v>
      </c>
      <c r="F5425" s="1">
        <v>45777</v>
      </c>
      <c r="G5425" t="str">
        <f>IF(Table3[[#This Row],[Top Parent Account]]="",Table3[[#This Row],[Account Legal Name]],Table3[[#This Row],[Top Parent Account]])</f>
        <v>Grupo Retenum</v>
      </c>
      <c r="H5425" s="1"/>
    </row>
    <row r="5426" spans="1:8" x14ac:dyDescent="0.35">
      <c r="A5426" s="21"/>
      <c r="B5426" t="s">
        <v>25</v>
      </c>
      <c r="C5426" t="s">
        <v>6</v>
      </c>
      <c r="D5426" t="s">
        <v>1952</v>
      </c>
      <c r="E5426" t="s">
        <v>1953</v>
      </c>
      <c r="F5426" s="1">
        <v>45777</v>
      </c>
      <c r="G5426" t="str">
        <f>IF(Table3[[#This Row],[Top Parent Account]]="",Table3[[#This Row],[Account Legal Name]],Table3[[#This Row],[Top Parent Account]])</f>
        <v>Comercializadora Folgueiras</v>
      </c>
      <c r="H5426" s="1"/>
    </row>
    <row r="5427" spans="1:8" x14ac:dyDescent="0.35">
      <c r="A5427" s="21"/>
      <c r="B5427" t="s">
        <v>880</v>
      </c>
      <c r="C5427" t="s">
        <v>687</v>
      </c>
      <c r="D5427" t="s">
        <v>654</v>
      </c>
      <c r="F5427" s="1">
        <v>45777</v>
      </c>
      <c r="G5427" t="str">
        <f>IF(Table3[[#This Row],[Top Parent Account]]="",Table3[[#This Row],[Account Legal Name]],Table3[[#This Row],[Top Parent Account]])</f>
        <v>Tecnovidrio</v>
      </c>
      <c r="H5427" s="1"/>
    </row>
    <row r="5428" spans="1:8" x14ac:dyDescent="0.35">
      <c r="A5428" s="21"/>
      <c r="B5428" t="s">
        <v>54</v>
      </c>
      <c r="C5428" t="s">
        <v>687</v>
      </c>
      <c r="D5428" t="s">
        <v>654</v>
      </c>
      <c r="F5428" s="1">
        <v>45777</v>
      </c>
      <c r="G5428" t="str">
        <f>IF(Table3[[#This Row],[Top Parent Account]]="",Table3[[#This Row],[Account Legal Name]],Table3[[#This Row],[Top Parent Account]])</f>
        <v>Tecnovidrio</v>
      </c>
      <c r="H5428" s="1"/>
    </row>
    <row r="5429" spans="1:8" x14ac:dyDescent="0.35">
      <c r="A5429" s="21"/>
      <c r="B5429" t="s">
        <v>208</v>
      </c>
      <c r="C5429" t="s">
        <v>6</v>
      </c>
      <c r="D5429" t="s">
        <v>683</v>
      </c>
      <c r="F5429" s="1">
        <v>45777</v>
      </c>
      <c r="G5429" t="str">
        <f>IF(Table3[[#This Row],[Top Parent Account]]="",Table3[[#This Row],[Account Legal Name]],Table3[[#This Row],[Top Parent Account]])</f>
        <v>Interbur</v>
      </c>
      <c r="H5429" s="1"/>
    </row>
    <row r="5430" spans="1:8" x14ac:dyDescent="0.35">
      <c r="A5430" s="21"/>
      <c r="B5430" t="s">
        <v>989</v>
      </c>
      <c r="C5430" t="s">
        <v>6</v>
      </c>
      <c r="D5430" t="s">
        <v>1123</v>
      </c>
      <c r="F5430" s="1">
        <v>45777</v>
      </c>
      <c r="G5430" t="str">
        <f>IF(Table3[[#This Row],[Top Parent Account]]="",Table3[[#This Row],[Account Legal Name]],Table3[[#This Row],[Top Parent Account]])</f>
        <v>Exel Servigrafica</v>
      </c>
      <c r="H5430" s="1"/>
    </row>
    <row r="5431" spans="1:8" x14ac:dyDescent="0.35">
      <c r="A5431" s="21"/>
      <c r="B5431" t="s">
        <v>1006</v>
      </c>
      <c r="C5431" t="s">
        <v>6</v>
      </c>
      <c r="D5431" t="s">
        <v>1916</v>
      </c>
      <c r="F5431" s="1">
        <v>45777</v>
      </c>
      <c r="G5431" t="str">
        <f>IF(Table3[[#This Row],[Top Parent Account]]="",Table3[[#This Row],[Account Legal Name]],Table3[[#This Row],[Top Parent Account]])</f>
        <v>Logística Mafa</v>
      </c>
      <c r="H5431" s="1"/>
    </row>
    <row r="5432" spans="1:8" x14ac:dyDescent="0.35">
      <c r="A5432" s="21"/>
      <c r="B5432" t="s">
        <v>21</v>
      </c>
      <c r="C5432" t="s">
        <v>6</v>
      </c>
      <c r="D5432" t="s">
        <v>1956</v>
      </c>
      <c r="F5432" s="1">
        <v>45777</v>
      </c>
      <c r="G5432" t="str">
        <f>IF(Table3[[#This Row],[Top Parent Account]]="",Table3[[#This Row],[Account Legal Name]],Table3[[#This Row],[Top Parent Account]])</f>
        <v>Rocka Gestion Proyectos y Construccion</v>
      </c>
      <c r="H5432" s="1"/>
    </row>
    <row r="5433" spans="1:8" x14ac:dyDescent="0.35">
      <c r="A5433" s="21"/>
      <c r="B5433" t="s">
        <v>51</v>
      </c>
      <c r="C5433" t="s">
        <v>6</v>
      </c>
      <c r="D5433" t="s">
        <v>1857</v>
      </c>
      <c r="F5433" s="1">
        <v>45777</v>
      </c>
      <c r="G5433" t="str">
        <f>IF(Table3[[#This Row],[Top Parent Account]]="",Table3[[#This Row],[Account Legal Name]],Table3[[#This Row],[Top Parent Account]])</f>
        <v>Soluciones Flexoplasticas</v>
      </c>
      <c r="H5433" s="1"/>
    </row>
    <row r="5434" spans="1:8" x14ac:dyDescent="0.35">
      <c r="A5434" s="21"/>
      <c r="B5434" t="s">
        <v>375</v>
      </c>
      <c r="C5434" t="s">
        <v>6</v>
      </c>
      <c r="D5434" t="s">
        <v>1954</v>
      </c>
      <c r="F5434" s="1">
        <v>45777</v>
      </c>
      <c r="G5434" t="str">
        <f>IF(Table3[[#This Row],[Top Parent Account]]="",Table3[[#This Row],[Account Legal Name]],Table3[[#This Row],[Top Parent Account]])</f>
        <v>Constructora Apigro</v>
      </c>
      <c r="H5434" s="1"/>
    </row>
    <row r="5435" spans="1:8" x14ac:dyDescent="0.35">
      <c r="A5435" s="21"/>
      <c r="B5435" t="s">
        <v>70</v>
      </c>
      <c r="C5435" t="s">
        <v>6</v>
      </c>
      <c r="D5435" t="s">
        <v>1955</v>
      </c>
      <c r="F5435" s="1">
        <v>45777</v>
      </c>
      <c r="G5435" t="str">
        <f>IF(Table3[[#This Row],[Top Parent Account]]="",Table3[[#This Row],[Account Legal Name]],Table3[[#This Row],[Top Parent Account]])</f>
        <v>Hospital de Especialidades Jerez</v>
      </c>
      <c r="H5435" s="1"/>
    </row>
    <row r="5436" spans="1:8" x14ac:dyDescent="0.35">
      <c r="A5436" s="21"/>
      <c r="B5436" t="s">
        <v>989</v>
      </c>
      <c r="C5436" t="s">
        <v>6</v>
      </c>
      <c r="D5436" t="s">
        <v>990</v>
      </c>
      <c r="F5436" s="1">
        <v>45777</v>
      </c>
      <c r="G5436" t="str">
        <f>IF(Table3[[#This Row],[Top Parent Account]]="",Table3[[#This Row],[Account Legal Name]],Table3[[#This Row],[Top Parent Account]])</f>
        <v>Tecnología en Compresión Rex</v>
      </c>
      <c r="H5436" s="1"/>
    </row>
    <row r="5437" spans="1:8" x14ac:dyDescent="0.35">
      <c r="A5437" s="21"/>
      <c r="B5437" t="s">
        <v>172</v>
      </c>
      <c r="C5437" t="s">
        <v>6</v>
      </c>
      <c r="D5437" t="s">
        <v>1917</v>
      </c>
      <c r="F5437" s="1">
        <v>45777</v>
      </c>
      <c r="G5437" t="str">
        <f>IF(Table3[[#This Row],[Top Parent Account]]="",Table3[[#This Row],[Account Legal Name]],Table3[[#This Row],[Top Parent Account]])</f>
        <v>CAU</v>
      </c>
      <c r="H5437" s="1"/>
    </row>
    <row r="5438" spans="1:8" x14ac:dyDescent="0.35">
      <c r="A5438" s="21"/>
      <c r="B5438" t="s">
        <v>27</v>
      </c>
      <c r="C5438" t="s">
        <v>22</v>
      </c>
      <c r="D5438" t="s">
        <v>1841</v>
      </c>
      <c r="E5438" t="s">
        <v>1295</v>
      </c>
      <c r="F5438" s="1">
        <v>45777</v>
      </c>
      <c r="G5438" t="str">
        <f>IF(Table3[[#This Row],[Top Parent Account]]="",Table3[[#This Row],[Account Legal Name]],Table3[[#This Row],[Top Parent Account]])</f>
        <v>Proteina Animal</v>
      </c>
      <c r="H5438" s="1"/>
    </row>
    <row r="5439" spans="1:8" x14ac:dyDescent="0.35">
      <c r="A5439" s="21"/>
      <c r="B5439" t="s">
        <v>24</v>
      </c>
      <c r="C5439" t="s">
        <v>1038</v>
      </c>
      <c r="D5439" t="s">
        <v>1658</v>
      </c>
      <c r="E5439" t="s">
        <v>1065</v>
      </c>
      <c r="F5439" s="1">
        <v>45777</v>
      </c>
      <c r="G5439" t="str">
        <f>IF(Table3[[#This Row],[Top Parent Account]]="",Table3[[#This Row],[Account Legal Name]],Table3[[#This Row],[Top Parent Account]])</f>
        <v>Aleaciones Dentales Zeyco</v>
      </c>
      <c r="H5439" s="1"/>
    </row>
    <row r="5440" spans="1:8" x14ac:dyDescent="0.35">
      <c r="A5440" s="21"/>
      <c r="B5440" t="s">
        <v>116</v>
      </c>
      <c r="C5440" t="s">
        <v>6</v>
      </c>
      <c r="D5440" t="s">
        <v>1957</v>
      </c>
      <c r="F5440" s="1">
        <v>45777</v>
      </c>
      <c r="G5440" t="str">
        <f>IF(Table3[[#This Row],[Top Parent Account]]="",Table3[[#This Row],[Account Legal Name]],Table3[[#This Row],[Top Parent Account]])</f>
        <v>Agrovida Produce Noria Nueva</v>
      </c>
      <c r="H5440" s="1"/>
    </row>
    <row r="5441" spans="1:8" x14ac:dyDescent="0.35">
      <c r="A5441" s="21"/>
      <c r="B5441" t="s">
        <v>932</v>
      </c>
      <c r="C5441" t="s">
        <v>2016</v>
      </c>
      <c r="D5441" t="s">
        <v>2017</v>
      </c>
      <c r="F5441" s="1">
        <v>45777</v>
      </c>
      <c r="G5441" t="str">
        <f>IF(Table3[[#This Row],[Top Parent Account]]="",Table3[[#This Row],[Account Legal Name]],Table3[[#This Row],[Top Parent Account]])</f>
        <v>Adolfo Trejo Servicios Especiales</v>
      </c>
      <c r="H5441" s="1"/>
    </row>
    <row r="5442" spans="1:8" x14ac:dyDescent="0.35">
      <c r="A5442" s="21"/>
      <c r="B5442" t="s">
        <v>88</v>
      </c>
      <c r="C5442" t="s">
        <v>6</v>
      </c>
      <c r="D5442" t="s">
        <v>958</v>
      </c>
      <c r="F5442" s="1">
        <v>45777</v>
      </c>
      <c r="G5442" t="str">
        <f>IF(Table3[[#This Row],[Top Parent Account]]="",Table3[[#This Row],[Account Legal Name]],Table3[[#This Row],[Top Parent Account]])</f>
        <v>Grupo Maranik</v>
      </c>
      <c r="H5442" s="1"/>
    </row>
    <row r="5443" spans="1:8" x14ac:dyDescent="0.35">
      <c r="A5443" s="21"/>
      <c r="B5443" t="s">
        <v>14</v>
      </c>
      <c r="C5443" t="s">
        <v>6</v>
      </c>
      <c r="D5443" t="s">
        <v>728</v>
      </c>
      <c r="F5443" s="1">
        <v>45777</v>
      </c>
      <c r="G5443" t="str">
        <f>IF(Table3[[#This Row],[Top Parent Account]]="",Table3[[#This Row],[Account Legal Name]],Table3[[#This Row],[Top Parent Account]])</f>
        <v>Keymax Comercializadora</v>
      </c>
      <c r="H5443" s="1"/>
    </row>
    <row r="5444" spans="1:8" x14ac:dyDescent="0.35">
      <c r="A5444" s="21"/>
      <c r="B5444" t="s">
        <v>116</v>
      </c>
      <c r="C5444" t="s">
        <v>6</v>
      </c>
      <c r="D5444" t="s">
        <v>1095</v>
      </c>
      <c r="F5444" s="1">
        <v>45777</v>
      </c>
      <c r="G5444" t="str">
        <f>IF(Table3[[#This Row],[Top Parent Account]]="",Table3[[#This Row],[Account Legal Name]],Table3[[#This Row],[Top Parent Account]])</f>
        <v>Pilgrims Pride</v>
      </c>
      <c r="H5444" s="1"/>
    </row>
    <row r="5445" spans="1:8" x14ac:dyDescent="0.35">
      <c r="A5445" s="21"/>
      <c r="B5445" t="s">
        <v>20</v>
      </c>
      <c r="C5445" t="s">
        <v>6</v>
      </c>
      <c r="D5445" t="s">
        <v>2018</v>
      </c>
      <c r="F5445" s="1">
        <v>45777</v>
      </c>
      <c r="G5445" t="str">
        <f>IF(Table3[[#This Row],[Top Parent Account]]="",Table3[[#This Row],[Account Legal Name]],Table3[[#This Row],[Top Parent Account]])</f>
        <v>Microformas</v>
      </c>
      <c r="H5445" s="1"/>
    </row>
    <row r="5446" spans="1:8" x14ac:dyDescent="0.35">
      <c r="A5446" s="21"/>
      <c r="B5446" t="s">
        <v>37</v>
      </c>
      <c r="C5446" t="s">
        <v>33</v>
      </c>
      <c r="D5446" t="s">
        <v>934</v>
      </c>
      <c r="F5446" s="1">
        <v>45776</v>
      </c>
      <c r="G5446" t="str">
        <f>IF(Table3[[#This Row],[Top Parent Account]]="",Table3[[#This Row],[Account Legal Name]],Table3[[#This Row],[Top Parent Account]])</f>
        <v>Rubio Pharma y Asociados</v>
      </c>
      <c r="H5446" s="1"/>
    </row>
    <row r="5447" spans="1:8" x14ac:dyDescent="0.35">
      <c r="A5447" s="21"/>
      <c r="B5447" t="s">
        <v>32</v>
      </c>
      <c r="C5447" t="s">
        <v>6</v>
      </c>
      <c r="D5447" t="s">
        <v>1918</v>
      </c>
      <c r="E5447" t="s">
        <v>1919</v>
      </c>
      <c r="F5447" s="1">
        <v>45776</v>
      </c>
      <c r="G5447" t="str">
        <f>IF(Table3[[#This Row],[Top Parent Account]]="",Table3[[#This Row],[Account Legal Name]],Table3[[#This Row],[Top Parent Account]])</f>
        <v>Invex Controladora</v>
      </c>
      <c r="H5447" s="1"/>
    </row>
    <row r="5448" spans="1:8" x14ac:dyDescent="0.35">
      <c r="A5448" s="21"/>
      <c r="B5448" t="s">
        <v>38</v>
      </c>
      <c r="C5448" t="s">
        <v>6</v>
      </c>
      <c r="D5448" t="s">
        <v>1069</v>
      </c>
      <c r="F5448" s="1">
        <v>45776</v>
      </c>
      <c r="G5448" t="str">
        <f>IF(Table3[[#This Row],[Top Parent Account]]="",Table3[[#This Row],[Account Legal Name]],Table3[[#This Row],[Top Parent Account]])</f>
        <v>Tequilera Tap</v>
      </c>
      <c r="H5448" s="1"/>
    </row>
    <row r="5449" spans="1:8" x14ac:dyDescent="0.35">
      <c r="A5449" s="21"/>
      <c r="B5449" t="s">
        <v>10</v>
      </c>
      <c r="C5449" t="s">
        <v>6</v>
      </c>
      <c r="D5449" t="s">
        <v>868</v>
      </c>
      <c r="E5449" t="s">
        <v>302</v>
      </c>
      <c r="F5449" s="1">
        <v>45776</v>
      </c>
      <c r="G5449" t="str">
        <f>IF(Table3[[#This Row],[Top Parent Account]]="",Table3[[#This Row],[Account Legal Name]],Table3[[#This Row],[Top Parent Account]])</f>
        <v>Pallium</v>
      </c>
      <c r="H5449" s="1"/>
    </row>
    <row r="5450" spans="1:8" x14ac:dyDescent="0.35">
      <c r="A5450" s="21"/>
      <c r="B5450" t="s">
        <v>590</v>
      </c>
      <c r="C5450" t="s">
        <v>6</v>
      </c>
      <c r="D5450" t="s">
        <v>1920</v>
      </c>
      <c r="F5450" s="1">
        <v>45776</v>
      </c>
      <c r="G5450" t="str">
        <f>IF(Table3[[#This Row],[Top Parent Account]]="",Table3[[#This Row],[Account Legal Name]],Table3[[#This Row],[Top Parent Account]])</f>
        <v>Empaques y Embalajes Ecologicos</v>
      </c>
      <c r="H5450" s="1"/>
    </row>
    <row r="5451" spans="1:8" x14ac:dyDescent="0.35">
      <c r="A5451" s="21"/>
      <c r="B5451" t="s">
        <v>969</v>
      </c>
      <c r="C5451" t="s">
        <v>6</v>
      </c>
      <c r="D5451" t="s">
        <v>1027</v>
      </c>
      <c r="F5451" s="1">
        <v>45776</v>
      </c>
      <c r="G5451" t="str">
        <f>IF(Table3[[#This Row],[Top Parent Account]]="",Table3[[#This Row],[Account Legal Name]],Table3[[#This Row],[Top Parent Account]])</f>
        <v>Litográfica Puan</v>
      </c>
      <c r="H5451" s="1"/>
    </row>
    <row r="5452" spans="1:8" x14ac:dyDescent="0.35">
      <c r="A5452" s="21"/>
      <c r="B5452" t="s">
        <v>43</v>
      </c>
      <c r="C5452" t="s">
        <v>22</v>
      </c>
      <c r="D5452" t="s">
        <v>564</v>
      </c>
      <c r="F5452" s="1">
        <v>45776</v>
      </c>
      <c r="G5452" t="str">
        <f>IF(Table3[[#This Row],[Top Parent Account]]="",Table3[[#This Row],[Account Legal Name]],Table3[[#This Row],[Top Parent Account]])</f>
        <v>Kepler Constructora</v>
      </c>
      <c r="H5452" s="1"/>
    </row>
    <row r="5453" spans="1:8" x14ac:dyDescent="0.35">
      <c r="A5453" s="21"/>
      <c r="B5453" t="s">
        <v>1511</v>
      </c>
      <c r="C5453" t="s">
        <v>6</v>
      </c>
      <c r="D5453" t="s">
        <v>1959</v>
      </c>
      <c r="F5453" s="1">
        <v>45776</v>
      </c>
      <c r="G5453" t="str">
        <f>IF(Table3[[#This Row],[Top Parent Account]]="",Table3[[#This Row],[Account Legal Name]],Table3[[#This Row],[Top Parent Account]])</f>
        <v>Todo Empanadas</v>
      </c>
      <c r="H5453" s="1"/>
    </row>
    <row r="5454" spans="1:8" x14ac:dyDescent="0.35">
      <c r="A5454" s="21"/>
      <c r="B5454" t="s">
        <v>192</v>
      </c>
      <c r="C5454" t="s">
        <v>49</v>
      </c>
      <c r="D5454" t="s">
        <v>1958</v>
      </c>
      <c r="F5454" s="1">
        <v>45776</v>
      </c>
      <c r="G5454" t="str">
        <f>IF(Table3[[#This Row],[Top Parent Account]]="",Table3[[#This Row],[Account Legal Name]],Table3[[#This Row],[Top Parent Account]])</f>
        <v>Bala Consultoría de marca y diseño estratégico</v>
      </c>
      <c r="H5454" s="1"/>
    </row>
    <row r="5455" spans="1:8" x14ac:dyDescent="0.35">
      <c r="A5455" s="21"/>
      <c r="B5455" t="s">
        <v>14</v>
      </c>
      <c r="C5455" t="s">
        <v>6</v>
      </c>
      <c r="D5455" t="s">
        <v>1921</v>
      </c>
      <c r="F5455" s="1">
        <v>45776</v>
      </c>
      <c r="G5455" t="str">
        <f>IF(Table3[[#This Row],[Top Parent Account]]="",Table3[[#This Row],[Account Legal Name]],Table3[[#This Row],[Top Parent Account]])</f>
        <v>Impresiones Eloram</v>
      </c>
      <c r="H5455" s="1"/>
    </row>
    <row r="5456" spans="1:8" x14ac:dyDescent="0.35">
      <c r="A5456" s="21"/>
      <c r="B5456" t="s">
        <v>37</v>
      </c>
      <c r="C5456" t="s">
        <v>6</v>
      </c>
      <c r="D5456" t="s">
        <v>547</v>
      </c>
      <c r="F5456" s="1">
        <v>45776</v>
      </c>
      <c r="G5456" t="str">
        <f>IF(Table3[[#This Row],[Top Parent Account]]="",Table3[[#This Row],[Account Legal Name]],Table3[[#This Row],[Top Parent Account]])</f>
        <v>Supplier City de Hermosillo</v>
      </c>
      <c r="H5456" s="1"/>
    </row>
    <row r="5457" spans="1:8" x14ac:dyDescent="0.35">
      <c r="A5457" s="21"/>
      <c r="B5457" t="s">
        <v>10</v>
      </c>
      <c r="C5457" t="s">
        <v>6</v>
      </c>
      <c r="D5457" t="s">
        <v>1922</v>
      </c>
      <c r="F5457" s="1">
        <v>45776</v>
      </c>
      <c r="G5457" t="str">
        <f>IF(Table3[[#This Row],[Top Parent Account]]="",Table3[[#This Row],[Account Legal Name]],Table3[[#This Row],[Top Parent Account]])</f>
        <v>Grupo Textiles Leon</v>
      </c>
      <c r="H5457" s="1"/>
    </row>
    <row r="5458" spans="1:8" x14ac:dyDescent="0.35">
      <c r="A5458" s="21"/>
      <c r="B5458" t="s">
        <v>23</v>
      </c>
      <c r="C5458" t="s">
        <v>6</v>
      </c>
      <c r="D5458" t="s">
        <v>775</v>
      </c>
      <c r="F5458" s="1">
        <v>45776</v>
      </c>
      <c r="G5458" t="str">
        <f>IF(Table3[[#This Row],[Top Parent Account]]="",Table3[[#This Row],[Account Legal Name]],Table3[[#This Row],[Top Parent Account]])</f>
        <v>Industria Lechera De San Juan Del Rio</v>
      </c>
      <c r="H5458" s="1"/>
    </row>
    <row r="5459" spans="1:8" x14ac:dyDescent="0.35">
      <c r="A5459" s="21"/>
      <c r="B5459" t="s">
        <v>589</v>
      </c>
      <c r="C5459" t="s">
        <v>6</v>
      </c>
      <c r="D5459" t="s">
        <v>1923</v>
      </c>
      <c r="F5459" s="1">
        <v>45776</v>
      </c>
      <c r="G5459" t="str">
        <f>IF(Table3[[#This Row],[Top Parent Account]]="",Table3[[#This Row],[Account Legal Name]],Table3[[#This Row],[Top Parent Account]])</f>
        <v>Kunhwa Mexico</v>
      </c>
      <c r="H5459" s="1"/>
    </row>
    <row r="5460" spans="1:8" x14ac:dyDescent="0.35">
      <c r="A5460" s="21"/>
      <c r="B5460" t="s">
        <v>37</v>
      </c>
      <c r="C5460" t="s">
        <v>6</v>
      </c>
      <c r="D5460" t="s">
        <v>247</v>
      </c>
      <c r="F5460" s="1">
        <v>45776</v>
      </c>
      <c r="G5460" t="str">
        <f>IF(Table3[[#This Row],[Top Parent Account]]="",Table3[[#This Row],[Account Legal Name]],Table3[[#This Row],[Top Parent Account]])</f>
        <v>Zarga Comercial</v>
      </c>
      <c r="H5460" s="1"/>
    </row>
    <row r="5461" spans="1:8" x14ac:dyDescent="0.35">
      <c r="A5461" s="21"/>
      <c r="B5461" t="s">
        <v>37</v>
      </c>
      <c r="C5461" t="s">
        <v>6</v>
      </c>
      <c r="D5461" t="s">
        <v>1969</v>
      </c>
      <c r="F5461" s="1">
        <v>45776</v>
      </c>
      <c r="G5461" t="str">
        <f>IF(Table3[[#This Row],[Top Parent Account]]="",Table3[[#This Row],[Account Legal Name]],Table3[[#This Row],[Top Parent Account]])</f>
        <v>TESSAURUM</v>
      </c>
      <c r="H5461" s="1"/>
    </row>
    <row r="5462" spans="1:8" x14ac:dyDescent="0.35">
      <c r="A5462" s="21"/>
      <c r="B5462" t="s">
        <v>29</v>
      </c>
      <c r="C5462" t="s">
        <v>6</v>
      </c>
      <c r="D5462" t="s">
        <v>963</v>
      </c>
      <c r="F5462" s="1">
        <v>45776</v>
      </c>
      <c r="G5462" t="str">
        <f>IF(Table3[[#This Row],[Top Parent Account]]="",Table3[[#This Row],[Account Legal Name]],Table3[[#This Row],[Top Parent Account]])</f>
        <v>Tecnomec Agricola</v>
      </c>
      <c r="H5462" s="1"/>
    </row>
    <row r="5463" spans="1:8" x14ac:dyDescent="0.35">
      <c r="A5463" s="21"/>
      <c r="B5463" t="s">
        <v>969</v>
      </c>
      <c r="C5463" t="s">
        <v>6</v>
      </c>
      <c r="D5463" t="s">
        <v>1924</v>
      </c>
      <c r="F5463" s="1">
        <v>45776</v>
      </c>
      <c r="G5463" t="str">
        <f>IF(Table3[[#This Row],[Top Parent Account]]="",Table3[[#This Row],[Account Legal Name]],Table3[[#This Row],[Top Parent Account]])</f>
        <v>Gluten y Almidones Industriales</v>
      </c>
      <c r="H5463" s="1"/>
    </row>
    <row r="5464" spans="1:8" x14ac:dyDescent="0.35">
      <c r="A5464" s="21"/>
      <c r="B5464" t="s">
        <v>1643</v>
      </c>
      <c r="C5464" t="s">
        <v>1915</v>
      </c>
      <c r="D5464" t="s">
        <v>698</v>
      </c>
      <c r="F5464" s="1">
        <v>45776</v>
      </c>
      <c r="G5464" t="str">
        <f>IF(Table3[[#This Row],[Top Parent Account]]="",Table3[[#This Row],[Account Legal Name]],Table3[[#This Row],[Top Parent Account]])</f>
        <v>Grupo Industrial L.M.</v>
      </c>
      <c r="H5464" s="1"/>
    </row>
    <row r="5465" spans="1:8" x14ac:dyDescent="0.35">
      <c r="A5465" s="21"/>
      <c r="B5465" t="s">
        <v>880</v>
      </c>
      <c r="C5465" t="s">
        <v>1925</v>
      </c>
      <c r="D5465" t="s">
        <v>59</v>
      </c>
      <c r="F5465" s="1">
        <v>45776</v>
      </c>
      <c r="G5465" t="str">
        <f>IF(Table3[[#This Row],[Top Parent Account]]="",Table3[[#This Row],[Account Legal Name]],Table3[[#This Row],[Top Parent Account]])</f>
        <v>Usk Internacional</v>
      </c>
      <c r="H5465" s="1"/>
    </row>
    <row r="5466" spans="1:8" x14ac:dyDescent="0.35">
      <c r="A5466" s="21"/>
      <c r="B5466" t="s">
        <v>54</v>
      </c>
      <c r="C5466" t="s">
        <v>1925</v>
      </c>
      <c r="D5466" t="s">
        <v>59</v>
      </c>
      <c r="F5466" s="1">
        <v>45776</v>
      </c>
      <c r="G5466" t="str">
        <f>IF(Table3[[#This Row],[Top Parent Account]]="",Table3[[#This Row],[Account Legal Name]],Table3[[#This Row],[Top Parent Account]])</f>
        <v>Usk Internacional</v>
      </c>
      <c r="H5466" s="1"/>
    </row>
    <row r="5467" spans="1:8" x14ac:dyDescent="0.35">
      <c r="A5467" s="21"/>
      <c r="B5467" t="s">
        <v>258</v>
      </c>
      <c r="C5467" t="s">
        <v>6</v>
      </c>
      <c r="D5467" t="s">
        <v>1850</v>
      </c>
      <c r="F5467" s="1">
        <v>45776</v>
      </c>
      <c r="G5467" t="str">
        <f>IF(Table3[[#This Row],[Top Parent Account]]="",Table3[[#This Row],[Account Legal Name]],Table3[[#This Row],[Top Parent Account]])</f>
        <v>Constructora Necaxa</v>
      </c>
      <c r="H5467" s="1"/>
    </row>
    <row r="5468" spans="1:8" x14ac:dyDescent="0.35">
      <c r="A5468" s="21"/>
      <c r="B5468" t="s">
        <v>989</v>
      </c>
      <c r="C5468" t="s">
        <v>6</v>
      </c>
      <c r="D5468" t="s">
        <v>1504</v>
      </c>
      <c r="F5468" s="1">
        <v>45776</v>
      </c>
      <c r="G5468" t="str">
        <f>IF(Table3[[#This Row],[Top Parent Account]]="",Table3[[#This Row],[Account Legal Name]],Table3[[#This Row],[Top Parent Account]])</f>
        <v>Grupo Integral Monarka</v>
      </c>
      <c r="H5468" s="1"/>
    </row>
    <row r="5469" spans="1:8" x14ac:dyDescent="0.35">
      <c r="A5469" s="21"/>
      <c r="B5469" t="s">
        <v>208</v>
      </c>
      <c r="C5469" t="s">
        <v>6</v>
      </c>
      <c r="D5469" t="s">
        <v>1926</v>
      </c>
      <c r="F5469" s="1">
        <v>45776</v>
      </c>
      <c r="G5469" t="str">
        <f>IF(Table3[[#This Row],[Top Parent Account]]="",Table3[[#This Row],[Account Legal Name]],Table3[[#This Row],[Top Parent Account]])</f>
        <v>CORAN QUALITY SOLUTIONS</v>
      </c>
      <c r="H5469" s="1"/>
    </row>
    <row r="5470" spans="1:8" x14ac:dyDescent="0.35">
      <c r="A5470" s="21"/>
      <c r="B5470" t="s">
        <v>18</v>
      </c>
      <c r="C5470" t="s">
        <v>6</v>
      </c>
      <c r="D5470" t="s">
        <v>1025</v>
      </c>
      <c r="F5470" s="1">
        <v>45776</v>
      </c>
      <c r="G5470" t="str">
        <f>IF(Table3[[#This Row],[Top Parent Account]]="",Table3[[#This Row],[Account Legal Name]],Table3[[#This Row],[Top Parent Account]])</f>
        <v>GRUPO OFFSET MONTERREY</v>
      </c>
      <c r="H5470" s="1"/>
    </row>
    <row r="5471" spans="1:8" x14ac:dyDescent="0.35">
      <c r="A5471" s="21"/>
      <c r="B5471" t="s">
        <v>121</v>
      </c>
      <c r="C5471" t="s">
        <v>6</v>
      </c>
      <c r="D5471" t="s">
        <v>1963</v>
      </c>
      <c r="F5471" s="1">
        <v>45776</v>
      </c>
      <c r="G5471" t="str">
        <f>IF(Table3[[#This Row],[Top Parent Account]]="",Table3[[#This Row],[Account Legal Name]],Table3[[#This Row],[Top Parent Account]])</f>
        <v>Alimentos y Golosinas de Calidad</v>
      </c>
      <c r="H5471" s="1"/>
    </row>
    <row r="5472" spans="1:8" x14ac:dyDescent="0.35">
      <c r="A5472" s="21"/>
      <c r="B5472" t="s">
        <v>37</v>
      </c>
      <c r="C5472" t="s">
        <v>6</v>
      </c>
      <c r="D5472" t="s">
        <v>226</v>
      </c>
      <c r="F5472" s="1">
        <v>45776</v>
      </c>
      <c r="G5472" t="str">
        <f>IF(Table3[[#This Row],[Top Parent Account]]="",Table3[[#This Row],[Account Legal Name]],Table3[[#This Row],[Top Parent Account]])</f>
        <v>Transportes Alante</v>
      </c>
      <c r="H5472" s="1"/>
    </row>
    <row r="5473" spans="1:8" x14ac:dyDescent="0.35">
      <c r="A5473" s="21"/>
      <c r="B5473" t="s">
        <v>1006</v>
      </c>
      <c r="C5473" t="s">
        <v>6</v>
      </c>
      <c r="D5473" t="s">
        <v>1007</v>
      </c>
      <c r="F5473" s="1">
        <v>45776</v>
      </c>
      <c r="G5473" t="str">
        <f>IF(Table3[[#This Row],[Top Parent Account]]="",Table3[[#This Row],[Account Legal Name]],Table3[[#This Row],[Top Parent Account]])</f>
        <v>INDAMEX Industrializadora de Alimentos Mexicanos</v>
      </c>
      <c r="H5473" s="1"/>
    </row>
    <row r="5474" spans="1:8" x14ac:dyDescent="0.35">
      <c r="A5474" s="21"/>
      <c r="B5474" t="s">
        <v>7</v>
      </c>
      <c r="C5474" t="s">
        <v>6</v>
      </c>
      <c r="D5474" t="s">
        <v>1880</v>
      </c>
      <c r="E5474" t="s">
        <v>1879</v>
      </c>
      <c r="F5474" s="1">
        <v>45776</v>
      </c>
      <c r="G5474" t="str">
        <f>IF(Table3[[#This Row],[Top Parent Account]]="",Table3[[#This Row],[Account Legal Name]],Table3[[#This Row],[Top Parent Account]])</f>
        <v>IAMMOLD &amp; DIE</v>
      </c>
      <c r="H5474" s="1"/>
    </row>
    <row r="5475" spans="1:8" x14ac:dyDescent="0.35">
      <c r="A5475" s="21"/>
      <c r="B5475" t="s">
        <v>7</v>
      </c>
      <c r="C5475" t="s">
        <v>6</v>
      </c>
      <c r="D5475" t="s">
        <v>1927</v>
      </c>
      <c r="F5475" s="1">
        <v>45776</v>
      </c>
      <c r="G5475" t="str">
        <f>IF(Table3[[#This Row],[Top Parent Account]]="",Table3[[#This Row],[Account Legal Name]],Table3[[#This Row],[Top Parent Account]])</f>
        <v>Grupo American Industries</v>
      </c>
      <c r="H5475" s="1"/>
    </row>
    <row r="5476" spans="1:8" x14ac:dyDescent="0.35">
      <c r="A5476" s="21"/>
      <c r="B5476" t="s">
        <v>925</v>
      </c>
      <c r="C5476" t="s">
        <v>6</v>
      </c>
      <c r="D5476" t="s">
        <v>1869</v>
      </c>
      <c r="F5476" s="1">
        <v>45776</v>
      </c>
      <c r="G5476" t="str">
        <f>IF(Table3[[#This Row],[Top Parent Account]]="",Table3[[#This Row],[Account Legal Name]],Table3[[#This Row],[Top Parent Account]])</f>
        <v>ACEROS Y PRODUCTOS PERFICORTE</v>
      </c>
      <c r="H5476" s="1"/>
    </row>
    <row r="5477" spans="1:8" x14ac:dyDescent="0.35">
      <c r="A5477" s="21"/>
      <c r="B5477" t="s">
        <v>27</v>
      </c>
      <c r="C5477" t="s">
        <v>22</v>
      </c>
      <c r="D5477" t="s">
        <v>1397</v>
      </c>
      <c r="F5477" s="1">
        <v>45776</v>
      </c>
      <c r="G5477" t="str">
        <f>IF(Table3[[#This Row],[Top Parent Account]]="",Table3[[#This Row],[Account Legal Name]],Table3[[#This Row],[Top Parent Account]])</f>
        <v>Hospital Aranda de la Parra</v>
      </c>
      <c r="H5477" s="1"/>
    </row>
    <row r="5478" spans="1:8" x14ac:dyDescent="0.35">
      <c r="A5478" s="21"/>
      <c r="B5478" t="s">
        <v>56</v>
      </c>
      <c r="C5478" t="s">
        <v>6</v>
      </c>
      <c r="D5478" t="s">
        <v>421</v>
      </c>
      <c r="F5478" s="1">
        <v>45776</v>
      </c>
      <c r="G5478" t="str">
        <f>IF(Table3[[#This Row],[Top Parent Account]]="",Table3[[#This Row],[Account Legal Name]],Table3[[#This Row],[Top Parent Account]])</f>
        <v>Grupo Aguaviento</v>
      </c>
      <c r="H5478" s="1"/>
    </row>
    <row r="5479" spans="1:8" x14ac:dyDescent="0.35">
      <c r="A5479" s="21"/>
      <c r="B5479" t="s">
        <v>84</v>
      </c>
      <c r="C5479" t="s">
        <v>87</v>
      </c>
      <c r="D5479" t="s">
        <v>1928</v>
      </c>
      <c r="F5479" s="1">
        <v>45776</v>
      </c>
      <c r="G5479" t="str">
        <f>IF(Table3[[#This Row],[Top Parent Account]]="",Table3[[#This Row],[Account Legal Name]],Table3[[#This Row],[Top Parent Account]])</f>
        <v>3R RECYCLING</v>
      </c>
      <c r="H5479" s="1"/>
    </row>
    <row r="5480" spans="1:8" x14ac:dyDescent="0.35">
      <c r="A5480" s="21"/>
      <c r="B5480" t="s">
        <v>20</v>
      </c>
      <c r="C5480" t="s">
        <v>6</v>
      </c>
      <c r="D5480" t="s">
        <v>2019</v>
      </c>
      <c r="F5480" s="1">
        <v>45776</v>
      </c>
      <c r="G5480" t="str">
        <f>IF(Table3[[#This Row],[Top Parent Account]]="",Table3[[#This Row],[Account Legal Name]],Table3[[#This Row],[Top Parent Account]])</f>
        <v>PYATZ INGENIERIA BIOTECNOLÓGICA</v>
      </c>
      <c r="H5480" s="1"/>
    </row>
    <row r="5481" spans="1:8" x14ac:dyDescent="0.35">
      <c r="A5481" s="21"/>
      <c r="B5481" t="s">
        <v>37</v>
      </c>
      <c r="C5481" t="s">
        <v>6</v>
      </c>
      <c r="D5481" t="s">
        <v>1960</v>
      </c>
      <c r="F5481" s="1">
        <v>45776</v>
      </c>
      <c r="G5481" t="str">
        <f>IF(Table3[[#This Row],[Top Parent Account]]="",Table3[[#This Row],[Account Legal Name]],Table3[[#This Row],[Top Parent Account]])</f>
        <v>PROMOTORA CL</v>
      </c>
      <c r="H5481" s="1"/>
    </row>
    <row r="5482" spans="1:8" x14ac:dyDescent="0.35">
      <c r="A5482" s="21"/>
      <c r="B5482" t="s">
        <v>37</v>
      </c>
      <c r="C5482" t="s">
        <v>6</v>
      </c>
      <c r="D5482" t="s">
        <v>1929</v>
      </c>
      <c r="F5482" s="1">
        <v>45775</v>
      </c>
      <c r="G5482" t="str">
        <f>IF(Table3[[#This Row],[Top Parent Account]]="",Table3[[#This Row],[Account Legal Name]],Table3[[#This Row],[Top Parent Account]])</f>
        <v>Agroexport De Sonora</v>
      </c>
      <c r="H5482" s="1"/>
    </row>
    <row r="5483" spans="1:8" x14ac:dyDescent="0.35">
      <c r="A5483" s="21"/>
      <c r="B5483" t="s">
        <v>10</v>
      </c>
      <c r="C5483" t="s">
        <v>6</v>
      </c>
      <c r="D5483" t="s">
        <v>672</v>
      </c>
      <c r="F5483" s="1">
        <v>45775</v>
      </c>
      <c r="G5483" t="str">
        <f>IF(Table3[[#This Row],[Top Parent Account]]="",Table3[[#This Row],[Account Legal Name]],Table3[[#This Row],[Top Parent Account]])</f>
        <v>Universidad Del Valle De Atemajac</v>
      </c>
      <c r="H5483" s="1"/>
    </row>
    <row r="5484" spans="1:8" x14ac:dyDescent="0.35">
      <c r="A5484" s="21"/>
      <c r="B5484" t="s">
        <v>208</v>
      </c>
      <c r="C5484" t="s">
        <v>6</v>
      </c>
      <c r="D5484" t="s">
        <v>1714</v>
      </c>
      <c r="F5484" s="1">
        <v>45775</v>
      </c>
      <c r="G5484" t="str">
        <f>IF(Table3[[#This Row],[Top Parent Account]]="",Table3[[#This Row],[Account Legal Name]],Table3[[#This Row],[Top Parent Account]])</f>
        <v>SERTI</v>
      </c>
      <c r="H5484" s="1"/>
    </row>
    <row r="5485" spans="1:8" x14ac:dyDescent="0.35">
      <c r="A5485" s="21"/>
      <c r="B5485" t="s">
        <v>23</v>
      </c>
      <c r="C5485" t="s">
        <v>6</v>
      </c>
      <c r="D5485" t="s">
        <v>1930</v>
      </c>
      <c r="F5485" s="1">
        <v>45775</v>
      </c>
      <c r="G5485" t="str">
        <f>IF(Table3[[#This Row],[Top Parent Account]]="",Table3[[#This Row],[Account Legal Name]],Table3[[#This Row],[Top Parent Account]])</f>
        <v>RECICLAJE Y RECOLECCION DEL BAJIO</v>
      </c>
      <c r="H5485" s="1"/>
    </row>
    <row r="5486" spans="1:8" x14ac:dyDescent="0.35">
      <c r="A5486" s="21"/>
      <c r="B5486" t="s">
        <v>989</v>
      </c>
      <c r="C5486" t="s">
        <v>6</v>
      </c>
      <c r="D5486" t="s">
        <v>1847</v>
      </c>
      <c r="F5486" s="1">
        <v>45775</v>
      </c>
      <c r="G5486" t="str">
        <f>IF(Table3[[#This Row],[Top Parent Account]]="",Table3[[#This Row],[Account Legal Name]],Table3[[#This Row],[Top Parent Account]])</f>
        <v>China Depot</v>
      </c>
      <c r="H5486" s="1"/>
    </row>
    <row r="5487" spans="1:8" x14ac:dyDescent="0.35">
      <c r="A5487" s="21"/>
      <c r="B5487" t="s">
        <v>989</v>
      </c>
      <c r="C5487" t="s">
        <v>6</v>
      </c>
      <c r="D5487" t="s">
        <v>1230</v>
      </c>
      <c r="F5487" s="1">
        <v>45775</v>
      </c>
      <c r="G5487" t="str">
        <f>IF(Table3[[#This Row],[Top Parent Account]]="",Table3[[#This Row],[Account Legal Name]],Table3[[#This Row],[Top Parent Account]])</f>
        <v>Kante Industries</v>
      </c>
      <c r="H5487" s="1"/>
    </row>
    <row r="5488" spans="1:8" x14ac:dyDescent="0.35">
      <c r="A5488" s="21"/>
      <c r="B5488" t="s">
        <v>207</v>
      </c>
      <c r="C5488" t="s">
        <v>6</v>
      </c>
      <c r="D5488" t="s">
        <v>1124</v>
      </c>
      <c r="F5488" s="1">
        <v>45775</v>
      </c>
      <c r="G5488" t="str">
        <f>IF(Table3[[#This Row],[Top Parent Account]]="",Table3[[#This Row],[Account Legal Name]],Table3[[#This Row],[Top Parent Account]])</f>
        <v>RIVERFARMA</v>
      </c>
      <c r="H5488" s="1"/>
    </row>
    <row r="5489" spans="1:8" x14ac:dyDescent="0.35">
      <c r="A5489" s="21"/>
      <c r="B5489" t="s">
        <v>30</v>
      </c>
      <c r="C5489" t="s">
        <v>22</v>
      </c>
      <c r="D5489" t="s">
        <v>170</v>
      </c>
      <c r="F5489" s="1">
        <v>45775</v>
      </c>
      <c r="G5489" t="str">
        <f>IF(Table3[[#This Row],[Top Parent Account]]="",Table3[[#This Row],[Account Legal Name]],Table3[[#This Row],[Top Parent Account]])</f>
        <v>Herdez Del Fuerte</v>
      </c>
      <c r="H5489" s="1"/>
    </row>
    <row r="5490" spans="1:8" x14ac:dyDescent="0.35">
      <c r="A5490" s="21"/>
      <c r="B5490" t="s">
        <v>43</v>
      </c>
      <c r="C5490" t="s">
        <v>22</v>
      </c>
      <c r="D5490" t="s">
        <v>1076</v>
      </c>
      <c r="F5490" s="1">
        <v>45775</v>
      </c>
      <c r="G5490" t="str">
        <f>IF(Table3[[#This Row],[Top Parent Account]]="",Table3[[#This Row],[Account Legal Name]],Table3[[#This Row],[Top Parent Account]])</f>
        <v>International Metals de México</v>
      </c>
      <c r="H5490" s="1"/>
    </row>
    <row r="5491" spans="1:8" x14ac:dyDescent="0.35">
      <c r="A5491" s="21"/>
      <c r="B5491" t="s">
        <v>70</v>
      </c>
      <c r="C5491" t="s">
        <v>6</v>
      </c>
      <c r="D5491" t="s">
        <v>1161</v>
      </c>
      <c r="F5491" s="1">
        <v>45775</v>
      </c>
      <c r="G5491" t="str">
        <f>IF(Table3[[#This Row],[Top Parent Account]]="",Table3[[#This Row],[Account Legal Name]],Table3[[#This Row],[Top Parent Account]])</f>
        <v>Prestadora de Servicios Alencastre</v>
      </c>
      <c r="H5491" s="1"/>
    </row>
    <row r="5492" spans="1:8" x14ac:dyDescent="0.35">
      <c r="A5492" s="21"/>
      <c r="B5492" t="s">
        <v>925</v>
      </c>
      <c r="C5492" t="s">
        <v>6</v>
      </c>
      <c r="D5492" t="s">
        <v>94</v>
      </c>
      <c r="F5492" s="1">
        <v>45775</v>
      </c>
      <c r="G5492" t="str">
        <f>IF(Table3[[#This Row],[Top Parent Account]]="",Table3[[#This Row],[Account Legal Name]],Table3[[#This Row],[Top Parent Account]])</f>
        <v>Grupo Atsa</v>
      </c>
      <c r="H5492" s="1"/>
    </row>
    <row r="5493" spans="1:8" x14ac:dyDescent="0.35">
      <c r="A5493" s="21"/>
      <c r="B5493" t="s">
        <v>739</v>
      </c>
      <c r="C5493" t="s">
        <v>6</v>
      </c>
      <c r="D5493" t="s">
        <v>1225</v>
      </c>
      <c r="F5493" s="1">
        <v>45775</v>
      </c>
      <c r="G5493" t="str">
        <f>IF(Table3[[#This Row],[Top Parent Account]]="",Table3[[#This Row],[Account Legal Name]],Table3[[#This Row],[Top Parent Account]])</f>
        <v>COMERCIALIZADORA MAYORISTA DEL GOLFO</v>
      </c>
      <c r="H5493" s="1"/>
    </row>
    <row r="5494" spans="1:8" x14ac:dyDescent="0.35">
      <c r="A5494" s="21"/>
      <c r="B5494" t="s">
        <v>739</v>
      </c>
      <c r="C5494" t="s">
        <v>22</v>
      </c>
      <c r="D5494" t="s">
        <v>906</v>
      </c>
      <c r="F5494" s="1">
        <v>45775</v>
      </c>
      <c r="G5494" t="str">
        <f>IF(Table3[[#This Row],[Top Parent Account]]="",Table3[[#This Row],[Account Legal Name]],Table3[[#This Row],[Top Parent Account]])</f>
        <v>Comercializadora Marlet</v>
      </c>
      <c r="H5494" s="1"/>
    </row>
    <row r="5495" spans="1:8" x14ac:dyDescent="0.35">
      <c r="A5495" s="21"/>
      <c r="B5495" t="s">
        <v>20</v>
      </c>
      <c r="C5495" t="s">
        <v>6</v>
      </c>
      <c r="D5495" t="s">
        <v>2020</v>
      </c>
      <c r="F5495" s="1">
        <v>45775</v>
      </c>
      <c r="G5495" t="str">
        <f>IF(Table3[[#This Row],[Top Parent Account]]="",Table3[[#This Row],[Account Legal Name]],Table3[[#This Row],[Top Parent Account]])</f>
        <v>International Label</v>
      </c>
      <c r="H5495" s="1"/>
    </row>
    <row r="5496" spans="1:8" x14ac:dyDescent="0.35">
      <c r="A5496" s="21"/>
      <c r="B5496" t="s">
        <v>589</v>
      </c>
      <c r="C5496" t="s">
        <v>6</v>
      </c>
      <c r="D5496" t="s">
        <v>1931</v>
      </c>
      <c r="F5496" s="1">
        <v>45775</v>
      </c>
      <c r="G5496" t="str">
        <f>IF(Table3[[#This Row],[Top Parent Account]]="",Table3[[#This Row],[Account Legal Name]],Table3[[#This Row],[Top Parent Account]])</f>
        <v>CORN GRITS MEXICO</v>
      </c>
      <c r="H5496" s="1"/>
    </row>
    <row r="5497" spans="1:8" x14ac:dyDescent="0.35">
      <c r="A5497" s="21"/>
      <c r="B5497" t="s">
        <v>116</v>
      </c>
      <c r="C5497" t="s">
        <v>6</v>
      </c>
      <c r="D5497" t="s">
        <v>1262</v>
      </c>
      <c r="F5497" s="1">
        <v>45775</v>
      </c>
      <c r="G5497" t="str">
        <f>IF(Table3[[#This Row],[Top Parent Account]]="",Table3[[#This Row],[Account Legal Name]],Table3[[#This Row],[Top Parent Account]])</f>
        <v>Tzinapu</v>
      </c>
      <c r="H5497" s="1"/>
    </row>
    <row r="5498" spans="1:8" x14ac:dyDescent="0.35">
      <c r="A5498" s="21"/>
      <c r="B5498" t="s">
        <v>24</v>
      </c>
      <c r="C5498" t="s">
        <v>623</v>
      </c>
      <c r="D5498" t="s">
        <v>624</v>
      </c>
      <c r="F5498" s="1">
        <v>45775</v>
      </c>
      <c r="G5498" t="str">
        <f>IF(Table3[[#This Row],[Top Parent Account]]="",Table3[[#This Row],[Account Legal Name]],Table3[[#This Row],[Top Parent Account]])</f>
        <v>Grupo Viz</v>
      </c>
      <c r="H5498" s="1"/>
    </row>
    <row r="5499" spans="1:8" x14ac:dyDescent="0.35">
      <c r="A5499" s="21"/>
      <c r="B5499" t="s">
        <v>1006</v>
      </c>
      <c r="C5499" t="s">
        <v>6</v>
      </c>
      <c r="D5499" t="s">
        <v>1491</v>
      </c>
      <c r="F5499" s="1">
        <v>45775</v>
      </c>
      <c r="G5499" t="str">
        <f>IF(Table3[[#This Row],[Top Parent Account]]="",Table3[[#This Row],[Account Legal Name]],Table3[[#This Row],[Top Parent Account]])</f>
        <v>GRUPO MOC</v>
      </c>
      <c r="H5499" s="1"/>
    </row>
    <row r="5500" spans="1:8" x14ac:dyDescent="0.35">
      <c r="A5500" s="21"/>
      <c r="B5500" t="s">
        <v>28</v>
      </c>
      <c r="C5500" t="s">
        <v>6</v>
      </c>
      <c r="D5500" t="s">
        <v>1932</v>
      </c>
      <c r="F5500" s="1">
        <v>45775</v>
      </c>
      <c r="G5500" t="str">
        <f>IF(Table3[[#This Row],[Top Parent Account]]="",Table3[[#This Row],[Account Legal Name]],Table3[[#This Row],[Top Parent Account]])</f>
        <v>CHAD MANUFACTURING</v>
      </c>
      <c r="H5500" s="1"/>
    </row>
    <row r="5501" spans="1:8" x14ac:dyDescent="0.35">
      <c r="A5501" s="21"/>
      <c r="B5501" t="s">
        <v>43</v>
      </c>
      <c r="C5501" t="s">
        <v>6</v>
      </c>
      <c r="D5501" t="s">
        <v>1054</v>
      </c>
      <c r="F5501" s="1">
        <v>45775</v>
      </c>
      <c r="G5501" t="str">
        <f>IF(Table3[[#This Row],[Top Parent Account]]="",Table3[[#This Row],[Account Legal Name]],Table3[[#This Row],[Top Parent Account]])</f>
        <v>Alimentos BAAB</v>
      </c>
      <c r="H5501" s="1"/>
    </row>
    <row r="5502" spans="1:8" x14ac:dyDescent="0.35">
      <c r="A5502" s="21"/>
      <c r="B5502" t="s">
        <v>1511</v>
      </c>
      <c r="C5502" t="s">
        <v>6</v>
      </c>
      <c r="D5502" t="s">
        <v>1878</v>
      </c>
      <c r="F5502" s="1">
        <v>45772</v>
      </c>
      <c r="G5502" t="str">
        <f>IF(Table3[[#This Row],[Top Parent Account]]="",Table3[[#This Row],[Account Legal Name]],Table3[[#This Row],[Top Parent Account]])</f>
        <v>Polyderivados</v>
      </c>
      <c r="H5502" s="1"/>
    </row>
    <row r="5503" spans="1:8" x14ac:dyDescent="0.35">
      <c r="A5503" s="21"/>
      <c r="B5503" t="s">
        <v>7</v>
      </c>
      <c r="C5503" t="s">
        <v>6</v>
      </c>
      <c r="D5503" t="s">
        <v>1879</v>
      </c>
      <c r="E5503" t="s">
        <v>1880</v>
      </c>
      <c r="F5503" s="1">
        <v>45772</v>
      </c>
      <c r="G5503" t="str">
        <f>IF(Table3[[#This Row],[Top Parent Account]]="",Table3[[#This Row],[Account Legal Name]],Table3[[#This Row],[Top Parent Account]])</f>
        <v>Iamdmex</v>
      </c>
      <c r="H5503" s="1"/>
    </row>
    <row r="5504" spans="1:8" x14ac:dyDescent="0.35">
      <c r="A5504" s="21"/>
      <c r="B5504" t="s">
        <v>28</v>
      </c>
      <c r="C5504" t="s">
        <v>6</v>
      </c>
      <c r="D5504" t="s">
        <v>1881</v>
      </c>
      <c r="F5504" s="1">
        <v>45772</v>
      </c>
      <c r="G5504" t="str">
        <f>IF(Table3[[#This Row],[Top Parent Account]]="",Table3[[#This Row],[Account Legal Name]],Table3[[#This Row],[Top Parent Account]])</f>
        <v>Rybalsa Laguna</v>
      </c>
      <c r="H5504" s="1"/>
    </row>
    <row r="5505" spans="1:8" x14ac:dyDescent="0.35">
      <c r="A5505" s="21"/>
      <c r="B5505" t="s">
        <v>1643</v>
      </c>
      <c r="C5505" t="s">
        <v>6</v>
      </c>
      <c r="D5505" t="s">
        <v>698</v>
      </c>
      <c r="F5505" s="1">
        <v>45772</v>
      </c>
      <c r="G5505" t="str">
        <f>IF(Table3[[#This Row],[Top Parent Account]]="",Table3[[#This Row],[Account Legal Name]],Table3[[#This Row],[Top Parent Account]])</f>
        <v>Grupo Industrial L.M.</v>
      </c>
      <c r="H5505" s="1"/>
    </row>
    <row r="5506" spans="1:8" x14ac:dyDescent="0.35">
      <c r="A5506" s="21"/>
      <c r="B5506" t="s">
        <v>15</v>
      </c>
      <c r="C5506" t="s">
        <v>6</v>
      </c>
      <c r="D5506" t="s">
        <v>1882</v>
      </c>
      <c r="F5506" s="1">
        <v>45772</v>
      </c>
      <c r="G5506" t="str">
        <f>IF(Table3[[#This Row],[Top Parent Account]]="",Table3[[#This Row],[Account Legal Name]],Table3[[#This Row],[Top Parent Account]])</f>
        <v>Productos de Uva</v>
      </c>
      <c r="H5506" s="1"/>
    </row>
    <row r="5507" spans="1:8" x14ac:dyDescent="0.35">
      <c r="A5507" s="21"/>
      <c r="B5507" t="s">
        <v>925</v>
      </c>
      <c r="C5507" t="s">
        <v>6</v>
      </c>
      <c r="D5507" t="s">
        <v>1883</v>
      </c>
      <c r="F5507" s="1">
        <v>45772</v>
      </c>
      <c r="G5507" t="str">
        <f>IF(Table3[[#This Row],[Top Parent Account]]="",Table3[[#This Row],[Account Legal Name]],Table3[[#This Row],[Top Parent Account]])</f>
        <v>Transportes Monroy Schiavon</v>
      </c>
      <c r="H5507" s="1"/>
    </row>
    <row r="5508" spans="1:8" x14ac:dyDescent="0.35">
      <c r="A5508" s="21"/>
      <c r="B5508" t="s">
        <v>84</v>
      </c>
      <c r="C5508" t="s">
        <v>67</v>
      </c>
      <c r="D5508" t="s">
        <v>1885</v>
      </c>
      <c r="F5508" s="1">
        <v>45772</v>
      </c>
      <c r="G5508" t="str">
        <f>IF(Table3[[#This Row],[Top Parent Account]]="",Table3[[#This Row],[Account Legal Name]],Table3[[#This Row],[Top Parent Account]])</f>
        <v>MM Carga</v>
      </c>
      <c r="H5508" s="1"/>
    </row>
    <row r="5509" spans="1:8" x14ac:dyDescent="0.35">
      <c r="A5509" s="21"/>
      <c r="B5509" t="s">
        <v>84</v>
      </c>
      <c r="C5509" t="s">
        <v>1884</v>
      </c>
      <c r="D5509" t="s">
        <v>1200</v>
      </c>
      <c r="F5509" s="1">
        <v>45772</v>
      </c>
      <c r="G5509" t="str">
        <f>IF(Table3[[#This Row],[Top Parent Account]]="",Table3[[#This Row],[Account Legal Name]],Table3[[#This Row],[Top Parent Account]])</f>
        <v>Especialidades Troqueladas</v>
      </c>
      <c r="H5509" s="1"/>
    </row>
    <row r="5510" spans="1:8" x14ac:dyDescent="0.35">
      <c r="A5510" s="21"/>
      <c r="B5510" t="s">
        <v>78</v>
      </c>
      <c r="C5510" t="s">
        <v>6</v>
      </c>
      <c r="D5510" t="s">
        <v>1868</v>
      </c>
      <c r="F5510" s="1">
        <v>45772</v>
      </c>
      <c r="G5510" t="str">
        <f>IF(Table3[[#This Row],[Top Parent Account]]="",Table3[[#This Row],[Account Legal Name]],Table3[[#This Row],[Top Parent Account]])</f>
        <v>IT Workers</v>
      </c>
      <c r="H5510" s="1"/>
    </row>
    <row r="5511" spans="1:8" x14ac:dyDescent="0.35">
      <c r="A5511" s="21"/>
      <c r="B5511" t="s">
        <v>84</v>
      </c>
      <c r="C5511" t="s">
        <v>1884</v>
      </c>
      <c r="D5511" t="s">
        <v>647</v>
      </c>
      <c r="F5511" s="1">
        <v>45772</v>
      </c>
      <c r="G5511" t="str">
        <f>IF(Table3[[#This Row],[Top Parent Account]]="",Table3[[#This Row],[Account Legal Name]],Table3[[#This Row],[Top Parent Account]])</f>
        <v>Montajes e Ingenierias  Sultana</v>
      </c>
      <c r="H5511" s="1"/>
    </row>
    <row r="5512" spans="1:8" x14ac:dyDescent="0.35">
      <c r="A5512" s="21"/>
      <c r="B5512" t="s">
        <v>39</v>
      </c>
      <c r="C5512" t="s">
        <v>1886</v>
      </c>
      <c r="D5512" t="s">
        <v>520</v>
      </c>
      <c r="F5512" s="1">
        <v>45772</v>
      </c>
      <c r="G5512" t="str">
        <f>IF(Table3[[#This Row],[Top Parent Account]]="",Table3[[#This Row],[Account Legal Name]],Table3[[#This Row],[Top Parent Account]])</f>
        <v>Comercializadora de Alimentos Ochoa</v>
      </c>
      <c r="H5512" s="1"/>
    </row>
    <row r="5513" spans="1:8" x14ac:dyDescent="0.35">
      <c r="A5513" s="21"/>
      <c r="B5513" t="s">
        <v>1031</v>
      </c>
      <c r="C5513" t="s">
        <v>6</v>
      </c>
      <c r="D5513" t="s">
        <v>1887</v>
      </c>
      <c r="F5513" s="1">
        <v>45772</v>
      </c>
      <c r="G5513" t="str">
        <f>IF(Table3[[#This Row],[Top Parent Account]]="",Table3[[#This Row],[Account Legal Name]],Table3[[#This Row],[Top Parent Account]])</f>
        <v>Conduit</v>
      </c>
      <c r="H5513" s="1"/>
    </row>
    <row r="5514" spans="1:8" x14ac:dyDescent="0.35">
      <c r="A5514" s="21"/>
      <c r="B5514" t="s">
        <v>121</v>
      </c>
      <c r="C5514" t="s">
        <v>6</v>
      </c>
      <c r="D5514" t="s">
        <v>1890</v>
      </c>
      <c r="E5514" t="s">
        <v>274</v>
      </c>
      <c r="F5514" s="1">
        <v>45772</v>
      </c>
      <c r="G5514" t="str">
        <f>IF(Table3[[#This Row],[Top Parent Account]]="",Table3[[#This Row],[Account Legal Name]],Table3[[#This Row],[Top Parent Account]])</f>
        <v>MA. TERESA MACIAS RAMIREZ</v>
      </c>
      <c r="H5514" s="1"/>
    </row>
    <row r="5515" spans="1:8" x14ac:dyDescent="0.35">
      <c r="A5515" s="21"/>
      <c r="B5515" t="s">
        <v>88</v>
      </c>
      <c r="C5515" t="s">
        <v>6</v>
      </c>
      <c r="D5515" t="s">
        <v>1888</v>
      </c>
      <c r="F5515" s="1">
        <v>45772</v>
      </c>
      <c r="G5515" t="str">
        <f>IF(Table3[[#This Row],[Top Parent Account]]="",Table3[[#This Row],[Account Legal Name]],Table3[[#This Row],[Top Parent Account]])</f>
        <v>Distribuidora y Comercializadora San Andres</v>
      </c>
      <c r="H5515" s="1"/>
    </row>
    <row r="5516" spans="1:8" x14ac:dyDescent="0.35">
      <c r="A5516" s="21"/>
      <c r="B5516" t="s">
        <v>54</v>
      </c>
      <c r="C5516" t="s">
        <v>22</v>
      </c>
      <c r="D5516" t="s">
        <v>1889</v>
      </c>
      <c r="F5516" s="1">
        <v>45772</v>
      </c>
      <c r="G5516" t="str">
        <f>IF(Table3[[#This Row],[Top Parent Account]]="",Table3[[#This Row],[Account Legal Name]],Table3[[#This Row],[Top Parent Account]])</f>
        <v>OPERADORA MARRIOTT</v>
      </c>
      <c r="H5516" s="1"/>
    </row>
    <row r="5517" spans="1:8" x14ac:dyDescent="0.35">
      <c r="A5517" s="21"/>
      <c r="B5517" t="s">
        <v>739</v>
      </c>
      <c r="C5517" t="s">
        <v>6</v>
      </c>
      <c r="D5517" t="s">
        <v>315</v>
      </c>
      <c r="F5517" s="1">
        <v>45772</v>
      </c>
      <c r="G5517" t="str">
        <f>IF(Table3[[#This Row],[Top Parent Account]]="",Table3[[#This Row],[Account Legal Name]],Table3[[#This Row],[Top Parent Account]])</f>
        <v>Basham, Ringe y Correa</v>
      </c>
      <c r="H5517" s="1"/>
    </row>
    <row r="5518" spans="1:8" x14ac:dyDescent="0.35">
      <c r="A5518" s="21"/>
      <c r="B5518" t="s">
        <v>739</v>
      </c>
      <c r="C5518" t="s">
        <v>6</v>
      </c>
      <c r="D5518" t="s">
        <v>537</v>
      </c>
      <c r="F5518" s="1">
        <v>45772</v>
      </c>
      <c r="G5518" t="str">
        <f>IF(Table3[[#This Row],[Top Parent Account]]="",Table3[[#This Row],[Account Legal Name]],Table3[[#This Row],[Top Parent Account]])</f>
        <v>Industrias Vinícolas Pedro Domeq</v>
      </c>
      <c r="H5518" s="1"/>
    </row>
    <row r="5519" spans="1:8" x14ac:dyDescent="0.35">
      <c r="A5519" s="21"/>
      <c r="B5519" t="s">
        <v>932</v>
      </c>
      <c r="C5519" t="s">
        <v>1933</v>
      </c>
      <c r="D5519" t="s">
        <v>1934</v>
      </c>
      <c r="F5519" s="1">
        <v>45772</v>
      </c>
      <c r="G5519" t="str">
        <f>IF(Table3[[#This Row],[Top Parent Account]]="",Table3[[#This Row],[Account Legal Name]],Table3[[#This Row],[Top Parent Account]])</f>
        <v>LANDUX</v>
      </c>
      <c r="H5519" s="1"/>
    </row>
    <row r="5520" spans="1:8" x14ac:dyDescent="0.35">
      <c r="A5520" s="21"/>
      <c r="B5520" t="s">
        <v>88</v>
      </c>
      <c r="C5520" t="s">
        <v>6</v>
      </c>
      <c r="D5520" t="s">
        <v>1891</v>
      </c>
      <c r="F5520" s="1">
        <v>45772</v>
      </c>
      <c r="G5520" t="str">
        <f>IF(Table3[[#This Row],[Top Parent Account]]="",Table3[[#This Row],[Account Legal Name]],Table3[[#This Row],[Top Parent Account]])</f>
        <v>Patiños Ranchs</v>
      </c>
      <c r="H5520" s="1"/>
    </row>
    <row r="5521" spans="1:8" x14ac:dyDescent="0.35">
      <c r="A5521" s="21"/>
      <c r="B5521" t="s">
        <v>29</v>
      </c>
      <c r="C5521" t="s">
        <v>6</v>
      </c>
      <c r="D5521" t="s">
        <v>443</v>
      </c>
      <c r="E5521" t="s">
        <v>444</v>
      </c>
      <c r="F5521" s="1">
        <v>45772</v>
      </c>
      <c r="G5521" t="str">
        <f>IF(Table3[[#This Row],[Top Parent Account]]="",Table3[[#This Row],[Account Legal Name]],Table3[[#This Row],[Top Parent Account]])</f>
        <v>Ugasa</v>
      </c>
      <c r="H5521" s="1"/>
    </row>
    <row r="5522" spans="1:8" x14ac:dyDescent="0.35">
      <c r="A5522" s="21"/>
      <c r="B5522" t="s">
        <v>589</v>
      </c>
      <c r="C5522" t="s">
        <v>6</v>
      </c>
      <c r="D5522" t="s">
        <v>1892</v>
      </c>
      <c r="F5522" s="1">
        <v>45771</v>
      </c>
      <c r="G5522" t="str">
        <f>IF(Table3[[#This Row],[Top Parent Account]]="",Table3[[#This Row],[Account Legal Name]],Table3[[#This Row],[Top Parent Account]])</f>
        <v>F&amp;F AROMATICS</v>
      </c>
      <c r="H5522" s="1"/>
    </row>
    <row r="5523" spans="1:8" x14ac:dyDescent="0.35">
      <c r="A5523" s="21"/>
      <c r="B5523" t="s">
        <v>18</v>
      </c>
      <c r="C5523" t="s">
        <v>6</v>
      </c>
      <c r="D5523" t="s">
        <v>1125</v>
      </c>
      <c r="F5523" s="1">
        <v>45771</v>
      </c>
      <c r="G5523" t="str">
        <f>IF(Table3[[#This Row],[Top Parent Account]]="",Table3[[#This Row],[Account Legal Name]],Table3[[#This Row],[Top Parent Account]])</f>
        <v>Deposito de Contenedores Mopsa</v>
      </c>
      <c r="H5523" s="1"/>
    </row>
    <row r="5524" spans="1:8" x14ac:dyDescent="0.35">
      <c r="A5524" s="21"/>
      <c r="B5524" t="s">
        <v>77</v>
      </c>
      <c r="C5524" t="s">
        <v>6</v>
      </c>
      <c r="D5524" t="s">
        <v>1893</v>
      </c>
      <c r="F5524" s="1">
        <v>45771</v>
      </c>
      <c r="G5524" t="str">
        <f>IF(Table3[[#This Row],[Top Parent Account]]="",Table3[[#This Row],[Account Legal Name]],Table3[[#This Row],[Top Parent Account]])</f>
        <v>Corporacion Chihuahua</v>
      </c>
      <c r="H5524" s="1"/>
    </row>
    <row r="5525" spans="1:8" x14ac:dyDescent="0.35">
      <c r="A5525" s="21"/>
      <c r="B5525" t="s">
        <v>114</v>
      </c>
      <c r="C5525" t="s">
        <v>6</v>
      </c>
      <c r="D5525" t="s">
        <v>884</v>
      </c>
      <c r="E5525" t="s">
        <v>885</v>
      </c>
      <c r="F5525" s="1">
        <v>45771</v>
      </c>
      <c r="G5525" t="str">
        <f>IF(Table3[[#This Row],[Top Parent Account]]="",Table3[[#This Row],[Account Legal Name]],Table3[[#This Row],[Top Parent Account]])</f>
        <v>Agroindustrias Galdisa</v>
      </c>
      <c r="H5525" s="1"/>
    </row>
    <row r="5526" spans="1:8" x14ac:dyDescent="0.35">
      <c r="A5526" s="21"/>
      <c r="B5526" t="s">
        <v>77</v>
      </c>
      <c r="C5526" t="s">
        <v>6</v>
      </c>
      <c r="D5526" t="s">
        <v>1842</v>
      </c>
      <c r="F5526" s="1">
        <v>45771</v>
      </c>
      <c r="G5526" t="str">
        <f>IF(Table3[[#This Row],[Top Parent Account]]="",Table3[[#This Row],[Account Legal Name]],Table3[[#This Row],[Top Parent Account]])</f>
        <v>Johan Froese Enns</v>
      </c>
      <c r="H5526" s="1"/>
    </row>
    <row r="5527" spans="1:8" x14ac:dyDescent="0.35">
      <c r="A5527" s="21"/>
      <c r="B5527" t="s">
        <v>18</v>
      </c>
      <c r="C5527" t="s">
        <v>6</v>
      </c>
      <c r="D5527" t="s">
        <v>1085</v>
      </c>
      <c r="F5527" s="1">
        <v>45771</v>
      </c>
      <c r="G5527" t="str">
        <f>IF(Table3[[#This Row],[Top Parent Account]]="",Table3[[#This Row],[Account Legal Name]],Table3[[#This Row],[Top Parent Account]])</f>
        <v>Rhino Express</v>
      </c>
      <c r="H5527" s="1"/>
    </row>
    <row r="5528" spans="1:8" x14ac:dyDescent="0.35">
      <c r="A5528" s="21"/>
      <c r="B5528" t="s">
        <v>30</v>
      </c>
      <c r="C5528" t="s">
        <v>6</v>
      </c>
      <c r="D5528" t="s">
        <v>318</v>
      </c>
      <c r="F5528" s="1">
        <v>45771</v>
      </c>
      <c r="G5528" t="str">
        <f>IF(Table3[[#This Row],[Top Parent Account]]="",Table3[[#This Row],[Account Legal Name]],Table3[[#This Row],[Top Parent Account]])</f>
        <v>Circulo K México</v>
      </c>
      <c r="H5528" s="1"/>
    </row>
    <row r="5529" spans="1:8" x14ac:dyDescent="0.35">
      <c r="A5529" s="21"/>
      <c r="B5529" t="s">
        <v>38</v>
      </c>
      <c r="C5529" t="s">
        <v>6</v>
      </c>
      <c r="D5529" t="s">
        <v>1843</v>
      </c>
      <c r="F5529" s="1">
        <v>45771</v>
      </c>
      <c r="G5529" t="str">
        <f>IF(Table3[[#This Row],[Top Parent Account]]="",Table3[[#This Row],[Account Legal Name]],Table3[[#This Row],[Top Parent Account]])</f>
        <v>Industria Nacional de Detergentes</v>
      </c>
      <c r="H5529" s="1"/>
    </row>
    <row r="5530" spans="1:8" x14ac:dyDescent="0.35">
      <c r="A5530" s="21"/>
      <c r="B5530" t="s">
        <v>37</v>
      </c>
      <c r="C5530" t="s">
        <v>6</v>
      </c>
      <c r="D5530" t="s">
        <v>1894</v>
      </c>
      <c r="F5530" s="1">
        <v>45771</v>
      </c>
      <c r="G5530" t="str">
        <f>IF(Table3[[#This Row],[Top Parent Account]]="",Table3[[#This Row],[Account Legal Name]],Table3[[#This Row],[Top Parent Account]])</f>
        <v>Frutícola Steval</v>
      </c>
      <c r="H5530" s="1"/>
    </row>
    <row r="5531" spans="1:8" x14ac:dyDescent="0.35">
      <c r="A5531" s="21"/>
      <c r="B5531" t="s">
        <v>970</v>
      </c>
      <c r="C5531" t="s">
        <v>6</v>
      </c>
      <c r="D5531" t="s">
        <v>1634</v>
      </c>
      <c r="F5531" s="1">
        <v>45771</v>
      </c>
      <c r="G5531" t="str">
        <f>IF(Table3[[#This Row],[Top Parent Account]]="",Table3[[#This Row],[Account Legal Name]],Table3[[#This Row],[Top Parent Account]])</f>
        <v>Belleza y Vanidad</v>
      </c>
      <c r="H5531" s="1"/>
    </row>
    <row r="5532" spans="1:8" x14ac:dyDescent="0.35">
      <c r="A5532" s="21"/>
      <c r="B5532" t="s">
        <v>1643</v>
      </c>
      <c r="C5532" t="s">
        <v>22</v>
      </c>
      <c r="D5532" t="s">
        <v>1848</v>
      </c>
      <c r="F5532" s="1">
        <v>45771</v>
      </c>
      <c r="G5532" t="str">
        <f>IF(Table3[[#This Row],[Top Parent Account]]="",Table3[[#This Row],[Account Legal Name]],Table3[[#This Row],[Top Parent Account]])</f>
        <v>Comercializadora Farmacéutica De Chiapas</v>
      </c>
      <c r="H5532" s="1"/>
    </row>
    <row r="5533" spans="1:8" x14ac:dyDescent="0.35">
      <c r="A5533" s="21"/>
      <c r="B5533" t="s">
        <v>30</v>
      </c>
      <c r="C5533" t="s">
        <v>6</v>
      </c>
      <c r="D5533" t="s">
        <v>85</v>
      </c>
      <c r="F5533" s="1">
        <v>45771</v>
      </c>
      <c r="G5533" t="str">
        <f>IF(Table3[[#This Row],[Top Parent Account]]="",Table3[[#This Row],[Account Legal Name]],Table3[[#This Row],[Top Parent Account]])</f>
        <v>EPL Propack de México</v>
      </c>
      <c r="H5533" s="1"/>
    </row>
    <row r="5534" spans="1:8" x14ac:dyDescent="0.35">
      <c r="A5534" s="21"/>
      <c r="B5534" t="s">
        <v>32</v>
      </c>
      <c r="C5534" t="s">
        <v>6</v>
      </c>
      <c r="D5534" t="s">
        <v>316</v>
      </c>
      <c r="F5534" s="1">
        <v>45771</v>
      </c>
      <c r="G5534" t="str">
        <f>IF(Table3[[#This Row],[Top Parent Account]]="",Table3[[#This Row],[Account Legal Name]],Table3[[#This Row],[Top Parent Account]])</f>
        <v>Interland Transport</v>
      </c>
      <c r="H5534" s="1"/>
    </row>
    <row r="5535" spans="1:8" x14ac:dyDescent="0.35">
      <c r="A5535" s="21"/>
      <c r="B5535" t="s">
        <v>192</v>
      </c>
      <c r="C5535" t="s">
        <v>49</v>
      </c>
      <c r="D5535" t="s">
        <v>679</v>
      </c>
      <c r="F5535" s="1">
        <v>45771</v>
      </c>
      <c r="G5535" t="str">
        <f>IF(Table3[[#This Row],[Top Parent Account]]="",Table3[[#This Row],[Account Legal Name]],Table3[[#This Row],[Top Parent Account]])</f>
        <v>Grupo Maya Protección Personal Privada y Empresarial</v>
      </c>
      <c r="H5535" s="1"/>
    </row>
    <row r="5536" spans="1:8" x14ac:dyDescent="0.35">
      <c r="A5536" s="21"/>
      <c r="B5536" t="s">
        <v>375</v>
      </c>
      <c r="C5536" t="s">
        <v>6</v>
      </c>
      <c r="D5536" t="s">
        <v>1846</v>
      </c>
      <c r="F5536" s="1">
        <v>45771</v>
      </c>
      <c r="G5536" t="str">
        <f>IF(Table3[[#This Row],[Top Parent Account]]="",Table3[[#This Row],[Account Legal Name]],Table3[[#This Row],[Top Parent Account]])</f>
        <v>Gas Metropolitano</v>
      </c>
      <c r="H5536" s="1"/>
    </row>
    <row r="5537" spans="1:8" x14ac:dyDescent="0.35">
      <c r="A5537" s="21"/>
      <c r="B5537" t="s">
        <v>114</v>
      </c>
      <c r="C5537" t="s">
        <v>6</v>
      </c>
      <c r="D5537" t="s">
        <v>1844</v>
      </c>
      <c r="F5537" s="1">
        <v>45771</v>
      </c>
      <c r="G5537" t="str">
        <f>IF(Table3[[#This Row],[Top Parent Account]]="",Table3[[#This Row],[Account Legal Name]],Table3[[#This Row],[Top Parent Account]])</f>
        <v>Mayekawa de México</v>
      </c>
      <c r="H5537" s="1"/>
    </row>
    <row r="5538" spans="1:8" x14ac:dyDescent="0.35">
      <c r="A5538" s="21"/>
      <c r="B5538" t="s">
        <v>84</v>
      </c>
      <c r="C5538" t="s">
        <v>1845</v>
      </c>
      <c r="D5538" t="s">
        <v>790</v>
      </c>
      <c r="F5538" s="1">
        <v>45771</v>
      </c>
      <c r="G5538" t="str">
        <f>IF(Table3[[#This Row],[Top Parent Account]]="",Table3[[#This Row],[Account Legal Name]],Table3[[#This Row],[Top Parent Account]])</f>
        <v>ALIMENTOS INTERNACIONAL MARLO</v>
      </c>
      <c r="H5538" s="1"/>
    </row>
    <row r="5539" spans="1:8" x14ac:dyDescent="0.35">
      <c r="A5539" s="21"/>
      <c r="B5539" t="s">
        <v>1511</v>
      </c>
      <c r="C5539" t="s">
        <v>22</v>
      </c>
      <c r="D5539" t="s">
        <v>1895</v>
      </c>
      <c r="F5539" s="1">
        <v>45771</v>
      </c>
      <c r="G5539" t="str">
        <f>IF(Table3[[#This Row],[Top Parent Account]]="",Table3[[#This Row],[Account Legal Name]],Table3[[#This Row],[Top Parent Account]])</f>
        <v>Casa Rivero</v>
      </c>
      <c r="H5539" s="1"/>
    </row>
    <row r="5540" spans="1:8" x14ac:dyDescent="0.35">
      <c r="A5540" s="21"/>
      <c r="B5540" t="s">
        <v>116</v>
      </c>
      <c r="C5540" t="s">
        <v>6</v>
      </c>
      <c r="D5540" t="s">
        <v>409</v>
      </c>
      <c r="F5540" s="1">
        <v>45771</v>
      </c>
      <c r="G5540" t="str">
        <f>IF(Table3[[#This Row],[Top Parent Account]]="",Table3[[#This Row],[Account Legal Name]],Table3[[#This Row],[Top Parent Account]])</f>
        <v>Ekin México</v>
      </c>
      <c r="H5540" s="1"/>
    </row>
    <row r="5541" spans="1:8" x14ac:dyDescent="0.35">
      <c r="A5541" s="21"/>
      <c r="B5541" t="s">
        <v>1131</v>
      </c>
      <c r="C5541" t="s">
        <v>22</v>
      </c>
      <c r="D5541" t="s">
        <v>798</v>
      </c>
      <c r="E5541" t="s">
        <v>801</v>
      </c>
      <c r="F5541" s="1">
        <v>45771</v>
      </c>
      <c r="G5541" t="str">
        <f>IF(Table3[[#This Row],[Top Parent Account]]="",Table3[[#This Row],[Account Legal Name]],Table3[[#This Row],[Top Parent Account]])</f>
        <v>Carnival de México</v>
      </c>
      <c r="H5541" s="1"/>
    </row>
    <row r="5542" spans="1:8" x14ac:dyDescent="0.35">
      <c r="A5542" s="21"/>
      <c r="B5542" t="s">
        <v>589</v>
      </c>
      <c r="C5542" t="s">
        <v>6</v>
      </c>
      <c r="D5542" t="s">
        <v>1855</v>
      </c>
      <c r="F5542" s="1">
        <v>45771</v>
      </c>
      <c r="G5542" t="str">
        <f>IF(Table3[[#This Row],[Top Parent Account]]="",Table3[[#This Row],[Account Legal Name]],Table3[[#This Row],[Top Parent Account]])</f>
        <v>Muva Manufacturing</v>
      </c>
      <c r="H5542" s="1"/>
    </row>
    <row r="5543" spans="1:8" x14ac:dyDescent="0.35">
      <c r="A5543" s="21"/>
      <c r="B5543" t="s">
        <v>989</v>
      </c>
      <c r="C5543" t="s">
        <v>6</v>
      </c>
      <c r="D5543" t="s">
        <v>1847</v>
      </c>
      <c r="F5543" s="1">
        <v>45771</v>
      </c>
      <c r="G5543" t="str">
        <f>IF(Table3[[#This Row],[Top Parent Account]]="",Table3[[#This Row],[Account Legal Name]],Table3[[#This Row],[Top Parent Account]])</f>
        <v>China Depot</v>
      </c>
      <c r="H5543" s="1"/>
    </row>
    <row r="5544" spans="1:8" x14ac:dyDescent="0.35">
      <c r="A5544" s="21"/>
      <c r="B5544" t="s">
        <v>26</v>
      </c>
      <c r="C5544" t="s">
        <v>6</v>
      </c>
      <c r="D5544" t="s">
        <v>433</v>
      </c>
      <c r="F5544" s="1">
        <v>45771</v>
      </c>
      <c r="G5544" t="str">
        <f>IF(Table3[[#This Row],[Top Parent Account]]="",Table3[[#This Row],[Account Legal Name]],Table3[[#This Row],[Top Parent Account]])</f>
        <v>Usg México</v>
      </c>
      <c r="H5544" s="1"/>
    </row>
    <row r="5545" spans="1:8" x14ac:dyDescent="0.35">
      <c r="A5545" s="21"/>
      <c r="B5545" t="s">
        <v>18</v>
      </c>
      <c r="C5545" t="s">
        <v>6</v>
      </c>
      <c r="D5545" t="s">
        <v>984</v>
      </c>
      <c r="F5545" s="1">
        <v>45771</v>
      </c>
      <c r="G5545" t="str">
        <f>IF(Table3[[#This Row],[Top Parent Account]]="",Table3[[#This Row],[Account Legal Name]],Table3[[#This Row],[Top Parent Account]])</f>
        <v>Aceros innova</v>
      </c>
      <c r="H5545" s="1"/>
    </row>
    <row r="5546" spans="1:8" x14ac:dyDescent="0.35">
      <c r="A5546" s="21"/>
      <c r="B5546" t="s">
        <v>43</v>
      </c>
      <c r="C5546" t="s">
        <v>6</v>
      </c>
      <c r="D5546" t="s">
        <v>761</v>
      </c>
      <c r="F5546" s="1">
        <v>45771</v>
      </c>
      <c r="G5546" t="str">
        <f>IF(Table3[[#This Row],[Top Parent Account]]="",Table3[[#This Row],[Account Legal Name]],Table3[[#This Row],[Top Parent Account]])</f>
        <v>CRM SYNERGIES MÉXICO S.A. DE C.V.</v>
      </c>
      <c r="H5546" s="1"/>
    </row>
    <row r="5547" spans="1:8" x14ac:dyDescent="0.35">
      <c r="A5547" s="21"/>
      <c r="B5547" t="s">
        <v>258</v>
      </c>
      <c r="C5547" t="s">
        <v>6</v>
      </c>
      <c r="D5547" t="s">
        <v>1850</v>
      </c>
      <c r="F5547" s="1">
        <v>45771</v>
      </c>
      <c r="G5547" t="str">
        <f>IF(Table3[[#This Row],[Top Parent Account]]="",Table3[[#This Row],[Account Legal Name]],Table3[[#This Row],[Top Parent Account]])</f>
        <v>Constructora Necaxa</v>
      </c>
      <c r="H5547" s="1"/>
    </row>
    <row r="5548" spans="1:8" x14ac:dyDescent="0.35">
      <c r="A5548" s="21"/>
      <c r="B5548" t="s">
        <v>932</v>
      </c>
      <c r="C5548" t="s">
        <v>1851</v>
      </c>
      <c r="D5548" t="s">
        <v>1852</v>
      </c>
      <c r="F5548" s="1">
        <v>45771</v>
      </c>
      <c r="G5548" t="str">
        <f>IF(Table3[[#This Row],[Top Parent Account]]="",Table3[[#This Row],[Account Legal Name]],Table3[[#This Row],[Top Parent Account]])</f>
        <v>Grupo Aluminio, Vidrio y Construcción</v>
      </c>
      <c r="H5548" s="1"/>
    </row>
    <row r="5549" spans="1:8" x14ac:dyDescent="0.35">
      <c r="A5549" s="21"/>
      <c r="B5549" t="s">
        <v>23</v>
      </c>
      <c r="C5549" t="s">
        <v>6</v>
      </c>
      <c r="D5549" t="s">
        <v>73</v>
      </c>
      <c r="F5549" s="1">
        <v>45771</v>
      </c>
      <c r="G5549" t="str">
        <f>IF(Table3[[#This Row],[Top Parent Account]]="",Table3[[#This Row],[Account Legal Name]],Table3[[#This Row],[Top Parent Account]])</f>
        <v>IPQ PLASTIQ</v>
      </c>
      <c r="H5549" s="1"/>
    </row>
    <row r="5550" spans="1:8" x14ac:dyDescent="0.35">
      <c r="A5550" s="21"/>
      <c r="B5550" t="s">
        <v>70</v>
      </c>
      <c r="C5550" t="s">
        <v>6</v>
      </c>
      <c r="D5550" t="s">
        <v>1897</v>
      </c>
      <c r="F5550" s="1">
        <v>45771</v>
      </c>
      <c r="G5550" t="str">
        <f>IF(Table3[[#This Row],[Top Parent Account]]="",Table3[[#This Row],[Account Legal Name]],Table3[[#This Row],[Top Parent Account]])</f>
        <v>HUMAN CORPORIS</v>
      </c>
      <c r="H5550" s="1"/>
    </row>
    <row r="5551" spans="1:8" x14ac:dyDescent="0.35">
      <c r="A5551" s="21"/>
      <c r="B5551" t="s">
        <v>1643</v>
      </c>
      <c r="C5551" t="s">
        <v>6</v>
      </c>
      <c r="D5551" t="s">
        <v>1848</v>
      </c>
      <c r="F5551" s="1">
        <v>45771</v>
      </c>
      <c r="G5551" t="str">
        <f>IF(Table3[[#This Row],[Top Parent Account]]="",Table3[[#This Row],[Account Legal Name]],Table3[[#This Row],[Top Parent Account]])</f>
        <v>Comercializadora Farmacéutica De Chiapas</v>
      </c>
      <c r="H5551" s="1"/>
    </row>
    <row r="5552" spans="1:8" x14ac:dyDescent="0.35">
      <c r="A5552" s="21"/>
      <c r="B5552" t="s">
        <v>88</v>
      </c>
      <c r="C5552" t="s">
        <v>6</v>
      </c>
      <c r="D5552" t="s">
        <v>1849</v>
      </c>
      <c r="F5552" s="1">
        <v>45771</v>
      </c>
      <c r="G5552" t="str">
        <f>IF(Table3[[#This Row],[Top Parent Account]]="",Table3[[#This Row],[Account Legal Name]],Table3[[#This Row],[Top Parent Account]])</f>
        <v>Transportes RAM-MED</v>
      </c>
      <c r="H5552" s="1"/>
    </row>
    <row r="5553" spans="1:8" x14ac:dyDescent="0.35">
      <c r="A5553" s="21"/>
      <c r="B5553" t="s">
        <v>28</v>
      </c>
      <c r="C5553" t="s">
        <v>6</v>
      </c>
      <c r="D5553" t="s">
        <v>1896</v>
      </c>
      <c r="F5553" s="1">
        <v>45771</v>
      </c>
      <c r="G5553" t="str">
        <f>IF(Table3[[#This Row],[Top Parent Account]]="",Table3[[#This Row],[Account Legal Name]],Table3[[#This Row],[Top Parent Account]])</f>
        <v>ALUMINIO VIDRIO Y ACABADOS</v>
      </c>
      <c r="H5553" s="1"/>
    </row>
    <row r="5554" spans="1:8" x14ac:dyDescent="0.35">
      <c r="A5554" s="21"/>
      <c r="B5554" t="s">
        <v>1511</v>
      </c>
      <c r="C5554" t="s">
        <v>22</v>
      </c>
      <c r="D5554" t="s">
        <v>1681</v>
      </c>
      <c r="F5554" s="1">
        <v>45771</v>
      </c>
      <c r="G5554" t="str">
        <f>IF(Table3[[#This Row],[Top Parent Account]]="",Table3[[#This Row],[Account Legal Name]],Table3[[#This Row],[Top Parent Account]])</f>
        <v>K-FLEX DE MEXICO</v>
      </c>
      <c r="H5554" s="1"/>
    </row>
    <row r="5555" spans="1:8" x14ac:dyDescent="0.35">
      <c r="A5555" s="21"/>
      <c r="B5555" t="s">
        <v>15</v>
      </c>
      <c r="C5555" t="s">
        <v>6</v>
      </c>
      <c r="D5555" t="s">
        <v>621</v>
      </c>
      <c r="F5555" s="1">
        <v>45771</v>
      </c>
      <c r="G5555" t="str">
        <f>IF(Table3[[#This Row],[Top Parent Account]]="",Table3[[#This Row],[Account Legal Name]],Table3[[#This Row],[Top Parent Account]])</f>
        <v>Parks Servicios</v>
      </c>
      <c r="H5555" s="1"/>
    </row>
    <row r="5556" spans="1:8" x14ac:dyDescent="0.35">
      <c r="A5556" s="21"/>
      <c r="B5556" t="s">
        <v>23</v>
      </c>
      <c r="C5556" t="s">
        <v>6</v>
      </c>
      <c r="D5556" t="s">
        <v>1898</v>
      </c>
      <c r="F5556" s="1">
        <v>45771</v>
      </c>
      <c r="G5556" t="str">
        <f>IF(Table3[[#This Row],[Top Parent Account]]="",Table3[[#This Row],[Account Legal Name]],Table3[[#This Row],[Top Parent Account]])</f>
        <v>TRASNPORTES LORJA</v>
      </c>
      <c r="H5556" s="1"/>
    </row>
    <row r="5557" spans="1:8" x14ac:dyDescent="0.35">
      <c r="A5557" s="21"/>
      <c r="B5557" t="s">
        <v>28</v>
      </c>
      <c r="C5557" t="s">
        <v>6</v>
      </c>
      <c r="D5557" t="s">
        <v>921</v>
      </c>
      <c r="F5557" s="1">
        <v>45771</v>
      </c>
      <c r="G5557" t="str">
        <f>IF(Table3[[#This Row],[Top Parent Account]]="",Table3[[#This Row],[Account Legal Name]],Table3[[#This Row],[Top Parent Account]])</f>
        <v>INDUSTRIAL MINERA SINALOA</v>
      </c>
      <c r="H5557" s="1"/>
    </row>
    <row r="5558" spans="1:8" x14ac:dyDescent="0.35">
      <c r="A5558" s="21"/>
      <c r="B5558" t="s">
        <v>14</v>
      </c>
      <c r="C5558" t="s">
        <v>6</v>
      </c>
      <c r="D5558" t="s">
        <v>562</v>
      </c>
      <c r="F5558" s="1">
        <v>45770</v>
      </c>
      <c r="G5558" t="str">
        <f>IF(Table3[[#This Row],[Top Parent Account]]="",Table3[[#This Row],[Account Legal Name]],Table3[[#This Row],[Top Parent Account]])</f>
        <v>Translogistics L&amp;M De Zacatecas</v>
      </c>
      <c r="H5558" s="1"/>
    </row>
    <row r="5559" spans="1:8" x14ac:dyDescent="0.35">
      <c r="A5559" s="21"/>
      <c r="B5559" t="s">
        <v>208</v>
      </c>
      <c r="C5559" t="s">
        <v>6</v>
      </c>
      <c r="D5559" t="s">
        <v>1853</v>
      </c>
      <c r="F5559" s="1">
        <v>45770</v>
      </c>
      <c r="G5559" t="str">
        <f>IF(Table3[[#This Row],[Top Parent Account]]="",Table3[[#This Row],[Account Legal Name]],Table3[[#This Row],[Top Parent Account]])</f>
        <v>Gla International Forwarding</v>
      </c>
      <c r="H5559" s="1"/>
    </row>
    <row r="5560" spans="1:8" x14ac:dyDescent="0.35">
      <c r="A5560" s="21"/>
      <c r="B5560" t="s">
        <v>989</v>
      </c>
      <c r="C5560" t="s">
        <v>6</v>
      </c>
      <c r="D5560" t="s">
        <v>611</v>
      </c>
      <c r="F5560" s="1">
        <v>45770</v>
      </c>
      <c r="G5560" t="str">
        <f>IF(Table3[[#This Row],[Top Parent Account]]="",Table3[[#This Row],[Account Legal Name]],Table3[[#This Row],[Top Parent Account]])</f>
        <v>Grupo Funsam</v>
      </c>
      <c r="H5560" s="1"/>
    </row>
    <row r="5561" spans="1:8" x14ac:dyDescent="0.35">
      <c r="A5561" s="21"/>
      <c r="B5561" t="s">
        <v>1899</v>
      </c>
      <c r="C5561" t="s">
        <v>6</v>
      </c>
      <c r="D5561" t="s">
        <v>1900</v>
      </c>
      <c r="F5561" s="1">
        <v>45770</v>
      </c>
      <c r="G5561" t="str">
        <f>IF(Table3[[#This Row],[Top Parent Account]]="",Table3[[#This Row],[Account Legal Name]],Table3[[#This Row],[Top Parent Account]])</f>
        <v>Aluminios y derivados Arma</v>
      </c>
      <c r="H5561" s="1"/>
    </row>
    <row r="5562" spans="1:8" x14ac:dyDescent="0.35">
      <c r="A5562" s="21"/>
      <c r="B5562" t="s">
        <v>29</v>
      </c>
      <c r="C5562" t="s">
        <v>6</v>
      </c>
      <c r="D5562" t="s">
        <v>935</v>
      </c>
      <c r="F5562" s="1">
        <v>45770</v>
      </c>
      <c r="G5562" t="str">
        <f>IF(Table3[[#This Row],[Top Parent Account]]="",Table3[[#This Row],[Account Legal Name]],Table3[[#This Row],[Top Parent Account]])</f>
        <v>TDA Telecomunicaciones</v>
      </c>
      <c r="H5562" s="1"/>
    </row>
    <row r="5563" spans="1:8" x14ac:dyDescent="0.35">
      <c r="A5563" s="21"/>
      <c r="B5563" t="s">
        <v>375</v>
      </c>
      <c r="C5563" t="s">
        <v>6</v>
      </c>
      <c r="D5563" t="s">
        <v>1632</v>
      </c>
      <c r="F5563" s="1">
        <v>45770</v>
      </c>
      <c r="G5563" t="str">
        <f>IF(Table3[[#This Row],[Top Parent Account]]="",Table3[[#This Row],[Account Legal Name]],Table3[[#This Row],[Top Parent Account]])</f>
        <v>EQUIPOS DINAMICOS SOTO</v>
      </c>
      <c r="H5563" s="1"/>
    </row>
    <row r="5564" spans="1:8" x14ac:dyDescent="0.35">
      <c r="A5564" s="21"/>
      <c r="B5564" t="s">
        <v>18</v>
      </c>
      <c r="C5564" t="s">
        <v>6</v>
      </c>
      <c r="D5564" t="s">
        <v>793</v>
      </c>
      <c r="F5564" s="1">
        <v>45770</v>
      </c>
      <c r="G5564" t="str">
        <f>IF(Table3[[#This Row],[Top Parent Account]]="",Table3[[#This Row],[Account Legal Name]],Table3[[#This Row],[Top Parent Account]])</f>
        <v>FLECOSA LOGISTIC</v>
      </c>
      <c r="H5564" s="1"/>
    </row>
    <row r="5565" spans="1:8" x14ac:dyDescent="0.35">
      <c r="A5565" s="21"/>
      <c r="B5565" t="s">
        <v>18</v>
      </c>
      <c r="C5565" t="s">
        <v>6</v>
      </c>
      <c r="D5565" t="s">
        <v>662</v>
      </c>
      <c r="F5565" s="1">
        <v>45770</v>
      </c>
      <c r="G5565" t="str">
        <f>IF(Table3[[#This Row],[Top Parent Account]]="",Table3[[#This Row],[Account Legal Name]],Table3[[#This Row],[Top Parent Account]])</f>
        <v>Integra Tableros y Gabinetes</v>
      </c>
      <c r="H5565" s="1"/>
    </row>
    <row r="5566" spans="1:8" x14ac:dyDescent="0.35">
      <c r="A5566" s="21"/>
      <c r="B5566" t="s">
        <v>37</v>
      </c>
      <c r="C5566" t="s">
        <v>6</v>
      </c>
      <c r="D5566" t="s">
        <v>1901</v>
      </c>
      <c r="F5566" s="1">
        <v>45770</v>
      </c>
      <c r="G5566" t="str">
        <f>IF(Table3[[#This Row],[Top Parent Account]]="",Table3[[#This Row],[Account Legal Name]],Table3[[#This Row],[Top Parent Account]])</f>
        <v>Ejido Torrentera</v>
      </c>
      <c r="H5566" s="1"/>
    </row>
    <row r="5567" spans="1:8" x14ac:dyDescent="0.35">
      <c r="A5567" s="21"/>
      <c r="B5567" t="s">
        <v>38</v>
      </c>
      <c r="C5567" t="s">
        <v>6</v>
      </c>
      <c r="D5567" t="s">
        <v>608</v>
      </c>
      <c r="F5567" s="1">
        <v>45770</v>
      </c>
      <c r="G5567" t="str">
        <f>IF(Table3[[#This Row],[Top Parent Account]]="",Table3[[#This Row],[Account Legal Name]],Table3[[#This Row],[Top Parent Account]])</f>
        <v>Pet De Occidente</v>
      </c>
      <c r="H5567" s="1"/>
    </row>
    <row r="5568" spans="1:8" x14ac:dyDescent="0.35">
      <c r="A5568" s="21"/>
      <c r="B5568" t="s">
        <v>739</v>
      </c>
      <c r="C5568" t="s">
        <v>22</v>
      </c>
      <c r="D5568" t="s">
        <v>1598</v>
      </c>
      <c r="E5568" t="s">
        <v>237</v>
      </c>
      <c r="F5568" s="1">
        <v>45770</v>
      </c>
      <c r="G5568" t="str">
        <f>IF(Table3[[#This Row],[Top Parent Account]]="",Table3[[#This Row],[Account Legal Name]],Table3[[#This Row],[Top Parent Account]])</f>
        <v>Premium Restaurant Brands</v>
      </c>
      <c r="H5568" s="1"/>
    </row>
    <row r="5569" spans="1:8" x14ac:dyDescent="0.35">
      <c r="A5569" s="21"/>
      <c r="B5569" t="s">
        <v>820</v>
      </c>
      <c r="C5569" t="s">
        <v>6</v>
      </c>
      <c r="D5569" t="s">
        <v>1275</v>
      </c>
      <c r="F5569" s="1">
        <v>45770</v>
      </c>
      <c r="G5569" t="str">
        <f>IF(Table3[[#This Row],[Top Parent Account]]="",Table3[[#This Row],[Account Legal Name]],Table3[[#This Row],[Top Parent Account]])</f>
        <v>Odis Asversa</v>
      </c>
      <c r="H5569" s="1"/>
    </row>
    <row r="5570" spans="1:8" x14ac:dyDescent="0.35">
      <c r="A5570" s="21"/>
      <c r="B5570" t="s">
        <v>39</v>
      </c>
      <c r="C5570" t="s">
        <v>1856</v>
      </c>
      <c r="D5570" t="s">
        <v>417</v>
      </c>
      <c r="E5570" t="s">
        <v>2004</v>
      </c>
      <c r="F5570" s="1">
        <v>45770</v>
      </c>
      <c r="G5570" t="str">
        <f>IF(Table3[[#This Row],[Top Parent Account]]="",Table3[[#This Row],[Account Legal Name]],Table3[[#This Row],[Top Parent Account]])</f>
        <v>Mobinsa</v>
      </c>
      <c r="H5570" s="1"/>
    </row>
    <row r="5571" spans="1:8" x14ac:dyDescent="0.35">
      <c r="A5571" s="21"/>
      <c r="B5571" t="s">
        <v>208</v>
      </c>
      <c r="C5571" t="s">
        <v>6</v>
      </c>
      <c r="D5571" t="s">
        <v>1854</v>
      </c>
      <c r="F5571" s="1">
        <v>45770</v>
      </c>
      <c r="G5571" t="str">
        <f>IF(Table3[[#This Row],[Top Parent Account]]="",Table3[[#This Row],[Account Legal Name]],Table3[[#This Row],[Top Parent Account]])</f>
        <v>Desarrollo Industrial Logistico Mazatlan</v>
      </c>
      <c r="H5571" s="1"/>
    </row>
    <row r="5572" spans="1:8" x14ac:dyDescent="0.35">
      <c r="A5572" s="21"/>
      <c r="B5572" t="s">
        <v>1511</v>
      </c>
      <c r="C5572" t="s">
        <v>22</v>
      </c>
      <c r="D5572" t="s">
        <v>1512</v>
      </c>
      <c r="F5572" s="1">
        <v>45770</v>
      </c>
      <c r="G5572" t="str">
        <f>IF(Table3[[#This Row],[Top Parent Account]]="",Table3[[#This Row],[Account Legal Name]],Table3[[#This Row],[Top Parent Account]])</f>
        <v>Auto Camiones Universidad</v>
      </c>
      <c r="H5572" s="1"/>
    </row>
    <row r="5573" spans="1:8" x14ac:dyDescent="0.35">
      <c r="A5573" s="21"/>
      <c r="B5573" t="s">
        <v>23</v>
      </c>
      <c r="C5573" t="s">
        <v>6</v>
      </c>
      <c r="D5573" t="s">
        <v>1902</v>
      </c>
      <c r="F5573" s="1">
        <v>45770</v>
      </c>
      <c r="G5573" t="str">
        <f>IF(Table3[[#This Row],[Top Parent Account]]="",Table3[[#This Row],[Account Legal Name]],Table3[[#This Row],[Top Parent Account]])</f>
        <v>TRUE BRANDS</v>
      </c>
      <c r="H5573" s="1"/>
    </row>
    <row r="5574" spans="1:8" x14ac:dyDescent="0.35">
      <c r="A5574" s="21"/>
      <c r="B5574" t="s">
        <v>43</v>
      </c>
      <c r="C5574" t="s">
        <v>6</v>
      </c>
      <c r="D5574" t="s">
        <v>552</v>
      </c>
      <c r="F5574" s="1">
        <v>45770</v>
      </c>
      <c r="G5574" t="str">
        <f>IF(Table3[[#This Row],[Top Parent Account]]="",Table3[[#This Row],[Account Legal Name]],Table3[[#This Row],[Top Parent Account]])</f>
        <v>Productos De Plástico Carcal</v>
      </c>
      <c r="H5574" s="1"/>
    </row>
    <row r="5575" spans="1:8" x14ac:dyDescent="0.35">
      <c r="A5575" s="21"/>
      <c r="B5575" t="s">
        <v>39</v>
      </c>
      <c r="C5575" t="s">
        <v>57</v>
      </c>
      <c r="D5575" t="s">
        <v>1903</v>
      </c>
      <c r="F5575" s="1">
        <v>45770</v>
      </c>
      <c r="G5575" t="str">
        <f>IF(Table3[[#This Row],[Top Parent Account]]="",Table3[[#This Row],[Account Legal Name]],Table3[[#This Row],[Top Parent Account]])</f>
        <v>EWS</v>
      </c>
      <c r="H5575" s="1"/>
    </row>
    <row r="5576" spans="1:8" x14ac:dyDescent="0.35">
      <c r="A5576" s="21"/>
      <c r="B5576" t="s">
        <v>10</v>
      </c>
      <c r="C5576" t="s">
        <v>6</v>
      </c>
      <c r="D5576" t="s">
        <v>182</v>
      </c>
      <c r="F5576" s="1">
        <v>45770</v>
      </c>
      <c r="G5576" t="str">
        <f>IF(Table3[[#This Row],[Top Parent Account]]="",Table3[[#This Row],[Account Legal Name]],Table3[[#This Row],[Top Parent Account]])</f>
        <v>Dipol Automotive</v>
      </c>
      <c r="H5576" s="1"/>
    </row>
    <row r="5577" spans="1:8" x14ac:dyDescent="0.35">
      <c r="A5577" s="21"/>
      <c r="B5577" t="s">
        <v>172</v>
      </c>
      <c r="C5577" t="s">
        <v>6</v>
      </c>
      <c r="D5577" t="s">
        <v>780</v>
      </c>
      <c r="F5577" s="1">
        <v>45770</v>
      </c>
      <c r="G5577" t="str">
        <f>IF(Table3[[#This Row],[Top Parent Account]]="",Table3[[#This Row],[Account Legal Name]],Table3[[#This Row],[Top Parent Account]])</f>
        <v>Grupo Novaliv</v>
      </c>
      <c r="H5577" s="1"/>
    </row>
    <row r="5578" spans="1:8" x14ac:dyDescent="0.35">
      <c r="A5578" s="21"/>
      <c r="B5578" t="s">
        <v>84</v>
      </c>
      <c r="C5578" t="s">
        <v>218</v>
      </c>
      <c r="D5578" t="s">
        <v>310</v>
      </c>
      <c r="F5578" s="1">
        <v>45770</v>
      </c>
      <c r="G5578" t="str">
        <f>IF(Table3[[#This Row],[Top Parent Account]]="",Table3[[#This Row],[Account Legal Name]],Table3[[#This Row],[Top Parent Account]])</f>
        <v>Cubiertos y Productos de Plástico SMMonterrey</v>
      </c>
      <c r="H5578" s="1"/>
    </row>
    <row r="5579" spans="1:8" x14ac:dyDescent="0.35">
      <c r="A5579" s="21"/>
      <c r="B5579" t="s">
        <v>84</v>
      </c>
      <c r="C5579" t="s">
        <v>1858</v>
      </c>
      <c r="D5579" t="s">
        <v>795</v>
      </c>
      <c r="F5579" s="1">
        <v>45770</v>
      </c>
      <c r="G5579" t="str">
        <f>IF(Table3[[#This Row],[Top Parent Account]]="",Table3[[#This Row],[Account Legal Name]],Table3[[#This Row],[Top Parent Account]])</f>
        <v>Hari Masa</v>
      </c>
      <c r="H5579" s="1"/>
    </row>
    <row r="5580" spans="1:8" x14ac:dyDescent="0.35">
      <c r="A5580" s="21"/>
      <c r="B5580" t="s">
        <v>84</v>
      </c>
      <c r="C5580" t="s">
        <v>1859</v>
      </c>
      <c r="D5580" t="s">
        <v>118</v>
      </c>
      <c r="F5580" s="1">
        <v>45770</v>
      </c>
      <c r="G5580" t="str">
        <f>IF(Table3[[#This Row],[Top Parent Account]]="",Table3[[#This Row],[Account Legal Name]],Table3[[#This Row],[Top Parent Account]])</f>
        <v>Logística y Soluciones Roan</v>
      </c>
      <c r="H5580" s="1"/>
    </row>
    <row r="5581" spans="1:8" x14ac:dyDescent="0.35">
      <c r="A5581" s="21"/>
      <c r="B5581" t="s">
        <v>84</v>
      </c>
      <c r="C5581" t="s">
        <v>1860</v>
      </c>
      <c r="D5581" t="s">
        <v>714</v>
      </c>
      <c r="F5581" s="1">
        <v>45770</v>
      </c>
      <c r="G5581" t="str">
        <f>IF(Table3[[#This Row],[Top Parent Account]]="",Table3[[#This Row],[Account Legal Name]],Table3[[#This Row],[Top Parent Account]])</f>
        <v>Tr Derivados De Maiz</v>
      </c>
      <c r="H5581" s="1"/>
    </row>
    <row r="5582" spans="1:8" x14ac:dyDescent="0.35">
      <c r="A5582" s="21"/>
      <c r="B5582" t="s">
        <v>84</v>
      </c>
      <c r="C5582" t="s">
        <v>1861</v>
      </c>
      <c r="D5582" t="s">
        <v>1862</v>
      </c>
      <c r="F5582" s="1">
        <v>45770</v>
      </c>
      <c r="G5582" t="str">
        <f>IF(Table3[[#This Row],[Top Parent Account]]="",Table3[[#This Row],[Account Legal Name]],Table3[[#This Row],[Top Parent Account]])</f>
        <v>DESPERDICIOS INDUSTRIALES LOZANO, S.A. DE C.V.</v>
      </c>
      <c r="H5582" s="1"/>
    </row>
    <row r="5583" spans="1:8" x14ac:dyDescent="0.35">
      <c r="A5583" s="21"/>
      <c r="B5583" t="s">
        <v>70</v>
      </c>
      <c r="C5583" t="s">
        <v>6</v>
      </c>
      <c r="D5583" t="s">
        <v>778</v>
      </c>
      <c r="F5583" s="1">
        <v>45770</v>
      </c>
      <c r="G5583" t="str">
        <f>IF(Table3[[#This Row],[Top Parent Account]]="",Table3[[#This Row],[Account Legal Name]],Table3[[#This Row],[Top Parent Account]])</f>
        <v>Karl Storz Endoscopia México</v>
      </c>
      <c r="H5583" s="1"/>
    </row>
    <row r="5584" spans="1:8" x14ac:dyDescent="0.35">
      <c r="A5584" s="21"/>
      <c r="B5584" t="s">
        <v>590</v>
      </c>
      <c r="C5584" t="s">
        <v>6</v>
      </c>
      <c r="D5584" t="s">
        <v>1904</v>
      </c>
      <c r="F5584" s="1">
        <v>45770</v>
      </c>
      <c r="G5584" t="str">
        <f>IF(Table3[[#This Row],[Top Parent Account]]="",Table3[[#This Row],[Account Legal Name]],Table3[[#This Row],[Top Parent Account]])</f>
        <v>Ematec</v>
      </c>
      <c r="H5584" s="1"/>
    </row>
    <row r="5585" spans="1:8" x14ac:dyDescent="0.35">
      <c r="A5585" s="21"/>
      <c r="B5585" t="s">
        <v>880</v>
      </c>
      <c r="C5585" t="s">
        <v>1905</v>
      </c>
      <c r="D5585" t="s">
        <v>59</v>
      </c>
      <c r="F5585" s="1">
        <v>45770</v>
      </c>
      <c r="G5585" t="str">
        <f>IF(Table3[[#This Row],[Top Parent Account]]="",Table3[[#This Row],[Account Legal Name]],Table3[[#This Row],[Top Parent Account]])</f>
        <v>Usk Internacional</v>
      </c>
      <c r="H5585" s="1"/>
    </row>
    <row r="5586" spans="1:8" x14ac:dyDescent="0.35">
      <c r="A5586" s="21"/>
      <c r="B5586" t="s">
        <v>54</v>
      </c>
      <c r="C5586" t="s">
        <v>1905</v>
      </c>
      <c r="D5586" t="s">
        <v>59</v>
      </c>
      <c r="F5586" s="1">
        <v>45770</v>
      </c>
      <c r="G5586" t="str">
        <f>IF(Table3[[#This Row],[Top Parent Account]]="",Table3[[#This Row],[Account Legal Name]],Table3[[#This Row],[Top Parent Account]])</f>
        <v>Usk Internacional</v>
      </c>
      <c r="H5586" s="1"/>
    </row>
    <row r="5587" spans="1:8" x14ac:dyDescent="0.35">
      <c r="A5587" s="21"/>
      <c r="B5587" t="s">
        <v>70</v>
      </c>
      <c r="C5587" t="s">
        <v>6</v>
      </c>
      <c r="D5587" t="s">
        <v>317</v>
      </c>
      <c r="F5587" s="1">
        <v>45770</v>
      </c>
      <c r="G5587" t="str">
        <f>IF(Table3[[#This Row],[Top Parent Account]]="",Table3[[#This Row],[Account Legal Name]],Table3[[#This Row],[Top Parent Account]])</f>
        <v>B Braun Aesculap de México</v>
      </c>
      <c r="H5587" s="1"/>
    </row>
    <row r="5588" spans="1:8" x14ac:dyDescent="0.35">
      <c r="A5588" s="21"/>
      <c r="B5588" t="s">
        <v>24</v>
      </c>
      <c r="C5588" t="s">
        <v>6</v>
      </c>
      <c r="D5588" t="s">
        <v>614</v>
      </c>
      <c r="F5588" s="1">
        <v>45770</v>
      </c>
      <c r="G5588" t="str">
        <f>IF(Table3[[#This Row],[Top Parent Account]]="",Table3[[#This Row],[Account Legal Name]],Table3[[#This Row],[Top Parent Account]])</f>
        <v>HellermannTyton</v>
      </c>
      <c r="H5588" s="1"/>
    </row>
    <row r="5589" spans="1:8" x14ac:dyDescent="0.35">
      <c r="A5589" s="21"/>
      <c r="B5589" t="s">
        <v>51</v>
      </c>
      <c r="C5589" t="s">
        <v>6</v>
      </c>
      <c r="D5589" t="s">
        <v>1857</v>
      </c>
      <c r="F5589" s="1">
        <v>45770</v>
      </c>
      <c r="G5589" t="str">
        <f>IF(Table3[[#This Row],[Top Parent Account]]="",Table3[[#This Row],[Account Legal Name]],Table3[[#This Row],[Top Parent Account]])</f>
        <v>Soluciones Flexoplasticas</v>
      </c>
      <c r="H5589" s="1"/>
    </row>
    <row r="5590" spans="1:8" x14ac:dyDescent="0.35">
      <c r="A5590" s="21"/>
      <c r="B5590" t="s">
        <v>30</v>
      </c>
      <c r="C5590" t="s">
        <v>6</v>
      </c>
      <c r="D5590" t="s">
        <v>988</v>
      </c>
      <c r="F5590" s="1">
        <v>45770</v>
      </c>
      <c r="G5590" t="str">
        <f>IF(Table3[[#This Row],[Top Parent Account]]="",Table3[[#This Row],[Account Legal Name]],Table3[[#This Row],[Top Parent Account]])</f>
        <v>Edyen</v>
      </c>
      <c r="H5590" s="1"/>
    </row>
    <row r="5591" spans="1:8" x14ac:dyDescent="0.35">
      <c r="A5591" s="21"/>
      <c r="B5591" t="s">
        <v>28</v>
      </c>
      <c r="C5591" t="s">
        <v>6</v>
      </c>
      <c r="D5591" t="s">
        <v>1906</v>
      </c>
      <c r="F5591" s="1">
        <v>45769</v>
      </c>
      <c r="G5591" t="str">
        <f>IF(Table3[[#This Row],[Top Parent Account]]="",Table3[[#This Row],[Account Legal Name]],Table3[[#This Row],[Top Parent Account]])</f>
        <v>Del Tronix</v>
      </c>
      <c r="H5591" s="1"/>
    </row>
    <row r="5592" spans="1:8" x14ac:dyDescent="0.35">
      <c r="A5592" s="21"/>
      <c r="B5592" t="s">
        <v>30</v>
      </c>
      <c r="C5592" t="s">
        <v>6</v>
      </c>
      <c r="D5592" t="s">
        <v>419</v>
      </c>
      <c r="F5592" s="1">
        <v>45769</v>
      </c>
      <c r="G5592" t="str">
        <f>IF(Table3[[#This Row],[Top Parent Account]]="",Table3[[#This Row],[Account Legal Name]],Table3[[#This Row],[Top Parent Account]])</f>
        <v>Adidas de México</v>
      </c>
      <c r="H5592" s="1"/>
    </row>
    <row r="5593" spans="1:8" x14ac:dyDescent="0.35">
      <c r="A5593" s="21"/>
      <c r="B5593" t="s">
        <v>21</v>
      </c>
      <c r="C5593" t="s">
        <v>6</v>
      </c>
      <c r="D5593" t="s">
        <v>1863</v>
      </c>
      <c r="F5593" s="1">
        <v>45769</v>
      </c>
      <c r="G5593" t="str">
        <f>IF(Table3[[#This Row],[Top Parent Account]]="",Table3[[#This Row],[Account Legal Name]],Table3[[#This Row],[Top Parent Account]])</f>
        <v>Aerogel México</v>
      </c>
      <c r="H5593" s="1"/>
    </row>
    <row r="5594" spans="1:8" x14ac:dyDescent="0.35">
      <c r="A5594" s="21"/>
      <c r="B5594" t="s">
        <v>1006</v>
      </c>
      <c r="C5594" t="s">
        <v>6</v>
      </c>
      <c r="D5594" t="s">
        <v>1832</v>
      </c>
      <c r="F5594" s="1">
        <v>45769</v>
      </c>
      <c r="G5594" t="str">
        <f>IF(Table3[[#This Row],[Top Parent Account]]="",Table3[[#This Row],[Account Legal Name]],Table3[[#This Row],[Top Parent Account]])</f>
        <v>Vegetal Prims</v>
      </c>
      <c r="H5594" s="1"/>
    </row>
    <row r="5595" spans="1:8" x14ac:dyDescent="0.35">
      <c r="A5595" s="21"/>
      <c r="B5595" t="s">
        <v>39</v>
      </c>
      <c r="C5595" t="s">
        <v>1094</v>
      </c>
      <c r="D5595" t="s">
        <v>1864</v>
      </c>
      <c r="F5595" s="1">
        <v>45769</v>
      </c>
      <c r="G5595" t="str">
        <f>IF(Table3[[#This Row],[Top Parent Account]]="",Table3[[#This Row],[Account Legal Name]],Table3[[#This Row],[Top Parent Account]])</f>
        <v>AVIT SOLUCIONES</v>
      </c>
      <c r="H5595" s="1"/>
    </row>
    <row r="5596" spans="1:8" x14ac:dyDescent="0.35">
      <c r="A5596" s="21"/>
      <c r="B5596" t="s">
        <v>567</v>
      </c>
      <c r="C5596" t="s">
        <v>1907</v>
      </c>
      <c r="D5596" t="s">
        <v>1908</v>
      </c>
      <c r="F5596" s="1">
        <v>45769</v>
      </c>
      <c r="G5596" t="str">
        <f>IF(Table3[[#This Row],[Top Parent Account]]="",Table3[[#This Row],[Account Legal Name]],Table3[[#This Row],[Top Parent Account]])</f>
        <v>Sierra Madre Gold and Silver</v>
      </c>
      <c r="H5596" s="1"/>
    </row>
    <row r="5597" spans="1:8" x14ac:dyDescent="0.35">
      <c r="A5597" s="21"/>
      <c r="B5597" t="s">
        <v>54</v>
      </c>
      <c r="C5597" t="s">
        <v>1907</v>
      </c>
      <c r="D5597" t="s">
        <v>1908</v>
      </c>
      <c r="F5597" s="1">
        <v>45769</v>
      </c>
      <c r="G5597" t="str">
        <f>IF(Table3[[#This Row],[Top Parent Account]]="",Table3[[#This Row],[Account Legal Name]],Table3[[#This Row],[Top Parent Account]])</f>
        <v>Sierra Madre Gold and Silver</v>
      </c>
      <c r="H5597" s="1"/>
    </row>
    <row r="5598" spans="1:8" x14ac:dyDescent="0.35">
      <c r="A5598" s="21"/>
      <c r="B5598" t="s">
        <v>14</v>
      </c>
      <c r="C5598" t="s">
        <v>6</v>
      </c>
      <c r="D5598" t="s">
        <v>1909</v>
      </c>
      <c r="F5598" s="1">
        <v>45769</v>
      </c>
      <c r="G5598" t="str">
        <f>IF(Table3[[#This Row],[Top Parent Account]]="",Table3[[#This Row],[Account Legal Name]],Table3[[#This Row],[Top Parent Account]])</f>
        <v>Rosetta</v>
      </c>
      <c r="H5598" s="1"/>
    </row>
    <row r="5599" spans="1:8" x14ac:dyDescent="0.35">
      <c r="A5599" s="21"/>
      <c r="B5599" t="s">
        <v>121</v>
      </c>
      <c r="C5599" t="s">
        <v>6</v>
      </c>
      <c r="D5599" t="s">
        <v>1865</v>
      </c>
      <c r="F5599" s="1">
        <v>45769</v>
      </c>
      <c r="G5599" t="str">
        <f>IF(Table3[[#This Row],[Top Parent Account]]="",Table3[[#This Row],[Account Legal Name]],Table3[[#This Row],[Top Parent Account]])</f>
        <v>Ingenieros y Equipos Mecanicos</v>
      </c>
      <c r="H5599" s="1"/>
    </row>
    <row r="5600" spans="1:8" x14ac:dyDescent="0.35">
      <c r="A5600" s="21"/>
      <c r="B5600" t="s">
        <v>375</v>
      </c>
      <c r="C5600" t="s">
        <v>6</v>
      </c>
      <c r="D5600" t="s">
        <v>1517</v>
      </c>
      <c r="F5600" s="1">
        <v>45769</v>
      </c>
      <c r="G5600" t="str">
        <f>IF(Table3[[#This Row],[Top Parent Account]]="",Table3[[#This Row],[Account Legal Name]],Table3[[#This Row],[Top Parent Account]])</f>
        <v>LAZOS INTERNACIONALES</v>
      </c>
      <c r="H5600" s="1"/>
    </row>
    <row r="5601" spans="1:8" x14ac:dyDescent="0.35">
      <c r="A5601" s="21"/>
      <c r="B5601" t="s">
        <v>30</v>
      </c>
      <c r="C5601" t="s">
        <v>6</v>
      </c>
      <c r="D5601" t="s">
        <v>42</v>
      </c>
      <c r="F5601" s="1">
        <v>45769</v>
      </c>
      <c r="G5601" t="str">
        <f>IF(Table3[[#This Row],[Top Parent Account]]="",Table3[[#This Row],[Account Legal Name]],Table3[[#This Row],[Top Parent Account]])</f>
        <v>Coca-Cola FEMSA</v>
      </c>
      <c r="H5601" s="1"/>
    </row>
    <row r="5602" spans="1:8" x14ac:dyDescent="0.35">
      <c r="A5602" s="21"/>
      <c r="B5602" t="s">
        <v>21</v>
      </c>
      <c r="C5602" t="s">
        <v>6</v>
      </c>
      <c r="D5602" t="s">
        <v>1866</v>
      </c>
      <c r="F5602" s="1">
        <v>45769</v>
      </c>
      <c r="G5602" t="str">
        <f>IF(Table3[[#This Row],[Top Parent Account]]="",Table3[[#This Row],[Account Legal Name]],Table3[[#This Row],[Top Parent Account]])</f>
        <v>Transportes Cariazur</v>
      </c>
      <c r="H5602" s="1"/>
    </row>
    <row r="5603" spans="1:8" x14ac:dyDescent="0.35">
      <c r="A5603" s="21"/>
      <c r="B5603" t="s">
        <v>169</v>
      </c>
      <c r="C5603" t="s">
        <v>6</v>
      </c>
      <c r="D5603" t="s">
        <v>1867</v>
      </c>
      <c r="F5603" s="1">
        <v>45769</v>
      </c>
      <c r="G5603" t="str">
        <f>IF(Table3[[#This Row],[Top Parent Account]]="",Table3[[#This Row],[Account Legal Name]],Table3[[#This Row],[Top Parent Account]])</f>
        <v>Odisa Obras y Desarrollos Industriales</v>
      </c>
      <c r="H5603" s="1"/>
    </row>
    <row r="5604" spans="1:8" x14ac:dyDescent="0.35">
      <c r="A5604" s="21"/>
      <c r="B5604" t="s">
        <v>30</v>
      </c>
      <c r="C5604" t="s">
        <v>6</v>
      </c>
      <c r="D5604" t="s">
        <v>93</v>
      </c>
      <c r="F5604" s="1">
        <v>45769</v>
      </c>
      <c r="G5604" t="str">
        <f>IF(Table3[[#This Row],[Top Parent Account]]="",Table3[[#This Row],[Account Legal Name]],Table3[[#This Row],[Top Parent Account]])</f>
        <v>Beta San Miguel</v>
      </c>
      <c r="H5604" s="1"/>
    </row>
    <row r="5605" spans="1:8" x14ac:dyDescent="0.35">
      <c r="A5605" s="21"/>
      <c r="B5605" t="s">
        <v>26</v>
      </c>
      <c r="C5605" t="s">
        <v>6</v>
      </c>
      <c r="D5605" t="s">
        <v>1911</v>
      </c>
      <c r="F5605" s="1">
        <v>45769</v>
      </c>
      <c r="G5605" t="str">
        <f>IF(Table3[[#This Row],[Top Parent Account]]="",Table3[[#This Row],[Account Legal Name]],Table3[[#This Row],[Top Parent Account]])</f>
        <v>Laboratorios Liomont</v>
      </c>
      <c r="H5605" s="1"/>
    </row>
    <row r="5606" spans="1:8" x14ac:dyDescent="0.35">
      <c r="A5606" s="21"/>
      <c r="B5606" t="s">
        <v>1511</v>
      </c>
      <c r="C5606" t="s">
        <v>22</v>
      </c>
      <c r="D5606" t="s">
        <v>1910</v>
      </c>
      <c r="F5606" s="1">
        <v>45769</v>
      </c>
      <c r="G5606" t="str">
        <f>IF(Table3[[#This Row],[Top Parent Account]]="",Table3[[#This Row],[Account Legal Name]],Table3[[#This Row],[Top Parent Account]])</f>
        <v>Garylop Rental Equipment</v>
      </c>
      <c r="H5606" s="1"/>
    </row>
    <row r="5607" spans="1:8" x14ac:dyDescent="0.35">
      <c r="A5607" s="21"/>
      <c r="B5607" t="s">
        <v>192</v>
      </c>
      <c r="C5607" t="s">
        <v>49</v>
      </c>
      <c r="D5607" t="s">
        <v>1912</v>
      </c>
      <c r="F5607" s="1">
        <v>45769</v>
      </c>
      <c r="G5607" t="str">
        <f>IF(Table3[[#This Row],[Top Parent Account]]="",Table3[[#This Row],[Account Legal Name]],Table3[[#This Row],[Top Parent Account]])</f>
        <v>Fundición Chorné</v>
      </c>
      <c r="H5607" s="1"/>
    </row>
    <row r="5608" spans="1:8" x14ac:dyDescent="0.35">
      <c r="A5608" s="21"/>
      <c r="B5608" t="s">
        <v>78</v>
      </c>
      <c r="C5608" t="s">
        <v>6</v>
      </c>
      <c r="D5608" t="s">
        <v>1868</v>
      </c>
      <c r="F5608" s="1">
        <v>45769</v>
      </c>
      <c r="G5608" t="str">
        <f>IF(Table3[[#This Row],[Top Parent Account]]="",Table3[[#This Row],[Account Legal Name]],Table3[[#This Row],[Top Parent Account]])</f>
        <v>IT Workers</v>
      </c>
      <c r="H5608" s="1"/>
    </row>
    <row r="5609" spans="1:8" x14ac:dyDescent="0.35">
      <c r="A5609" s="21"/>
      <c r="B5609" t="s">
        <v>30</v>
      </c>
      <c r="C5609" t="s">
        <v>6</v>
      </c>
      <c r="D5609" t="s">
        <v>104</v>
      </c>
      <c r="F5609" s="1">
        <v>45768</v>
      </c>
      <c r="G5609" t="str">
        <f>IF(Table3[[#This Row],[Top Parent Account]]="",Table3[[#This Row],[Account Legal Name]],Table3[[#This Row],[Top Parent Account]])</f>
        <v>Holcim Apasco</v>
      </c>
      <c r="H5609" s="1"/>
    </row>
    <row r="5610" spans="1:8" x14ac:dyDescent="0.35">
      <c r="A5610" s="21"/>
      <c r="B5610" t="s">
        <v>30</v>
      </c>
      <c r="C5610" t="s">
        <v>6</v>
      </c>
      <c r="D5610" t="s">
        <v>422</v>
      </c>
      <c r="F5610" s="1">
        <v>45768</v>
      </c>
      <c r="G5610" t="str">
        <f>IF(Table3[[#This Row],[Top Parent Account]]="",Table3[[#This Row],[Account Legal Name]],Table3[[#This Row],[Top Parent Account]])</f>
        <v>Avigrupo</v>
      </c>
      <c r="H5610" s="1"/>
    </row>
    <row r="5611" spans="1:8" x14ac:dyDescent="0.35">
      <c r="A5611" s="21"/>
      <c r="B5611" t="s">
        <v>1643</v>
      </c>
      <c r="C5611" t="s">
        <v>6</v>
      </c>
      <c r="D5611" t="s">
        <v>1748</v>
      </c>
      <c r="F5611" s="1">
        <v>45768</v>
      </c>
      <c r="G5611" t="str">
        <f>IF(Table3[[#This Row],[Top Parent Account]]="",Table3[[#This Row],[Account Legal Name]],Table3[[#This Row],[Top Parent Account]])</f>
        <v>RECUPERACIONES INDUSTRIALES INTERNACIONALES</v>
      </c>
      <c r="H5611" s="1"/>
    </row>
    <row r="5612" spans="1:8" x14ac:dyDescent="0.35">
      <c r="A5612" s="21"/>
      <c r="B5612" t="s">
        <v>88</v>
      </c>
      <c r="C5612" t="s">
        <v>6</v>
      </c>
      <c r="D5612" t="s">
        <v>3442</v>
      </c>
      <c r="F5612" s="1">
        <v>45768</v>
      </c>
      <c r="G5612" t="str">
        <f>IF(Table3[[#This Row],[Top Parent Account]]="",Table3[[#This Row],[Account Legal Name]],Table3[[#This Row],[Top Parent Account]])</f>
        <v>Marco Antonio Torres Tello Gutierrez</v>
      </c>
      <c r="H5612" s="1"/>
    </row>
    <row r="5613" spans="1:8" x14ac:dyDescent="0.35">
      <c r="A5613" s="21"/>
      <c r="B5613" t="s">
        <v>925</v>
      </c>
      <c r="C5613" t="s">
        <v>6</v>
      </c>
      <c r="D5613" t="s">
        <v>1869</v>
      </c>
      <c r="F5613" s="1">
        <v>45768</v>
      </c>
      <c r="G5613" t="str">
        <f>IF(Table3[[#This Row],[Top Parent Account]]="",Table3[[#This Row],[Account Legal Name]],Table3[[#This Row],[Top Parent Account]])</f>
        <v>ACEROS Y PRODUCTOS PERFICORTE</v>
      </c>
      <c r="H5613" s="1"/>
    </row>
    <row r="5614" spans="1:8" x14ac:dyDescent="0.35">
      <c r="A5614" s="21"/>
      <c r="B5614" t="s">
        <v>30</v>
      </c>
      <c r="C5614" t="s">
        <v>6</v>
      </c>
      <c r="D5614" t="s">
        <v>415</v>
      </c>
      <c r="F5614" s="1">
        <v>45768</v>
      </c>
      <c r="G5614" t="str">
        <f>IF(Table3[[#This Row],[Top Parent Account]]="",Table3[[#This Row],[Account Legal Name]],Table3[[#This Row],[Top Parent Account]])</f>
        <v>Olnatura</v>
      </c>
      <c r="H5614" s="1"/>
    </row>
    <row r="5615" spans="1:8" x14ac:dyDescent="0.35">
      <c r="A5615" s="21"/>
      <c r="B5615" t="s">
        <v>30</v>
      </c>
      <c r="C5615" t="s">
        <v>22</v>
      </c>
      <c r="D5615" t="s">
        <v>291</v>
      </c>
      <c r="F5615" s="1">
        <v>45768</v>
      </c>
      <c r="G5615" t="str">
        <f>IF(Table3[[#This Row],[Top Parent Account]]="",Table3[[#This Row],[Account Legal Name]],Table3[[#This Row],[Top Parent Account]])</f>
        <v>Danone de México</v>
      </c>
      <c r="H5615" s="1"/>
    </row>
    <row r="5616" spans="1:8" x14ac:dyDescent="0.35">
      <c r="A5616" s="21"/>
      <c r="B5616" t="s">
        <v>208</v>
      </c>
      <c r="C5616" t="s">
        <v>6</v>
      </c>
      <c r="D5616" t="s">
        <v>695</v>
      </c>
      <c r="F5616" s="1">
        <v>45768</v>
      </c>
      <c r="G5616" t="str">
        <f>IF(Table3[[#This Row],[Top Parent Account]]="",Table3[[#This Row],[Account Legal Name]],Table3[[#This Row],[Top Parent Account]])</f>
        <v>Medios Publicitarios Exteriores</v>
      </c>
      <c r="H5616" s="1"/>
    </row>
    <row r="5617" spans="1:8" x14ac:dyDescent="0.35">
      <c r="A5617" s="21"/>
      <c r="B5617" t="s">
        <v>30</v>
      </c>
      <c r="C5617" t="s">
        <v>6</v>
      </c>
      <c r="D5617" t="s">
        <v>35</v>
      </c>
      <c r="F5617" s="1">
        <v>45768</v>
      </c>
      <c r="G5617" t="str">
        <f>IF(Table3[[#This Row],[Top Parent Account]]="",Table3[[#This Row],[Account Legal Name]],Table3[[#This Row],[Top Parent Account]])</f>
        <v>Bayer de México</v>
      </c>
      <c r="H5617" s="1"/>
    </row>
    <row r="5618" spans="1:8" x14ac:dyDescent="0.35">
      <c r="A5618" s="21"/>
      <c r="B5618" t="s">
        <v>43</v>
      </c>
      <c r="C5618" t="s">
        <v>1870</v>
      </c>
      <c r="D5618" t="s">
        <v>364</v>
      </c>
      <c r="F5618" s="1">
        <v>45768</v>
      </c>
      <c r="G5618" t="str">
        <f>IF(Table3[[#This Row],[Top Parent Account]]="",Table3[[#This Row],[Account Legal Name]],Table3[[#This Row],[Top Parent Account]])</f>
        <v>Galnik</v>
      </c>
      <c r="H5618" s="1"/>
    </row>
    <row r="5619" spans="1:8" x14ac:dyDescent="0.35">
      <c r="A5619" s="21"/>
      <c r="B5619" t="s">
        <v>820</v>
      </c>
      <c r="C5619" t="s">
        <v>6</v>
      </c>
      <c r="D5619" t="s">
        <v>319</v>
      </c>
      <c r="F5619" s="1">
        <v>45768</v>
      </c>
      <c r="G5619" t="str">
        <f>IF(Table3[[#This Row],[Top Parent Account]]="",Table3[[#This Row],[Account Legal Name]],Table3[[#This Row],[Top Parent Account]])</f>
        <v>Aspid</v>
      </c>
      <c r="H5619" s="1"/>
    </row>
    <row r="5620" spans="1:8" x14ac:dyDescent="0.35">
      <c r="A5620" s="21"/>
      <c r="B5620" t="s">
        <v>590</v>
      </c>
      <c r="C5620" t="s">
        <v>6</v>
      </c>
      <c r="D5620" t="s">
        <v>743</v>
      </c>
      <c r="F5620" s="1">
        <v>45768</v>
      </c>
      <c r="G5620" t="str">
        <f>IF(Table3[[#This Row],[Top Parent Account]]="",Table3[[#This Row],[Account Legal Name]],Table3[[#This Row],[Top Parent Account]])</f>
        <v>Tubacero</v>
      </c>
      <c r="H5620" s="1"/>
    </row>
    <row r="5621" spans="1:8" x14ac:dyDescent="0.35">
      <c r="A5621" s="21"/>
      <c r="B5621" t="s">
        <v>989</v>
      </c>
      <c r="C5621" t="s">
        <v>6</v>
      </c>
      <c r="D5621" t="s">
        <v>1672</v>
      </c>
      <c r="F5621" s="1">
        <v>45768</v>
      </c>
      <c r="G5621" t="str">
        <f>IF(Table3[[#This Row],[Top Parent Account]]="",Table3[[#This Row],[Account Legal Name]],Table3[[#This Row],[Top Parent Account]])</f>
        <v>RBA Banca de Inversión</v>
      </c>
      <c r="H5621" s="1"/>
    </row>
    <row r="5622" spans="1:8" x14ac:dyDescent="0.35">
      <c r="A5622" s="21"/>
      <c r="B5622" t="s">
        <v>30</v>
      </c>
      <c r="C5622" t="s">
        <v>22</v>
      </c>
      <c r="D5622" t="s">
        <v>508</v>
      </c>
      <c r="F5622" s="1">
        <v>45768</v>
      </c>
      <c r="G5622" t="str">
        <f>IF(Table3[[#This Row],[Top Parent Account]]="",Table3[[#This Row],[Account Legal Name]],Table3[[#This Row],[Top Parent Account]])</f>
        <v>Empacadora Campo Frío</v>
      </c>
      <c r="H5622" s="1"/>
    </row>
    <row r="5623" spans="1:8" x14ac:dyDescent="0.35">
      <c r="A5623" s="21"/>
      <c r="B5623" t="s">
        <v>14</v>
      </c>
      <c r="C5623" t="s">
        <v>6</v>
      </c>
      <c r="D5623" t="s">
        <v>575</v>
      </c>
      <c r="F5623" s="1">
        <v>45768</v>
      </c>
      <c r="G5623" t="str">
        <f>IF(Table3[[#This Row],[Top Parent Account]]="",Table3[[#This Row],[Account Legal Name]],Table3[[#This Row],[Top Parent Account]])</f>
        <v>Metalistik</v>
      </c>
      <c r="H5623" s="1"/>
    </row>
    <row r="5624" spans="1:8" x14ac:dyDescent="0.35">
      <c r="A5624" s="21"/>
      <c r="B5624" t="s">
        <v>169</v>
      </c>
      <c r="C5624" t="s">
        <v>1871</v>
      </c>
      <c r="D5624" t="s">
        <v>777</v>
      </c>
      <c r="F5624" s="1">
        <v>45768</v>
      </c>
      <c r="G5624" t="str">
        <f>IF(Table3[[#This Row],[Top Parent Account]]="",Table3[[#This Row],[Account Legal Name]],Table3[[#This Row],[Top Parent Account]])</f>
        <v>ALRETECH</v>
      </c>
      <c r="H5624" s="1"/>
    </row>
    <row r="5625" spans="1:8" x14ac:dyDescent="0.35">
      <c r="A5625" s="21"/>
      <c r="B5625" t="s">
        <v>1511</v>
      </c>
      <c r="C5625" t="s">
        <v>22</v>
      </c>
      <c r="D5625" t="s">
        <v>1913</v>
      </c>
      <c r="F5625" s="1">
        <v>45768</v>
      </c>
      <c r="G5625" t="str">
        <f>IF(Table3[[#This Row],[Top Parent Account]]="",Table3[[#This Row],[Account Legal Name]],Table3[[#This Row],[Top Parent Account]])</f>
        <v>SALERI MEXICO</v>
      </c>
      <c r="H5625" s="1"/>
    </row>
    <row r="5626" spans="1:8" x14ac:dyDescent="0.35">
      <c r="A5626" s="21"/>
      <c r="B5626" t="s">
        <v>375</v>
      </c>
      <c r="C5626" t="s">
        <v>6</v>
      </c>
      <c r="D5626" t="s">
        <v>572</v>
      </c>
      <c r="F5626" s="1">
        <v>45768</v>
      </c>
      <c r="G5626" t="str">
        <f>IF(Table3[[#This Row],[Top Parent Account]]="",Table3[[#This Row],[Account Legal Name]],Table3[[#This Row],[Top Parent Account]])</f>
        <v>AD 17 SOLUTIONS</v>
      </c>
      <c r="H5626" s="1"/>
    </row>
    <row r="5627" spans="1:8" x14ac:dyDescent="0.35">
      <c r="A5627" s="21"/>
      <c r="B5627" t="s">
        <v>32</v>
      </c>
      <c r="C5627" t="s">
        <v>6</v>
      </c>
      <c r="D5627" t="s">
        <v>305</v>
      </c>
      <c r="F5627" s="1">
        <v>45765</v>
      </c>
      <c r="G5627" t="str">
        <f>IF(Table3[[#This Row],[Top Parent Account]]="",Table3[[#This Row],[Account Legal Name]],Table3[[#This Row],[Top Parent Account]])</f>
        <v>Frutas Chanitos</v>
      </c>
      <c r="H5627" s="1"/>
    </row>
    <row r="5628" spans="1:8" x14ac:dyDescent="0.35">
      <c r="A5628" s="21"/>
      <c r="B5628" t="s">
        <v>30</v>
      </c>
      <c r="C5628" t="s">
        <v>22</v>
      </c>
      <c r="D5628" t="s">
        <v>541</v>
      </c>
      <c r="F5628" s="1">
        <v>45765</v>
      </c>
      <c r="G5628" t="str">
        <f>IF(Table3[[#This Row],[Top Parent Account]]="",Table3[[#This Row],[Account Legal Name]],Table3[[#This Row],[Top Parent Account]])</f>
        <v>Diebold Nixdorf</v>
      </c>
      <c r="H5628" s="1"/>
    </row>
    <row r="5629" spans="1:8" x14ac:dyDescent="0.35">
      <c r="A5629" s="21"/>
      <c r="B5629" t="s">
        <v>30</v>
      </c>
      <c r="C5629" t="s">
        <v>6</v>
      </c>
      <c r="D5629" t="s">
        <v>615</v>
      </c>
      <c r="F5629" s="1">
        <v>45764</v>
      </c>
      <c r="G5629" t="str">
        <f>IF(Table3[[#This Row],[Top Parent Account]]="",Table3[[#This Row],[Account Legal Name]],Table3[[#This Row],[Top Parent Account]])</f>
        <v>EVOX México</v>
      </c>
      <c r="H5629" s="1"/>
    </row>
    <row r="5630" spans="1:8" x14ac:dyDescent="0.35">
      <c r="A5630" s="21"/>
      <c r="B5630" t="s">
        <v>38</v>
      </c>
      <c r="C5630" t="s">
        <v>6</v>
      </c>
      <c r="D5630" t="s">
        <v>881</v>
      </c>
      <c r="F5630" s="1">
        <v>45764</v>
      </c>
      <c r="G5630" t="str">
        <f>IF(Table3[[#This Row],[Top Parent Account]]="",Table3[[#This Row],[Account Legal Name]],Table3[[#This Row],[Top Parent Account]])</f>
        <v>Merit Technologies Worldwide</v>
      </c>
      <c r="H5630" s="1"/>
    </row>
    <row r="5631" spans="1:8" x14ac:dyDescent="0.35">
      <c r="A5631" s="21"/>
      <c r="B5631" t="s">
        <v>18</v>
      </c>
      <c r="C5631" t="s">
        <v>6</v>
      </c>
      <c r="D5631" t="s">
        <v>1749</v>
      </c>
      <c r="F5631" s="1">
        <v>45763</v>
      </c>
      <c r="G5631" t="str">
        <f>IF(Table3[[#This Row],[Top Parent Account]]="",Table3[[#This Row],[Account Legal Name]],Table3[[#This Row],[Top Parent Account]])</f>
        <v>Técnica Industrial Miranda</v>
      </c>
      <c r="H5631" s="1"/>
    </row>
    <row r="5632" spans="1:8" x14ac:dyDescent="0.35">
      <c r="A5632" s="21"/>
      <c r="B5632" t="s">
        <v>14</v>
      </c>
      <c r="C5632" t="s">
        <v>6</v>
      </c>
      <c r="D5632" t="s">
        <v>977</v>
      </c>
      <c r="F5632" s="1">
        <v>45763</v>
      </c>
      <c r="G5632" t="str">
        <f>IF(Table3[[#This Row],[Top Parent Account]]="",Table3[[#This Row],[Account Legal Name]],Table3[[#This Row],[Top Parent Account]])</f>
        <v>viajes azteca de oro</v>
      </c>
      <c r="H5632" s="1"/>
    </row>
    <row r="5633" spans="1:8" x14ac:dyDescent="0.35">
      <c r="A5633" s="21"/>
      <c r="B5633" t="s">
        <v>30</v>
      </c>
      <c r="C5633" t="s">
        <v>6</v>
      </c>
      <c r="D5633" t="s">
        <v>418</v>
      </c>
      <c r="F5633" s="1">
        <v>45763</v>
      </c>
      <c r="G5633" t="str">
        <f>IF(Table3[[#This Row],[Top Parent Account]]="",Table3[[#This Row],[Account Legal Name]],Table3[[#This Row],[Top Parent Account]])</f>
        <v>Grupo Altex</v>
      </c>
      <c r="H5633" s="1"/>
    </row>
    <row r="5634" spans="1:8" x14ac:dyDescent="0.35">
      <c r="A5634" s="21"/>
      <c r="B5634" t="s">
        <v>925</v>
      </c>
      <c r="C5634" t="s">
        <v>6</v>
      </c>
      <c r="D5634" t="s">
        <v>620</v>
      </c>
      <c r="F5634" s="1">
        <v>45763</v>
      </c>
      <c r="G5634" t="str">
        <f>IF(Table3[[#This Row],[Top Parent Account]]="",Table3[[#This Row],[Account Legal Name]],Table3[[#This Row],[Top Parent Account]])</f>
        <v>Recuperadora y Maquiladora de Plásticos</v>
      </c>
      <c r="H5634" s="1"/>
    </row>
    <row r="5635" spans="1:8" x14ac:dyDescent="0.35">
      <c r="A5635" s="21"/>
      <c r="B5635" t="s">
        <v>375</v>
      </c>
      <c r="C5635" t="s">
        <v>6</v>
      </c>
      <c r="D5635" t="s">
        <v>1084</v>
      </c>
      <c r="F5635" s="1">
        <v>45763</v>
      </c>
      <c r="G5635" t="str">
        <f>IF(Table3[[#This Row],[Top Parent Account]]="",Table3[[#This Row],[Account Legal Name]],Table3[[#This Row],[Top Parent Account]])</f>
        <v>Hi-Tec Medical</v>
      </c>
      <c r="H5635" s="1"/>
    </row>
    <row r="5636" spans="1:8" x14ac:dyDescent="0.35">
      <c r="A5636" s="21"/>
      <c r="B5636" t="s">
        <v>30</v>
      </c>
      <c r="C5636" t="s">
        <v>6</v>
      </c>
      <c r="D5636" t="s">
        <v>936</v>
      </c>
      <c r="E5636" t="s">
        <v>615</v>
      </c>
      <c r="F5636" s="1">
        <v>45763</v>
      </c>
      <c r="G5636" t="str">
        <f>IF(Table3[[#This Row],[Top Parent Account]]="",Table3[[#This Row],[Account Legal Name]],Table3[[#This Row],[Top Parent Account]])</f>
        <v>EVOX México</v>
      </c>
      <c r="H5636" s="1"/>
    </row>
    <row r="5637" spans="1:8" x14ac:dyDescent="0.35">
      <c r="A5637" s="21"/>
      <c r="B5637" t="s">
        <v>37</v>
      </c>
      <c r="C5637" t="s">
        <v>6</v>
      </c>
      <c r="D5637" t="s">
        <v>1750</v>
      </c>
      <c r="F5637" s="1">
        <v>45763</v>
      </c>
      <c r="G5637" t="str">
        <f>IF(Table3[[#This Row],[Top Parent Account]]="",Table3[[#This Row],[Account Legal Name]],Table3[[#This Row],[Top Parent Account]])</f>
        <v>12 BACANORA</v>
      </c>
      <c r="H5637" s="1"/>
    </row>
    <row r="5638" spans="1:8" x14ac:dyDescent="0.35">
      <c r="A5638" s="21"/>
      <c r="B5638" t="s">
        <v>989</v>
      </c>
      <c r="C5638" t="s">
        <v>6</v>
      </c>
      <c r="D5638" t="s">
        <v>1751</v>
      </c>
      <c r="F5638" s="1">
        <v>45763</v>
      </c>
      <c r="G5638" t="str">
        <f>IF(Table3[[#This Row],[Top Parent Account]]="",Table3[[#This Row],[Account Legal Name]],Table3[[#This Row],[Top Parent Account]])</f>
        <v>Polychem</v>
      </c>
      <c r="H5638" s="1"/>
    </row>
    <row r="5639" spans="1:8" x14ac:dyDescent="0.35">
      <c r="A5639" s="21"/>
      <c r="B5639" t="s">
        <v>38</v>
      </c>
      <c r="C5639" t="s">
        <v>6</v>
      </c>
      <c r="D5639" t="s">
        <v>1746</v>
      </c>
      <c r="F5639" s="1">
        <v>45763</v>
      </c>
      <c r="G5639" t="str">
        <f>IF(Table3[[#This Row],[Top Parent Account]]="",Table3[[#This Row],[Account Legal Name]],Table3[[#This Row],[Top Parent Account]])</f>
        <v>Peon SF</v>
      </c>
      <c r="H5639" s="1"/>
    </row>
    <row r="5640" spans="1:8" x14ac:dyDescent="0.35">
      <c r="A5640" s="21"/>
      <c r="B5640" t="s">
        <v>30</v>
      </c>
      <c r="C5640" t="s">
        <v>6</v>
      </c>
      <c r="D5640" t="s">
        <v>937</v>
      </c>
      <c r="E5640" t="s">
        <v>1075</v>
      </c>
      <c r="F5640" s="1">
        <v>45763</v>
      </c>
      <c r="G5640" t="str">
        <f>IF(Table3[[#This Row],[Top Parent Account]]="",Table3[[#This Row],[Account Legal Name]],Table3[[#This Row],[Top Parent Account]])</f>
        <v>SUMINISTRO DE ESPECIALIDADES</v>
      </c>
      <c r="H5640" s="1"/>
    </row>
    <row r="5641" spans="1:8" x14ac:dyDescent="0.35">
      <c r="A5641" s="21"/>
      <c r="B5641" t="s">
        <v>590</v>
      </c>
      <c r="C5641" t="s">
        <v>6</v>
      </c>
      <c r="D5641" t="s">
        <v>1753</v>
      </c>
      <c r="F5641" s="1">
        <v>45763</v>
      </c>
      <c r="G5641" t="str">
        <f>IF(Table3[[#This Row],[Top Parent Account]]="",Table3[[#This Row],[Account Legal Name]],Table3[[#This Row],[Top Parent Account]])</f>
        <v>Control De Potencia Y Regulación Eléctrica</v>
      </c>
      <c r="H5641" s="1"/>
    </row>
    <row r="5642" spans="1:8" x14ac:dyDescent="0.35">
      <c r="A5642" s="21"/>
      <c r="B5642" t="s">
        <v>1643</v>
      </c>
      <c r="C5642" t="s">
        <v>6</v>
      </c>
      <c r="D5642" t="s">
        <v>716</v>
      </c>
      <c r="F5642" s="1">
        <v>45763</v>
      </c>
      <c r="G5642" t="str">
        <f>IF(Table3[[#This Row],[Top Parent Account]]="",Table3[[#This Row],[Account Legal Name]],Table3[[#This Row],[Top Parent Account]])</f>
        <v>Multipap Moldeado</v>
      </c>
      <c r="H5642" s="1"/>
    </row>
    <row r="5643" spans="1:8" x14ac:dyDescent="0.35">
      <c r="A5643" s="21"/>
      <c r="B5643" t="s">
        <v>989</v>
      </c>
      <c r="C5643" t="s">
        <v>22</v>
      </c>
      <c r="D5643" t="s">
        <v>1752</v>
      </c>
      <c r="F5643" s="1">
        <v>45763</v>
      </c>
      <c r="G5643" t="str">
        <f>IF(Table3[[#This Row],[Top Parent Account]]="",Table3[[#This Row],[Account Legal Name]],Table3[[#This Row],[Top Parent Account]])</f>
        <v>TRANSPORTES RBA</v>
      </c>
      <c r="H5643" s="1"/>
    </row>
    <row r="5644" spans="1:8" x14ac:dyDescent="0.35">
      <c r="A5644" s="21"/>
      <c r="B5644" t="s">
        <v>54</v>
      </c>
      <c r="C5644" t="s">
        <v>1755</v>
      </c>
      <c r="D5644" t="s">
        <v>1057</v>
      </c>
      <c r="F5644" s="1">
        <v>45763</v>
      </c>
      <c r="G5644" t="str">
        <f>IF(Table3[[#This Row],[Top Parent Account]]="",Table3[[#This Row],[Account Legal Name]],Table3[[#This Row],[Top Parent Account]])</f>
        <v>EMPAQUES 4F</v>
      </c>
      <c r="H5644" s="1"/>
    </row>
    <row r="5645" spans="1:8" x14ac:dyDescent="0.35">
      <c r="A5645" s="21"/>
      <c r="B5645" t="s">
        <v>989</v>
      </c>
      <c r="C5645" t="s">
        <v>6</v>
      </c>
      <c r="D5645" t="s">
        <v>1754</v>
      </c>
      <c r="F5645" s="1">
        <v>45763</v>
      </c>
      <c r="G5645" t="str">
        <f>IF(Table3[[#This Row],[Top Parent Account]]="",Table3[[#This Row],[Account Legal Name]],Table3[[#This Row],[Top Parent Account]])</f>
        <v>MEVI Energías Limpias</v>
      </c>
      <c r="H5645" s="1"/>
    </row>
    <row r="5646" spans="1:8" x14ac:dyDescent="0.35">
      <c r="A5646" s="21"/>
      <c r="B5646" t="s">
        <v>54</v>
      </c>
      <c r="C5646" t="s">
        <v>1872</v>
      </c>
      <c r="D5646" t="s">
        <v>658</v>
      </c>
      <c r="F5646" s="1">
        <v>45763</v>
      </c>
      <c r="G5646" t="str">
        <f>IF(Table3[[#This Row],[Top Parent Account]]="",Table3[[#This Row],[Account Legal Name]],Table3[[#This Row],[Top Parent Account]])</f>
        <v>SUPER FLAMA</v>
      </c>
      <c r="H5646" s="1"/>
    </row>
    <row r="5647" spans="1:8" x14ac:dyDescent="0.35">
      <c r="A5647" s="21"/>
      <c r="B5647" t="s">
        <v>18</v>
      </c>
      <c r="C5647" t="s">
        <v>6</v>
      </c>
      <c r="D5647" t="s">
        <v>1756</v>
      </c>
      <c r="F5647" s="1">
        <v>45762</v>
      </c>
      <c r="G5647" t="str">
        <f>IF(Table3[[#This Row],[Top Parent Account]]="",Table3[[#This Row],[Account Legal Name]],Table3[[#This Row],[Top Parent Account]])</f>
        <v>Alfa Omega Obras y Estructuras</v>
      </c>
      <c r="H5647" s="1"/>
    </row>
    <row r="5648" spans="1:8" x14ac:dyDescent="0.35">
      <c r="A5648" s="21"/>
      <c r="B5648" t="s">
        <v>32</v>
      </c>
      <c r="C5648" t="s">
        <v>6</v>
      </c>
      <c r="D5648" t="s">
        <v>107</v>
      </c>
      <c r="F5648" s="1">
        <v>45762</v>
      </c>
      <c r="G5648" t="str">
        <f>IF(Table3[[#This Row],[Top Parent Account]]="",Table3[[#This Row],[Account Legal Name]],Table3[[#This Row],[Top Parent Account]])</f>
        <v>Comercializadora Isabel</v>
      </c>
      <c r="H5648" s="1"/>
    </row>
    <row r="5649" spans="1:8" x14ac:dyDescent="0.35">
      <c r="A5649" s="21"/>
      <c r="B5649" t="s">
        <v>20</v>
      </c>
      <c r="C5649" t="s">
        <v>6</v>
      </c>
      <c r="D5649" t="s">
        <v>1757</v>
      </c>
      <c r="F5649" s="1">
        <v>45762</v>
      </c>
      <c r="G5649" t="str">
        <f>IF(Table3[[#This Row],[Top Parent Account]]="",Table3[[#This Row],[Account Legal Name]],Table3[[#This Row],[Top Parent Account]])</f>
        <v>UNIDADES DE PERSONAL Y ALUMNOS</v>
      </c>
      <c r="H5649" s="1"/>
    </row>
    <row r="5650" spans="1:8" x14ac:dyDescent="0.35">
      <c r="A5650" s="21"/>
      <c r="B5650" t="s">
        <v>20</v>
      </c>
      <c r="C5650" t="s">
        <v>6</v>
      </c>
      <c r="D5650" t="s">
        <v>1758</v>
      </c>
      <c r="F5650" s="1">
        <v>45762</v>
      </c>
      <c r="G5650" t="str">
        <f>IF(Table3[[#This Row],[Top Parent Account]]="",Table3[[#This Row],[Account Legal Name]],Table3[[#This Row],[Top Parent Account]])</f>
        <v>Vacoisa</v>
      </c>
      <c r="H5650" s="1"/>
    </row>
    <row r="5651" spans="1:8" x14ac:dyDescent="0.35">
      <c r="A5651" s="21"/>
      <c r="B5651" t="s">
        <v>30</v>
      </c>
      <c r="C5651" t="s">
        <v>6</v>
      </c>
      <c r="D5651" t="s">
        <v>542</v>
      </c>
      <c r="F5651" s="1">
        <v>45762</v>
      </c>
      <c r="G5651" t="str">
        <f>IF(Table3[[#This Row],[Top Parent Account]]="",Table3[[#This Row],[Account Legal Name]],Table3[[#This Row],[Top Parent Account]])</f>
        <v>Exsan de México</v>
      </c>
      <c r="H5651" s="1"/>
    </row>
    <row r="5652" spans="1:8" x14ac:dyDescent="0.35">
      <c r="A5652" s="21"/>
      <c r="B5652" t="s">
        <v>7</v>
      </c>
      <c r="C5652" t="s">
        <v>6</v>
      </c>
      <c r="D5652" t="s">
        <v>1759</v>
      </c>
      <c r="F5652" s="1">
        <v>45762</v>
      </c>
      <c r="G5652" t="str">
        <f>IF(Table3[[#This Row],[Top Parent Account]]="",Table3[[#This Row],[Account Legal Name]],Table3[[#This Row],[Top Parent Account]])</f>
        <v>Parangolab</v>
      </c>
      <c r="H5652" s="1"/>
    </row>
    <row r="5653" spans="1:8" x14ac:dyDescent="0.35">
      <c r="A5653" s="21"/>
      <c r="B5653" t="s">
        <v>375</v>
      </c>
      <c r="C5653" t="s">
        <v>6</v>
      </c>
      <c r="D5653" t="s">
        <v>1632</v>
      </c>
      <c r="F5653" s="1">
        <v>45762</v>
      </c>
      <c r="G5653" t="str">
        <f>IF(Table3[[#This Row],[Top Parent Account]]="",Table3[[#This Row],[Account Legal Name]],Table3[[#This Row],[Top Parent Account]])</f>
        <v>EQUIPOS DINAMICOS SOTO</v>
      </c>
      <c r="H5653" s="1"/>
    </row>
    <row r="5654" spans="1:8" x14ac:dyDescent="0.35">
      <c r="A5654" s="21"/>
      <c r="B5654" t="s">
        <v>207</v>
      </c>
      <c r="C5654" t="s">
        <v>6</v>
      </c>
      <c r="D5654" t="s">
        <v>1760</v>
      </c>
      <c r="F5654" s="1">
        <v>45762</v>
      </c>
      <c r="G5654" t="str">
        <f>IF(Table3[[#This Row],[Top Parent Account]]="",Table3[[#This Row],[Account Legal Name]],Table3[[#This Row],[Top Parent Account]])</f>
        <v>Embutidos De Luna</v>
      </c>
      <c r="H5654" s="1"/>
    </row>
    <row r="5655" spans="1:8" x14ac:dyDescent="0.35">
      <c r="A5655" s="21"/>
      <c r="B5655" t="s">
        <v>11</v>
      </c>
      <c r="C5655" t="s">
        <v>6</v>
      </c>
      <c r="D5655" t="s">
        <v>111</v>
      </c>
      <c r="F5655" s="1">
        <v>45762</v>
      </c>
      <c r="G5655" t="str">
        <f>IF(Table3[[#This Row],[Top Parent Account]]="",Table3[[#This Row],[Account Legal Name]],Table3[[#This Row],[Top Parent Account]])</f>
        <v>Regiomontana de Construcción y Servicios</v>
      </c>
      <c r="H5655" s="1"/>
    </row>
    <row r="5656" spans="1:8" x14ac:dyDescent="0.35">
      <c r="A5656" s="21"/>
      <c r="B5656" t="s">
        <v>375</v>
      </c>
      <c r="C5656" t="s">
        <v>6</v>
      </c>
      <c r="D5656" t="s">
        <v>1517</v>
      </c>
      <c r="F5656" s="1">
        <v>45762</v>
      </c>
      <c r="G5656" t="str">
        <f>IF(Table3[[#This Row],[Top Parent Account]]="",Table3[[#This Row],[Account Legal Name]],Table3[[#This Row],[Top Parent Account]])</f>
        <v>LAZOS INTERNACIONALES</v>
      </c>
      <c r="H5656" s="1"/>
    </row>
    <row r="5657" spans="1:8" x14ac:dyDescent="0.35">
      <c r="A5657" s="21"/>
      <c r="B5657" t="s">
        <v>589</v>
      </c>
      <c r="C5657" t="s">
        <v>6</v>
      </c>
      <c r="D5657" t="s">
        <v>1762</v>
      </c>
      <c r="F5657" s="1">
        <v>45762</v>
      </c>
      <c r="G5657" t="str">
        <f>IF(Table3[[#This Row],[Top Parent Account]]="",Table3[[#This Row],[Account Legal Name]],Table3[[#This Row],[Top Parent Account]])</f>
        <v>Contrastes y equipos radiologicos</v>
      </c>
      <c r="H5657" s="1"/>
    </row>
    <row r="5658" spans="1:8" x14ac:dyDescent="0.35">
      <c r="A5658" s="21"/>
      <c r="B5658" t="s">
        <v>18</v>
      </c>
      <c r="C5658" t="s">
        <v>6</v>
      </c>
      <c r="D5658" t="s">
        <v>1756</v>
      </c>
      <c r="F5658" s="1">
        <v>45762</v>
      </c>
      <c r="G5658" t="str">
        <f>IF(Table3[[#This Row],[Top Parent Account]]="",Table3[[#This Row],[Account Legal Name]],Table3[[#This Row],[Top Parent Account]])</f>
        <v>Alfa Omega Obras y Estructuras</v>
      </c>
      <c r="H5658" s="1"/>
    </row>
    <row r="5659" spans="1:8" x14ac:dyDescent="0.35">
      <c r="A5659" s="21"/>
      <c r="B5659" t="s">
        <v>37</v>
      </c>
      <c r="C5659" t="s">
        <v>6</v>
      </c>
      <c r="D5659" t="s">
        <v>1761</v>
      </c>
      <c r="F5659" s="1">
        <v>45762</v>
      </c>
      <c r="G5659" t="str">
        <f>IF(Table3[[#This Row],[Top Parent Account]]="",Table3[[#This Row],[Account Legal Name]],Table3[[#This Row],[Top Parent Account]])</f>
        <v>VMX MinePro</v>
      </c>
      <c r="H5659" s="1"/>
    </row>
    <row r="5660" spans="1:8" x14ac:dyDescent="0.35">
      <c r="A5660" s="21"/>
      <c r="B5660" t="s">
        <v>969</v>
      </c>
      <c r="C5660" t="s">
        <v>6</v>
      </c>
      <c r="D5660" t="s">
        <v>1763</v>
      </c>
      <c r="F5660" s="1">
        <v>45762</v>
      </c>
      <c r="G5660" t="str">
        <f>IF(Table3[[#This Row],[Top Parent Account]]="",Table3[[#This Row],[Account Legal Name]],Table3[[#This Row],[Top Parent Account]])</f>
        <v>Consorcio Omega</v>
      </c>
      <c r="H5660" s="1"/>
    </row>
    <row r="5661" spans="1:8" x14ac:dyDescent="0.35">
      <c r="A5661" s="21"/>
      <c r="B5661" t="s">
        <v>18</v>
      </c>
      <c r="C5661" t="s">
        <v>6</v>
      </c>
      <c r="D5661" t="s">
        <v>1764</v>
      </c>
      <c r="F5661" s="1">
        <v>45762</v>
      </c>
      <c r="G5661" t="str">
        <f>IF(Table3[[#This Row],[Top Parent Account]]="",Table3[[#This Row],[Account Legal Name]],Table3[[#This Row],[Top Parent Account]])</f>
        <v>JUAN LUIS CRUZ FLORES</v>
      </c>
      <c r="H5661" s="1"/>
    </row>
    <row r="5662" spans="1:8" x14ac:dyDescent="0.35">
      <c r="A5662" s="21"/>
      <c r="B5662" t="s">
        <v>54</v>
      </c>
      <c r="C5662" t="s">
        <v>1765</v>
      </c>
      <c r="D5662" t="s">
        <v>1722</v>
      </c>
      <c r="F5662" s="1">
        <v>45762</v>
      </c>
      <c r="G5662" t="str">
        <f>IF(Table3[[#This Row],[Top Parent Account]]="",Table3[[#This Row],[Account Legal Name]],Table3[[#This Row],[Top Parent Account]])</f>
        <v>Yellow Equipment Rental Store</v>
      </c>
      <c r="H5662" s="1"/>
    </row>
    <row r="5663" spans="1:8" x14ac:dyDescent="0.35">
      <c r="A5663" s="21"/>
      <c r="B5663" t="s">
        <v>932</v>
      </c>
      <c r="C5663" t="s">
        <v>1873</v>
      </c>
      <c r="D5663" t="s">
        <v>729</v>
      </c>
      <c r="F5663" s="1">
        <v>45762</v>
      </c>
      <c r="G5663" t="str">
        <f>IF(Table3[[#This Row],[Top Parent Account]]="",Table3[[#This Row],[Account Legal Name]],Table3[[#This Row],[Top Parent Account]])</f>
        <v>Organitec</v>
      </c>
      <c r="H5663" s="1"/>
    </row>
    <row r="5664" spans="1:8" x14ac:dyDescent="0.35">
      <c r="A5664" s="21"/>
      <c r="B5664" t="s">
        <v>18</v>
      </c>
      <c r="C5664" t="s">
        <v>6</v>
      </c>
      <c r="D5664" t="s">
        <v>1766</v>
      </c>
      <c r="F5664" s="1">
        <v>45762</v>
      </c>
      <c r="G5664" t="str">
        <f>IF(Table3[[#This Row],[Top Parent Account]]="",Table3[[#This Row],[Account Legal Name]],Table3[[#This Row],[Top Parent Account]])</f>
        <v>LOGISTICA MYA</v>
      </c>
      <c r="H5664" s="1"/>
    </row>
    <row r="5665" spans="1:8" x14ac:dyDescent="0.35">
      <c r="A5665" s="21"/>
      <c r="B5665" t="s">
        <v>258</v>
      </c>
      <c r="C5665" t="s">
        <v>6</v>
      </c>
      <c r="D5665" t="s">
        <v>1767</v>
      </c>
      <c r="F5665" s="1">
        <v>45762</v>
      </c>
      <c r="G5665" t="str">
        <f>IF(Table3[[#This Row],[Top Parent Account]]="",Table3[[#This Row],[Account Legal Name]],Table3[[#This Row],[Top Parent Account]])</f>
        <v>Autotanques Barron</v>
      </c>
      <c r="H5665" s="1"/>
    </row>
    <row r="5666" spans="1:8" x14ac:dyDescent="0.35">
      <c r="A5666" s="21"/>
      <c r="B5666" t="s">
        <v>30</v>
      </c>
      <c r="C5666" t="s">
        <v>6</v>
      </c>
      <c r="D5666" t="s">
        <v>64</v>
      </c>
      <c r="E5666" t="s">
        <v>42</v>
      </c>
      <c r="F5666" s="1">
        <v>45762</v>
      </c>
      <c r="G5666" t="str">
        <f>IF(Table3[[#This Row],[Top Parent Account]]="",Table3[[#This Row],[Account Legal Name]],Table3[[#This Row],[Top Parent Account]])</f>
        <v>Coca-Cola FEMSA</v>
      </c>
      <c r="H5666" s="1"/>
    </row>
    <row r="5667" spans="1:8" x14ac:dyDescent="0.35">
      <c r="A5667" s="21"/>
      <c r="B5667" t="s">
        <v>23</v>
      </c>
      <c r="C5667" t="s">
        <v>6</v>
      </c>
      <c r="D5667" t="s">
        <v>1768</v>
      </c>
      <c r="F5667" s="1">
        <v>45762</v>
      </c>
      <c r="G5667" t="str">
        <f>IF(Table3[[#This Row],[Top Parent Account]]="",Table3[[#This Row],[Account Legal Name]],Table3[[#This Row],[Top Parent Account]])</f>
        <v>COMERCIALIZADORA GOLMEX DE MEXICO</v>
      </c>
      <c r="H5667" s="1"/>
    </row>
    <row r="5668" spans="1:8" x14ac:dyDescent="0.35">
      <c r="A5668" s="21"/>
      <c r="B5668" t="s">
        <v>172</v>
      </c>
      <c r="C5668" t="s">
        <v>6</v>
      </c>
      <c r="D5668" t="s">
        <v>1769</v>
      </c>
      <c r="F5668" s="1">
        <v>45762</v>
      </c>
      <c r="G5668" t="str">
        <f>IF(Table3[[#This Row],[Top Parent Account]]="",Table3[[#This Row],[Account Legal Name]],Table3[[#This Row],[Top Parent Account]])</f>
        <v>Grupo Minero Dumas México</v>
      </c>
      <c r="H5668" s="1"/>
    </row>
    <row r="5669" spans="1:8" x14ac:dyDescent="0.35">
      <c r="A5669" s="21"/>
      <c r="B5669" t="s">
        <v>28</v>
      </c>
      <c r="C5669" t="s">
        <v>6</v>
      </c>
      <c r="D5669" t="s">
        <v>1874</v>
      </c>
      <c r="F5669" s="1">
        <v>45762</v>
      </c>
      <c r="G5669" t="str">
        <f>IF(Table3[[#This Row],[Top Parent Account]]="",Table3[[#This Row],[Account Legal Name]],Table3[[#This Row],[Top Parent Account]])</f>
        <v>VERNICOLOR MEXICO</v>
      </c>
      <c r="H5669" s="1"/>
    </row>
    <row r="5670" spans="1:8" x14ac:dyDescent="0.35">
      <c r="A5670" s="21"/>
      <c r="B5670" t="s">
        <v>54</v>
      </c>
      <c r="C5670" t="s">
        <v>1770</v>
      </c>
      <c r="D5670" t="s">
        <v>658</v>
      </c>
      <c r="F5670" s="1">
        <v>45762</v>
      </c>
      <c r="G5670" t="str">
        <f>IF(Table3[[#This Row],[Top Parent Account]]="",Table3[[#This Row],[Account Legal Name]],Table3[[#This Row],[Top Parent Account]])</f>
        <v>SUPER FLAMA</v>
      </c>
      <c r="H5670" s="1"/>
    </row>
    <row r="5671" spans="1:8" x14ac:dyDescent="0.35">
      <c r="A5671" s="21"/>
      <c r="B5671" t="s">
        <v>1643</v>
      </c>
      <c r="C5671" t="s">
        <v>6</v>
      </c>
      <c r="D5671" t="s">
        <v>1771</v>
      </c>
      <c r="F5671" s="1">
        <v>45761</v>
      </c>
      <c r="G5671" t="str">
        <f>IF(Table3[[#This Row],[Top Parent Account]]="",Table3[[#This Row],[Account Legal Name]],Table3[[#This Row],[Top Parent Account]])</f>
        <v>Fortacero</v>
      </c>
      <c r="H5671" s="1"/>
    </row>
    <row r="5672" spans="1:8" x14ac:dyDescent="0.35">
      <c r="A5672" s="21"/>
      <c r="B5672" t="s">
        <v>7</v>
      </c>
      <c r="C5672" t="s">
        <v>6</v>
      </c>
      <c r="D5672" t="s">
        <v>1772</v>
      </c>
      <c r="E5672" t="s">
        <v>4428</v>
      </c>
      <c r="F5672" s="1">
        <v>45761</v>
      </c>
      <c r="G5672" t="str">
        <f>IF(Table3[[#This Row],[Top Parent Account]]="",Table3[[#This Row],[Account Legal Name]],Table3[[#This Row],[Top Parent Account]])</f>
        <v>Forestal MDF el largo</v>
      </c>
      <c r="H5672" s="1"/>
    </row>
    <row r="5673" spans="1:8" x14ac:dyDescent="0.35">
      <c r="A5673" s="21"/>
      <c r="B5673" t="s">
        <v>14</v>
      </c>
      <c r="C5673" t="s">
        <v>6</v>
      </c>
      <c r="D5673" t="s">
        <v>728</v>
      </c>
      <c r="F5673" s="1">
        <v>45761</v>
      </c>
      <c r="G5673" t="str">
        <f>IF(Table3[[#This Row],[Top Parent Account]]="",Table3[[#This Row],[Account Legal Name]],Table3[[#This Row],[Top Parent Account]])</f>
        <v>Keymax Comercializadora</v>
      </c>
      <c r="H5673" s="1"/>
    </row>
    <row r="5674" spans="1:8" x14ac:dyDescent="0.35">
      <c r="A5674" s="21"/>
      <c r="B5674" t="s">
        <v>11</v>
      </c>
      <c r="C5674" t="s">
        <v>6</v>
      </c>
      <c r="D5674" t="s">
        <v>1126</v>
      </c>
      <c r="E5674" t="s">
        <v>399</v>
      </c>
      <c r="F5674" s="1">
        <v>45761</v>
      </c>
      <c r="G5674" t="str">
        <f>IF(Table3[[#This Row],[Top Parent Account]]="",Table3[[#This Row],[Account Legal Name]],Table3[[#This Row],[Top Parent Account]])</f>
        <v>Grupo Corporativo Papelera</v>
      </c>
      <c r="H5674" s="1"/>
    </row>
    <row r="5675" spans="1:8" x14ac:dyDescent="0.35">
      <c r="A5675" s="21"/>
      <c r="B5675" t="s">
        <v>989</v>
      </c>
      <c r="C5675" t="s">
        <v>22</v>
      </c>
      <c r="D5675" t="s">
        <v>1773</v>
      </c>
      <c r="F5675" s="1">
        <v>45761</v>
      </c>
      <c r="G5675" t="str">
        <f>IF(Table3[[#This Row],[Top Parent Account]]="",Table3[[#This Row],[Account Legal Name]],Table3[[#This Row],[Top Parent Account]])</f>
        <v>WANHUA CHEMICAL GROUP</v>
      </c>
      <c r="H5675" s="1"/>
    </row>
    <row r="5676" spans="1:8" x14ac:dyDescent="0.35">
      <c r="A5676" s="21"/>
      <c r="B5676" t="s">
        <v>24</v>
      </c>
      <c r="C5676" t="s">
        <v>6</v>
      </c>
      <c r="D5676" t="s">
        <v>1747</v>
      </c>
      <c r="F5676" s="1">
        <v>45761</v>
      </c>
      <c r="G5676" t="str">
        <f>IF(Table3[[#This Row],[Top Parent Account]]="",Table3[[#This Row],[Account Legal Name]],Table3[[#This Row],[Top Parent Account]])</f>
        <v>Agro Servicios A Productores Del Valle</v>
      </c>
      <c r="H5676" s="1"/>
    </row>
    <row r="5677" spans="1:8" x14ac:dyDescent="0.35">
      <c r="A5677" s="21"/>
      <c r="B5677" t="s">
        <v>14</v>
      </c>
      <c r="C5677" t="s">
        <v>6</v>
      </c>
      <c r="D5677" t="s">
        <v>1774</v>
      </c>
      <c r="F5677" s="1">
        <v>45761</v>
      </c>
      <c r="G5677" t="str">
        <f>IF(Table3[[#This Row],[Top Parent Account]]="",Table3[[#This Row],[Account Legal Name]],Table3[[#This Row],[Top Parent Account]])</f>
        <v>Q. Digital</v>
      </c>
      <c r="H5677" s="1"/>
    </row>
    <row r="5678" spans="1:8" x14ac:dyDescent="0.35">
      <c r="A5678" s="21"/>
      <c r="B5678" t="s">
        <v>30</v>
      </c>
      <c r="C5678" t="s">
        <v>22</v>
      </c>
      <c r="D5678" t="s">
        <v>933</v>
      </c>
      <c r="F5678" s="1">
        <v>45761</v>
      </c>
      <c r="G5678" t="str">
        <f>IF(Table3[[#This Row],[Top Parent Account]]="",Table3[[#This Row],[Account Legal Name]],Table3[[#This Row],[Top Parent Account]])</f>
        <v>Black Development Group</v>
      </c>
      <c r="H5678" s="1"/>
    </row>
    <row r="5679" spans="1:8" x14ac:dyDescent="0.35">
      <c r="A5679" s="21"/>
      <c r="B5679" t="s">
        <v>30</v>
      </c>
      <c r="C5679" t="s">
        <v>6</v>
      </c>
      <c r="D5679" t="s">
        <v>587</v>
      </c>
      <c r="F5679" s="1">
        <v>45761</v>
      </c>
      <c r="G5679" t="str">
        <f>IF(Table3[[#This Row],[Top Parent Account]]="",Table3[[#This Row],[Account Legal Name]],Table3[[#This Row],[Top Parent Account]])</f>
        <v>Mabe de México</v>
      </c>
      <c r="H5679" s="1"/>
    </row>
    <row r="5680" spans="1:8" x14ac:dyDescent="0.35">
      <c r="A5680" s="21"/>
      <c r="B5680" t="s">
        <v>932</v>
      </c>
      <c r="C5680" t="s">
        <v>1875</v>
      </c>
      <c r="D5680" t="s">
        <v>1745</v>
      </c>
      <c r="F5680" s="1">
        <v>45761</v>
      </c>
      <c r="G5680" t="str">
        <f>IF(Table3[[#This Row],[Top Parent Account]]="",Table3[[#This Row],[Account Legal Name]],Table3[[#This Row],[Top Parent Account]])</f>
        <v>Garin Etiquetas</v>
      </c>
      <c r="H5680" s="1"/>
    </row>
    <row r="5681" spans="1:8" x14ac:dyDescent="0.35">
      <c r="A5681" s="21"/>
      <c r="B5681" t="s">
        <v>38</v>
      </c>
      <c r="C5681" t="s">
        <v>6</v>
      </c>
      <c r="D5681" t="s">
        <v>1069</v>
      </c>
      <c r="F5681" s="1">
        <v>45761</v>
      </c>
      <c r="G5681" t="str">
        <f>IF(Table3[[#This Row],[Top Parent Account]]="",Table3[[#This Row],[Account Legal Name]],Table3[[#This Row],[Top Parent Account]])</f>
        <v>Tequilera Tap</v>
      </c>
      <c r="H5681" s="1"/>
    </row>
    <row r="5682" spans="1:8" x14ac:dyDescent="0.35">
      <c r="A5682" s="21"/>
      <c r="B5682" t="s">
        <v>1511</v>
      </c>
      <c r="C5682" t="s">
        <v>22</v>
      </c>
      <c r="D5682" t="s">
        <v>1775</v>
      </c>
      <c r="F5682" s="1">
        <v>45761</v>
      </c>
      <c r="G5682" t="str">
        <f>IF(Table3[[#This Row],[Top Parent Account]]="",Table3[[#This Row],[Account Legal Name]],Table3[[#This Row],[Top Parent Account]])</f>
        <v>Transportes De Los Santos</v>
      </c>
      <c r="H5682" s="1"/>
    </row>
    <row r="5683" spans="1:8" x14ac:dyDescent="0.35">
      <c r="A5683" s="21"/>
      <c r="B5683" t="s">
        <v>30</v>
      </c>
      <c r="C5683" t="s">
        <v>6</v>
      </c>
      <c r="D5683" t="s">
        <v>408</v>
      </c>
      <c r="E5683" t="s">
        <v>31</v>
      </c>
      <c r="F5683" s="1">
        <v>45761</v>
      </c>
      <c r="G5683" t="str">
        <f>IF(Table3[[#This Row],[Top Parent Account]]="",Table3[[#This Row],[Account Legal Name]],Table3[[#This Row],[Top Parent Account]])</f>
        <v>Novatec Pagani</v>
      </c>
      <c r="H5683" s="1"/>
    </row>
    <row r="5684" spans="1:8" x14ac:dyDescent="0.35">
      <c r="A5684" s="21"/>
      <c r="B5684" t="s">
        <v>970</v>
      </c>
      <c r="C5684" t="s">
        <v>6</v>
      </c>
      <c r="D5684" t="s">
        <v>659</v>
      </c>
      <c r="F5684" s="1">
        <v>45761</v>
      </c>
      <c r="G5684" t="str">
        <f>IF(Table3[[#This Row],[Top Parent Account]]="",Table3[[#This Row],[Account Legal Name]],Table3[[#This Row],[Top Parent Account]])</f>
        <v>Landsteiner Scientific de México</v>
      </c>
      <c r="H5684" s="1"/>
    </row>
    <row r="5685" spans="1:8" x14ac:dyDescent="0.35">
      <c r="A5685" s="21"/>
      <c r="B5685" t="s">
        <v>1511</v>
      </c>
      <c r="C5685" t="s">
        <v>6</v>
      </c>
      <c r="D5685" t="s">
        <v>1776</v>
      </c>
      <c r="F5685" s="1">
        <v>45761</v>
      </c>
      <c r="G5685" t="str">
        <f>IF(Table3[[#This Row],[Top Parent Account]]="",Table3[[#This Row],[Account Legal Name]],Table3[[#This Row],[Top Parent Account]])</f>
        <v>Coresa Partes y Equipos</v>
      </c>
      <c r="H5685" s="1"/>
    </row>
    <row r="5686" spans="1:8" x14ac:dyDescent="0.35">
      <c r="A5686" s="21"/>
      <c r="B5686" t="s">
        <v>30</v>
      </c>
      <c r="C5686" t="s">
        <v>6</v>
      </c>
      <c r="D5686" t="s">
        <v>431</v>
      </c>
      <c r="F5686" s="1">
        <v>45761</v>
      </c>
      <c r="G5686" t="str">
        <f>IF(Table3[[#This Row],[Top Parent Account]]="",Table3[[#This Row],[Account Legal Name]],Table3[[#This Row],[Top Parent Account]])</f>
        <v>Derivados De Gasa</v>
      </c>
      <c r="H5686" s="1"/>
    </row>
    <row r="5687" spans="1:8" x14ac:dyDescent="0.35">
      <c r="A5687" s="21"/>
      <c r="B5687" t="s">
        <v>7</v>
      </c>
      <c r="C5687" t="s">
        <v>6</v>
      </c>
      <c r="D5687" t="s">
        <v>1777</v>
      </c>
      <c r="F5687" s="1">
        <v>45761</v>
      </c>
      <c r="G5687" t="str">
        <f>IF(Table3[[#This Row],[Top Parent Account]]="",Table3[[#This Row],[Account Legal Name]],Table3[[#This Row],[Top Parent Account]])</f>
        <v>La Nacional</v>
      </c>
      <c r="H5687" s="1"/>
    </row>
    <row r="5688" spans="1:8" x14ac:dyDescent="0.35">
      <c r="A5688" s="21"/>
      <c r="B5688" t="s">
        <v>207</v>
      </c>
      <c r="C5688" t="s">
        <v>6</v>
      </c>
      <c r="D5688" t="s">
        <v>784</v>
      </c>
      <c r="E5688" t="s">
        <v>3217</v>
      </c>
      <c r="F5688" s="1">
        <v>45758</v>
      </c>
      <c r="G5688" t="str">
        <f>IF(Table3[[#This Row],[Top Parent Account]]="",Table3[[#This Row],[Account Legal Name]],Table3[[#This Row],[Top Parent Account]])</f>
        <v>Envaserv</v>
      </c>
      <c r="H5688" s="1"/>
    </row>
    <row r="5689" spans="1:8" x14ac:dyDescent="0.35">
      <c r="A5689" s="21"/>
      <c r="B5689" t="s">
        <v>121</v>
      </c>
      <c r="C5689" t="s">
        <v>6</v>
      </c>
      <c r="D5689" t="s">
        <v>1664</v>
      </c>
      <c r="F5689" s="1">
        <v>45758</v>
      </c>
      <c r="G5689" t="str">
        <f>IF(Table3[[#This Row],[Top Parent Account]]="",Table3[[#This Row],[Account Legal Name]],Table3[[#This Row],[Top Parent Account]])</f>
        <v>Salvador Lopez Lopez</v>
      </c>
      <c r="H5689" s="1"/>
    </row>
    <row r="5690" spans="1:8" x14ac:dyDescent="0.35">
      <c r="A5690" s="21"/>
      <c r="B5690" t="s">
        <v>739</v>
      </c>
      <c r="C5690" t="s">
        <v>6</v>
      </c>
      <c r="D5690" t="s">
        <v>1644</v>
      </c>
      <c r="F5690" s="1">
        <v>45758</v>
      </c>
      <c r="G5690" t="str">
        <f>IF(Table3[[#This Row],[Top Parent Account]]="",Table3[[#This Row],[Account Legal Name]],Table3[[#This Row],[Top Parent Account]])</f>
        <v>Botanas La Lupita</v>
      </c>
      <c r="H5690" s="1"/>
    </row>
    <row r="5691" spans="1:8" x14ac:dyDescent="0.35">
      <c r="A5691" s="21"/>
      <c r="B5691" t="s">
        <v>169</v>
      </c>
      <c r="C5691" t="s">
        <v>6</v>
      </c>
      <c r="D5691" t="s">
        <v>1194</v>
      </c>
      <c r="F5691" s="1">
        <v>45758</v>
      </c>
      <c r="G5691" t="str">
        <f>IF(Table3[[#This Row],[Top Parent Account]]="",Table3[[#This Row],[Account Legal Name]],Table3[[#This Row],[Top Parent Account]])</f>
        <v>Mega Label</v>
      </c>
      <c r="H5691" s="1"/>
    </row>
    <row r="5692" spans="1:8" x14ac:dyDescent="0.35">
      <c r="A5692" s="21"/>
      <c r="B5692" t="s">
        <v>969</v>
      </c>
      <c r="C5692" t="s">
        <v>6</v>
      </c>
      <c r="D5692" t="s">
        <v>1665</v>
      </c>
      <c r="F5692" s="1">
        <v>45758</v>
      </c>
      <c r="G5692" t="str">
        <f>IF(Table3[[#This Row],[Top Parent Account]]="",Table3[[#This Row],[Account Legal Name]],Table3[[#This Row],[Top Parent Account]])</f>
        <v>Ecap</v>
      </c>
      <c r="H5692" s="1"/>
    </row>
    <row r="5693" spans="1:8" x14ac:dyDescent="0.35">
      <c r="A5693" s="21"/>
      <c r="B5693" t="s">
        <v>739</v>
      </c>
      <c r="C5693" t="s">
        <v>6</v>
      </c>
      <c r="D5693" t="s">
        <v>1537</v>
      </c>
      <c r="F5693" s="1">
        <v>45758</v>
      </c>
      <c r="G5693" t="str">
        <f>IF(Table3[[#This Row],[Top Parent Account]]="",Table3[[#This Row],[Account Legal Name]],Table3[[#This Row],[Top Parent Account]])</f>
        <v>PERFORADORA TRIPLE P</v>
      </c>
      <c r="H5693" s="1"/>
    </row>
    <row r="5694" spans="1:8" x14ac:dyDescent="0.35">
      <c r="A5694" s="21"/>
      <c r="B5694" t="s">
        <v>32</v>
      </c>
      <c r="C5694" t="s">
        <v>6</v>
      </c>
      <c r="D5694" t="s">
        <v>540</v>
      </c>
      <c r="F5694" s="1">
        <v>45758</v>
      </c>
      <c r="G5694" t="str">
        <f>IF(Table3[[#This Row],[Top Parent Account]]="",Table3[[#This Row],[Account Legal Name]],Table3[[#This Row],[Top Parent Account]])</f>
        <v>Grandes Impresiones</v>
      </c>
      <c r="H5694" s="1"/>
    </row>
    <row r="5695" spans="1:8" x14ac:dyDescent="0.35">
      <c r="A5695" s="21"/>
      <c r="B5695" t="s">
        <v>590</v>
      </c>
      <c r="C5695" t="s">
        <v>22</v>
      </c>
      <c r="D5695" t="s">
        <v>2978</v>
      </c>
      <c r="F5695" s="1">
        <v>45758</v>
      </c>
      <c r="G5695" t="str">
        <f>IF(Table3[[#This Row],[Top Parent Account]]="",Table3[[#This Row],[Account Legal Name]],Table3[[#This Row],[Top Parent Account]])</f>
        <v>Grupo Perfimexa</v>
      </c>
      <c r="H5695" s="1"/>
    </row>
    <row r="5696" spans="1:8" x14ac:dyDescent="0.35">
      <c r="A5696" s="21"/>
      <c r="B5696" t="s">
        <v>590</v>
      </c>
      <c r="C5696" t="s">
        <v>6</v>
      </c>
      <c r="D5696" t="s">
        <v>1666</v>
      </c>
      <c r="F5696" s="1">
        <v>45758</v>
      </c>
      <c r="G5696" t="str">
        <f>IF(Table3[[#This Row],[Top Parent Account]]="",Table3[[#This Row],[Account Legal Name]],Table3[[#This Row],[Top Parent Account]])</f>
        <v>Carbones Industriales Mexicanos</v>
      </c>
      <c r="H5696" s="1"/>
    </row>
    <row r="5697" spans="1:8" x14ac:dyDescent="0.35">
      <c r="A5697" s="21"/>
      <c r="B5697" t="s">
        <v>169</v>
      </c>
      <c r="C5697" t="s">
        <v>6</v>
      </c>
      <c r="D5697" t="s">
        <v>1667</v>
      </c>
      <c r="E5697" t="s">
        <v>1935</v>
      </c>
      <c r="F5697" s="1">
        <v>45758</v>
      </c>
      <c r="G5697" t="str">
        <f>IF(Table3[[#This Row],[Top Parent Account]]="",Table3[[#This Row],[Account Legal Name]],Table3[[#This Row],[Top Parent Account]])</f>
        <v>ALBA DEL ARENAL GONZALEZ</v>
      </c>
      <c r="H5697" s="1"/>
    </row>
    <row r="5698" spans="1:8" x14ac:dyDescent="0.35">
      <c r="A5698" s="21"/>
      <c r="B5698" t="s">
        <v>10</v>
      </c>
      <c r="C5698" t="s">
        <v>6</v>
      </c>
      <c r="D5698" t="s">
        <v>1400</v>
      </c>
      <c r="F5698" s="1">
        <v>45758</v>
      </c>
      <c r="G5698" t="str">
        <f>IF(Table3[[#This Row],[Top Parent Account]]="",Table3[[#This Row],[Account Legal Name]],Table3[[#This Row],[Top Parent Account]])</f>
        <v>Yusen Logistics (México)</v>
      </c>
      <c r="H5698" s="1"/>
    </row>
    <row r="5699" spans="1:8" x14ac:dyDescent="0.35">
      <c r="A5699" s="21"/>
      <c r="B5699" t="s">
        <v>56</v>
      </c>
      <c r="C5699" t="s">
        <v>6</v>
      </c>
      <c r="D5699" t="s">
        <v>818</v>
      </c>
      <c r="F5699" s="1">
        <v>45758</v>
      </c>
      <c r="G5699" t="str">
        <f>IF(Table3[[#This Row],[Top Parent Account]]="",Table3[[#This Row],[Account Legal Name]],Table3[[#This Row],[Top Parent Account]])</f>
        <v>Lactoproductos La Loma</v>
      </c>
      <c r="H5699" s="1"/>
    </row>
    <row r="5700" spans="1:8" x14ac:dyDescent="0.35">
      <c r="A5700" s="21"/>
      <c r="B5700" t="s">
        <v>932</v>
      </c>
      <c r="C5700" t="s">
        <v>1668</v>
      </c>
      <c r="D5700" t="s">
        <v>1669</v>
      </c>
      <c r="F5700" s="1">
        <v>45758</v>
      </c>
      <c r="G5700" t="str">
        <f>IF(Table3[[#This Row],[Top Parent Account]]="",Table3[[#This Row],[Account Legal Name]],Table3[[#This Row],[Top Parent Account]])</f>
        <v>IXCART</v>
      </c>
      <c r="H5700" s="1"/>
    </row>
    <row r="5701" spans="1:8" x14ac:dyDescent="0.35">
      <c r="A5701" s="21"/>
      <c r="B5701" t="s">
        <v>1511</v>
      </c>
      <c r="C5701" t="s">
        <v>6</v>
      </c>
      <c r="D5701" t="s">
        <v>439</v>
      </c>
      <c r="F5701" s="1">
        <v>45758</v>
      </c>
      <c r="G5701" t="str">
        <f>IF(Table3[[#This Row],[Top Parent Account]]="",Table3[[#This Row],[Account Legal Name]],Table3[[#This Row],[Top Parent Account]])</f>
        <v>Copamex</v>
      </c>
      <c r="H5701" s="1"/>
    </row>
    <row r="5702" spans="1:8" x14ac:dyDescent="0.35">
      <c r="A5702" s="21"/>
      <c r="B5702" t="s">
        <v>21</v>
      </c>
      <c r="C5702" t="s">
        <v>6</v>
      </c>
      <c r="D5702" t="s">
        <v>1778</v>
      </c>
      <c r="F5702" s="1">
        <v>45758</v>
      </c>
      <c r="G5702" t="str">
        <f>IF(Table3[[#This Row],[Top Parent Account]]="",Table3[[#This Row],[Account Legal Name]],Table3[[#This Row],[Top Parent Account]])</f>
        <v>Constructora Santandreu</v>
      </c>
      <c r="H5702" s="1"/>
    </row>
    <row r="5703" spans="1:8" x14ac:dyDescent="0.35">
      <c r="A5703" s="21"/>
      <c r="B5703" t="s">
        <v>280</v>
      </c>
      <c r="C5703" t="s">
        <v>6</v>
      </c>
      <c r="D5703" t="s">
        <v>1670</v>
      </c>
      <c r="F5703" s="1">
        <v>45758</v>
      </c>
      <c r="G5703" t="str">
        <f>IF(Table3[[#This Row],[Top Parent Account]]="",Table3[[#This Row],[Account Legal Name]],Table3[[#This Row],[Top Parent Account]])</f>
        <v>Grupo Pecuario Arce</v>
      </c>
      <c r="H5703" s="1"/>
    </row>
    <row r="5704" spans="1:8" x14ac:dyDescent="0.35">
      <c r="A5704" s="21"/>
      <c r="B5704" t="s">
        <v>820</v>
      </c>
      <c r="C5704" t="s">
        <v>6</v>
      </c>
      <c r="D5704" t="s">
        <v>119</v>
      </c>
      <c r="F5704" s="1">
        <v>45758</v>
      </c>
      <c r="G5704" t="str">
        <f>IF(Table3[[#This Row],[Top Parent Account]]="",Table3[[#This Row],[Account Legal Name]],Table3[[#This Row],[Top Parent Account]])</f>
        <v>Grupo Pinturerias</v>
      </c>
      <c r="H5704" s="1"/>
    </row>
    <row r="5705" spans="1:8" x14ac:dyDescent="0.35">
      <c r="A5705" s="21"/>
      <c r="B5705" t="s">
        <v>38</v>
      </c>
      <c r="C5705" t="s">
        <v>6</v>
      </c>
      <c r="D5705" t="s">
        <v>664</v>
      </c>
      <c r="F5705" s="1">
        <v>45757</v>
      </c>
      <c r="G5705" t="str">
        <f>IF(Table3[[#This Row],[Top Parent Account]]="",Table3[[#This Row],[Account Legal Name]],Table3[[#This Row],[Top Parent Account]])</f>
        <v>Waukesha Metal Products de México</v>
      </c>
      <c r="H5705" s="1"/>
    </row>
    <row r="5706" spans="1:8" x14ac:dyDescent="0.35">
      <c r="A5706" s="21"/>
      <c r="B5706" t="s">
        <v>38</v>
      </c>
      <c r="C5706" t="s">
        <v>6</v>
      </c>
      <c r="D5706" t="s">
        <v>668</v>
      </c>
      <c r="F5706" s="1">
        <v>45757</v>
      </c>
      <c r="G5706" t="str">
        <f>IF(Table3[[#This Row],[Top Parent Account]]="",Table3[[#This Row],[Account Legal Name]],Table3[[#This Row],[Top Parent Account]])</f>
        <v>Quarder de México</v>
      </c>
      <c r="H5706" s="1"/>
    </row>
    <row r="5707" spans="1:8" x14ac:dyDescent="0.35">
      <c r="A5707" s="21"/>
      <c r="B5707" t="s">
        <v>21</v>
      </c>
      <c r="C5707" t="s">
        <v>6</v>
      </c>
      <c r="D5707" t="s">
        <v>1671</v>
      </c>
      <c r="F5707" s="1">
        <v>45757</v>
      </c>
      <c r="G5707" t="str">
        <f>IF(Table3[[#This Row],[Top Parent Account]]="",Table3[[#This Row],[Account Legal Name]],Table3[[#This Row],[Top Parent Account]])</f>
        <v>Transportes Rápidos La Sultana</v>
      </c>
      <c r="H5707" s="1"/>
    </row>
    <row r="5708" spans="1:8" x14ac:dyDescent="0.35">
      <c r="A5708" s="21"/>
      <c r="B5708" t="s">
        <v>989</v>
      </c>
      <c r="C5708" t="s">
        <v>6</v>
      </c>
      <c r="D5708" t="s">
        <v>1672</v>
      </c>
      <c r="F5708" s="1">
        <v>45757</v>
      </c>
      <c r="G5708" t="str">
        <f>IF(Table3[[#This Row],[Top Parent Account]]="",Table3[[#This Row],[Account Legal Name]],Table3[[#This Row],[Top Parent Account]])</f>
        <v>RBA Banca de Inversión</v>
      </c>
      <c r="H5708" s="1"/>
    </row>
    <row r="5709" spans="1:8" x14ac:dyDescent="0.35">
      <c r="A5709" s="21"/>
      <c r="B5709" t="s">
        <v>172</v>
      </c>
      <c r="C5709" t="s">
        <v>6</v>
      </c>
      <c r="D5709" t="s">
        <v>1459</v>
      </c>
      <c r="F5709" s="1">
        <v>45757</v>
      </c>
      <c r="G5709" t="str">
        <f>IF(Table3[[#This Row],[Top Parent Account]]="",Table3[[#This Row],[Account Legal Name]],Table3[[#This Row],[Top Parent Account]])</f>
        <v>Grupo Diagnostico Aries</v>
      </c>
      <c r="H5709" s="1"/>
    </row>
    <row r="5710" spans="1:8" x14ac:dyDescent="0.35">
      <c r="A5710" s="21"/>
      <c r="B5710" t="s">
        <v>77</v>
      </c>
      <c r="C5710" t="s">
        <v>6</v>
      </c>
      <c r="D5710" t="s">
        <v>2824</v>
      </c>
      <c r="E5710" t="s">
        <v>873</v>
      </c>
      <c r="F5710" s="1">
        <v>45757</v>
      </c>
      <c r="G5710" t="str">
        <f>IF(Table3[[#This Row],[Top Parent Account]]="",Table3[[#This Row],[Account Legal Name]],Table3[[#This Row],[Top Parent Account]])</f>
        <v>Transformaciones y servicios metalúrgicos</v>
      </c>
      <c r="H5710" s="1"/>
    </row>
    <row r="5711" spans="1:8" x14ac:dyDescent="0.35">
      <c r="A5711" s="21"/>
      <c r="B5711" t="s">
        <v>21</v>
      </c>
      <c r="C5711" t="s">
        <v>6</v>
      </c>
      <c r="D5711" t="s">
        <v>1655</v>
      </c>
      <c r="F5711" s="1">
        <v>45757</v>
      </c>
      <c r="G5711" t="str">
        <f>IF(Table3[[#This Row],[Top Parent Account]]="",Table3[[#This Row],[Account Legal Name]],Table3[[#This Row],[Top Parent Account]])</f>
        <v>Croncretab Concretos y Agregados</v>
      </c>
      <c r="H5711" s="1"/>
    </row>
    <row r="5712" spans="1:8" x14ac:dyDescent="0.35">
      <c r="A5712" s="21"/>
      <c r="B5712" t="s">
        <v>925</v>
      </c>
      <c r="C5712" t="s">
        <v>6</v>
      </c>
      <c r="D5712" t="s">
        <v>1673</v>
      </c>
      <c r="F5712" s="1">
        <v>45757</v>
      </c>
      <c r="G5712" t="str">
        <f>IF(Table3[[#This Row],[Top Parent Account]]="",Table3[[#This Row],[Account Legal Name]],Table3[[#This Row],[Top Parent Account]])</f>
        <v>Panarte</v>
      </c>
      <c r="H5712" s="1"/>
    </row>
    <row r="5713" spans="1:8" x14ac:dyDescent="0.35">
      <c r="A5713" s="21"/>
      <c r="B5713" t="s">
        <v>14</v>
      </c>
      <c r="C5713" t="s">
        <v>6</v>
      </c>
      <c r="D5713" t="s">
        <v>1674</v>
      </c>
      <c r="F5713" s="1">
        <v>45757</v>
      </c>
      <c r="G5713" t="str">
        <f>IF(Table3[[#This Row],[Top Parent Account]]="",Table3[[#This Row],[Account Legal Name]],Table3[[#This Row],[Top Parent Account]])</f>
        <v>Cremeria la estacion de Lupita</v>
      </c>
      <c r="H5713" s="1"/>
    </row>
    <row r="5714" spans="1:8" x14ac:dyDescent="0.35">
      <c r="A5714" s="21"/>
      <c r="B5714" t="s">
        <v>192</v>
      </c>
      <c r="C5714" t="s">
        <v>49</v>
      </c>
      <c r="D5714" t="s">
        <v>1103</v>
      </c>
      <c r="F5714" s="1">
        <v>45757</v>
      </c>
      <c r="G5714" t="str">
        <f>IF(Table3[[#This Row],[Top Parent Account]]="",Table3[[#This Row],[Account Legal Name]],Table3[[#This Row],[Top Parent Account]])</f>
        <v>Secure Nextgen Systems</v>
      </c>
      <c r="H5714" s="1"/>
    </row>
    <row r="5715" spans="1:8" x14ac:dyDescent="0.35">
      <c r="A5715" s="21"/>
      <c r="B5715" t="s">
        <v>12</v>
      </c>
      <c r="C5715" t="s">
        <v>6</v>
      </c>
      <c r="D5715" t="s">
        <v>776</v>
      </c>
      <c r="F5715" s="1">
        <v>45757</v>
      </c>
      <c r="G5715" t="str">
        <f>IF(Table3[[#This Row],[Top Parent Account]]="",Table3[[#This Row],[Account Legal Name]],Table3[[#This Row],[Top Parent Account]])</f>
        <v>Grupo Goyeo</v>
      </c>
      <c r="H5715" s="1"/>
    </row>
    <row r="5716" spans="1:8" x14ac:dyDescent="0.35">
      <c r="A5716" s="21"/>
      <c r="B5716" t="s">
        <v>32</v>
      </c>
      <c r="C5716" t="s">
        <v>6</v>
      </c>
      <c r="D5716" t="s">
        <v>1656</v>
      </c>
      <c r="F5716" s="1">
        <v>45757</v>
      </c>
      <c r="G5716" t="str">
        <f>IF(Table3[[#This Row],[Top Parent Account]]="",Table3[[#This Row],[Account Legal Name]],Table3[[#This Row],[Top Parent Account]])</f>
        <v>Desarrolladora de Caminos</v>
      </c>
      <c r="H5716" s="1"/>
    </row>
    <row r="5717" spans="1:8" x14ac:dyDescent="0.35">
      <c r="A5717" s="21"/>
      <c r="B5717" t="s">
        <v>26</v>
      </c>
      <c r="C5717" t="s">
        <v>6</v>
      </c>
      <c r="D5717" t="s">
        <v>554</v>
      </c>
      <c r="F5717" s="1">
        <v>45757</v>
      </c>
      <c r="G5717" t="str">
        <f>IF(Table3[[#This Row],[Top Parent Account]]="",Table3[[#This Row],[Account Legal Name]],Table3[[#This Row],[Top Parent Account]])</f>
        <v>Atco México</v>
      </c>
      <c r="H5717" s="1"/>
    </row>
    <row r="5718" spans="1:8" x14ac:dyDescent="0.35">
      <c r="A5718" s="21"/>
      <c r="B5718" t="s">
        <v>88</v>
      </c>
      <c r="C5718" t="s">
        <v>6</v>
      </c>
      <c r="D5718" t="s">
        <v>1675</v>
      </c>
      <c r="F5718" s="1">
        <v>45757</v>
      </c>
      <c r="G5718" t="str">
        <f>IF(Table3[[#This Row],[Top Parent Account]]="",Table3[[#This Row],[Account Legal Name]],Table3[[#This Row],[Top Parent Account]])</f>
        <v>Promotora y operadora de empleo UNZ</v>
      </c>
      <c r="H5718" s="1"/>
    </row>
    <row r="5719" spans="1:8" x14ac:dyDescent="0.35">
      <c r="A5719" s="21"/>
      <c r="B5719" t="s">
        <v>77</v>
      </c>
      <c r="C5719" t="s">
        <v>6</v>
      </c>
      <c r="D5719" t="s">
        <v>206</v>
      </c>
      <c r="F5719" s="1">
        <v>45757</v>
      </c>
      <c r="G5719" t="str">
        <f>IF(Table3[[#This Row],[Top Parent Account]]="",Table3[[#This Row],[Account Legal Name]],Table3[[#This Row],[Top Parent Account]])</f>
        <v>MANUFACTURERA FEHR</v>
      </c>
      <c r="H5719" s="1"/>
    </row>
    <row r="5720" spans="1:8" x14ac:dyDescent="0.35">
      <c r="A5720" s="21"/>
      <c r="B5720" t="s">
        <v>21</v>
      </c>
      <c r="C5720" t="s">
        <v>6</v>
      </c>
      <c r="D5720" t="s">
        <v>1676</v>
      </c>
      <c r="F5720" s="1">
        <v>45757</v>
      </c>
      <c r="G5720" t="str">
        <f>IF(Table3[[#This Row],[Top Parent Account]]="",Table3[[#This Row],[Account Legal Name]],Table3[[#This Row],[Top Parent Account]])</f>
        <v>EL JAROCHO CARNICERIAS</v>
      </c>
      <c r="H5720" s="1"/>
    </row>
    <row r="5721" spans="1:8" x14ac:dyDescent="0.35">
      <c r="A5721" s="21"/>
      <c r="B5721" t="s">
        <v>78</v>
      </c>
      <c r="C5721" t="s">
        <v>6</v>
      </c>
      <c r="D5721" t="s">
        <v>1677</v>
      </c>
      <c r="F5721" s="1">
        <v>45757</v>
      </c>
      <c r="G5721" t="str">
        <f>IF(Table3[[#This Row],[Top Parent Account]]="",Table3[[#This Row],[Account Legal Name]],Table3[[#This Row],[Top Parent Account]])</f>
        <v>ISRAEL CASTILLA LUCA</v>
      </c>
      <c r="H5721" s="1"/>
    </row>
    <row r="5722" spans="1:8" x14ac:dyDescent="0.35">
      <c r="A5722" s="21"/>
      <c r="B5722" t="s">
        <v>28</v>
      </c>
      <c r="C5722" t="s">
        <v>6</v>
      </c>
      <c r="D5722" t="s">
        <v>1741</v>
      </c>
      <c r="F5722" s="1">
        <v>45757</v>
      </c>
      <c r="G5722" t="str">
        <f>IF(Table3[[#This Row],[Top Parent Account]]="",Table3[[#This Row],[Account Legal Name]],Table3[[#This Row],[Top Parent Account]])</f>
        <v>W2G LOGISTICA</v>
      </c>
      <c r="H5722" s="1"/>
    </row>
    <row r="5723" spans="1:8" x14ac:dyDescent="0.35">
      <c r="A5723" s="21"/>
      <c r="B5723" t="s">
        <v>169</v>
      </c>
      <c r="C5723" t="s">
        <v>6</v>
      </c>
      <c r="D5723" t="s">
        <v>987</v>
      </c>
      <c r="F5723" s="1">
        <v>45757</v>
      </c>
      <c r="G5723" t="str">
        <f>IF(Table3[[#This Row],[Top Parent Account]]="",Table3[[#This Row],[Account Legal Name]],Table3[[#This Row],[Top Parent Account]])</f>
        <v>Elaboradora De Alimentos Pachuca</v>
      </c>
      <c r="H5723" s="1"/>
    </row>
    <row r="5724" spans="1:8" x14ac:dyDescent="0.35">
      <c r="A5724" s="21"/>
      <c r="B5724" t="s">
        <v>207</v>
      </c>
      <c r="C5724" t="s">
        <v>6</v>
      </c>
      <c r="D5724" t="s">
        <v>661</v>
      </c>
      <c r="F5724" s="1">
        <v>45757</v>
      </c>
      <c r="G5724" t="str">
        <f>IF(Table3[[#This Row],[Top Parent Account]]="",Table3[[#This Row],[Account Legal Name]],Table3[[#This Row],[Top Parent Account]])</f>
        <v>FLORES IXTAPAN</v>
      </c>
      <c r="H5724" s="1"/>
    </row>
    <row r="5725" spans="1:8" x14ac:dyDescent="0.35">
      <c r="A5725" s="21"/>
      <c r="B5725" t="s">
        <v>21</v>
      </c>
      <c r="C5725" t="s">
        <v>6</v>
      </c>
      <c r="D5725" t="s">
        <v>1652</v>
      </c>
      <c r="F5725" s="1">
        <v>45757</v>
      </c>
      <c r="G5725" t="str">
        <f>IF(Table3[[#This Row],[Top Parent Account]]="",Table3[[#This Row],[Account Legal Name]],Table3[[#This Row],[Top Parent Account]])</f>
        <v>Chocolates Cacep</v>
      </c>
      <c r="H5725" s="1"/>
    </row>
    <row r="5726" spans="1:8" x14ac:dyDescent="0.35">
      <c r="A5726" s="21"/>
      <c r="B5726" t="s">
        <v>51</v>
      </c>
      <c r="C5726" t="s">
        <v>6</v>
      </c>
      <c r="D5726" t="s">
        <v>1067</v>
      </c>
      <c r="F5726" s="1">
        <v>45757</v>
      </c>
      <c r="G5726" t="str">
        <f>IF(Table3[[#This Row],[Top Parent Account]]="",Table3[[#This Row],[Account Legal Name]],Table3[[#This Row],[Top Parent Account]])</f>
        <v>Comercializadora de Plásticos de Alta Calidad</v>
      </c>
      <c r="H5726" s="1"/>
    </row>
    <row r="5727" spans="1:8" x14ac:dyDescent="0.35">
      <c r="A5727" s="21"/>
      <c r="B5727" t="s">
        <v>970</v>
      </c>
      <c r="C5727" t="s">
        <v>6</v>
      </c>
      <c r="D5727" t="s">
        <v>1634</v>
      </c>
      <c r="F5727" s="1">
        <v>45757</v>
      </c>
      <c r="G5727" t="str">
        <f>IF(Table3[[#This Row],[Top Parent Account]]="",Table3[[#This Row],[Account Legal Name]],Table3[[#This Row],[Top Parent Account]])</f>
        <v>Belleza y Vanidad</v>
      </c>
      <c r="H5727" s="1"/>
    </row>
    <row r="5728" spans="1:8" x14ac:dyDescent="0.35">
      <c r="A5728" s="21"/>
      <c r="B5728" t="s">
        <v>77</v>
      </c>
      <c r="C5728" t="s">
        <v>6</v>
      </c>
      <c r="D5728" t="s">
        <v>888</v>
      </c>
      <c r="F5728" s="1">
        <v>45757</v>
      </c>
      <c r="G5728" t="str">
        <f>IF(Table3[[#This Row],[Top Parent Account]]="",Table3[[#This Row],[Account Legal Name]],Table3[[#This Row],[Top Parent Account]])</f>
        <v>Smyle Clean</v>
      </c>
      <c r="H5728" s="1"/>
    </row>
    <row r="5729" spans="1:8" x14ac:dyDescent="0.35">
      <c r="A5729" s="21"/>
      <c r="B5729" t="s">
        <v>1031</v>
      </c>
      <c r="C5729" t="s">
        <v>6</v>
      </c>
      <c r="D5729" t="s">
        <v>1659</v>
      </c>
      <c r="F5729" s="1">
        <v>45757</v>
      </c>
      <c r="G5729" t="str">
        <f>IF(Table3[[#This Row],[Top Parent Account]]="",Table3[[#This Row],[Account Legal Name]],Table3[[#This Row],[Top Parent Account]])</f>
        <v>Giant Motors Latinoamérica</v>
      </c>
      <c r="H5729" s="1"/>
    </row>
    <row r="5730" spans="1:8" x14ac:dyDescent="0.35">
      <c r="A5730" s="21"/>
      <c r="B5730" t="s">
        <v>172</v>
      </c>
      <c r="C5730" t="s">
        <v>6</v>
      </c>
      <c r="D5730" t="s">
        <v>4424</v>
      </c>
      <c r="F5730" s="1">
        <v>45757</v>
      </c>
      <c r="G5730" t="str">
        <f>IF(Table3[[#This Row],[Top Parent Account]]="",Table3[[#This Row],[Account Legal Name]],Table3[[#This Row],[Top Parent Account]])</f>
        <v>Alimientos SR Natural</v>
      </c>
      <c r="H5730" s="1"/>
    </row>
    <row r="5731" spans="1:8" x14ac:dyDescent="0.35">
      <c r="A5731" s="21"/>
      <c r="B5731" t="s">
        <v>375</v>
      </c>
      <c r="C5731" t="s">
        <v>6</v>
      </c>
      <c r="D5731" t="s">
        <v>220</v>
      </c>
      <c r="F5731" s="1">
        <v>45757</v>
      </c>
      <c r="G5731" t="str">
        <f>IF(Table3[[#This Row],[Top Parent Account]]="",Table3[[#This Row],[Account Legal Name]],Table3[[#This Row],[Top Parent Account]])</f>
        <v>Delman Internacional</v>
      </c>
      <c r="H5731" s="1"/>
    </row>
    <row r="5732" spans="1:8" x14ac:dyDescent="0.35">
      <c r="A5732" s="21"/>
      <c r="B5732" t="s">
        <v>18</v>
      </c>
      <c r="C5732" t="s">
        <v>6</v>
      </c>
      <c r="D5732" t="s">
        <v>1648</v>
      </c>
      <c r="F5732" s="1">
        <v>45757</v>
      </c>
      <c r="G5732" t="str">
        <f>IF(Table3[[#This Row],[Top Parent Account]]="",Table3[[#This Row],[Account Legal Name]],Table3[[#This Row],[Top Parent Account]])</f>
        <v>Promotora de Maderas Monterrey</v>
      </c>
      <c r="H5732" s="1"/>
    </row>
    <row r="5733" spans="1:8" x14ac:dyDescent="0.35">
      <c r="A5733" s="21"/>
      <c r="B5733" t="s">
        <v>280</v>
      </c>
      <c r="C5733" t="s">
        <v>6</v>
      </c>
      <c r="D5733" t="s">
        <v>1678</v>
      </c>
      <c r="F5733" s="1">
        <v>45757</v>
      </c>
      <c r="G5733" t="str">
        <f>IF(Table3[[#This Row],[Top Parent Account]]="",Table3[[#This Row],[Account Legal Name]],Table3[[#This Row],[Top Parent Account]])</f>
        <v>Grupo Acuícola Mexicano</v>
      </c>
      <c r="H5733" s="1"/>
    </row>
    <row r="5734" spans="1:8" x14ac:dyDescent="0.35">
      <c r="A5734" s="21"/>
      <c r="B5734" t="s">
        <v>54</v>
      </c>
      <c r="C5734" t="s">
        <v>1679</v>
      </c>
      <c r="D5734" t="s">
        <v>200</v>
      </c>
      <c r="F5734" s="1">
        <v>45757</v>
      </c>
      <c r="G5734" t="str">
        <f>IF(Table3[[#This Row],[Top Parent Account]]="",Table3[[#This Row],[Account Legal Name]],Table3[[#This Row],[Top Parent Account]])</f>
        <v>Grupo Industrial Summa</v>
      </c>
      <c r="H5734" s="1"/>
    </row>
    <row r="5735" spans="1:8" x14ac:dyDescent="0.35">
      <c r="A5735" s="21"/>
      <c r="B5735" t="s">
        <v>820</v>
      </c>
      <c r="C5735" t="s">
        <v>6</v>
      </c>
      <c r="D5735" t="s">
        <v>260</v>
      </c>
      <c r="E5735" t="s">
        <v>261</v>
      </c>
      <c r="F5735" s="1">
        <v>45757</v>
      </c>
      <c r="G5735" t="str">
        <f>IF(Table3[[#This Row],[Top Parent Account]]="",Table3[[#This Row],[Account Legal Name]],Table3[[#This Row],[Top Parent Account]])</f>
        <v>Comercializadora Megasem</v>
      </c>
      <c r="H5735" s="1"/>
    </row>
    <row r="5736" spans="1:8" x14ac:dyDescent="0.35">
      <c r="A5736" s="21"/>
      <c r="B5736" t="s">
        <v>11</v>
      </c>
      <c r="C5736" t="s">
        <v>6</v>
      </c>
      <c r="D5736" t="s">
        <v>111</v>
      </c>
      <c r="F5736" s="1">
        <v>45757</v>
      </c>
      <c r="G5736" t="str">
        <f>IF(Table3[[#This Row],[Top Parent Account]]="",Table3[[#This Row],[Account Legal Name]],Table3[[#This Row],[Top Parent Account]])</f>
        <v>Regiomontana de Construcción y Servicios</v>
      </c>
      <c r="H5736" s="1"/>
    </row>
    <row r="5737" spans="1:8" x14ac:dyDescent="0.35">
      <c r="A5737" s="21"/>
      <c r="B5737" t="s">
        <v>280</v>
      </c>
      <c r="C5737" t="s">
        <v>6</v>
      </c>
      <c r="D5737" t="s">
        <v>1680</v>
      </c>
      <c r="F5737" s="1">
        <v>45757</v>
      </c>
      <c r="G5737" t="str">
        <f>IF(Table3[[#This Row],[Top Parent Account]]="",Table3[[#This Row],[Account Legal Name]],Table3[[#This Row],[Top Parent Account]])</f>
        <v>Agrotileno de México</v>
      </c>
      <c r="H5737" s="1"/>
    </row>
    <row r="5738" spans="1:8" x14ac:dyDescent="0.35">
      <c r="A5738" s="21"/>
      <c r="B5738" t="s">
        <v>1511</v>
      </c>
      <c r="C5738" t="s">
        <v>6</v>
      </c>
      <c r="D5738" t="s">
        <v>1681</v>
      </c>
      <c r="F5738" s="1">
        <v>45757</v>
      </c>
      <c r="G5738" t="str">
        <f>IF(Table3[[#This Row],[Top Parent Account]]="",Table3[[#This Row],[Account Legal Name]],Table3[[#This Row],[Top Parent Account]])</f>
        <v>K-FLEX DE MEXICO</v>
      </c>
      <c r="H5738" s="1"/>
    </row>
    <row r="5739" spans="1:8" x14ac:dyDescent="0.35">
      <c r="A5739" s="21"/>
      <c r="B5739" t="s">
        <v>1643</v>
      </c>
      <c r="C5739" t="s">
        <v>1682</v>
      </c>
      <c r="D5739" t="s">
        <v>1647</v>
      </c>
      <c r="F5739" s="1">
        <v>45757</v>
      </c>
      <c r="G5739" t="str">
        <f>IF(Table3[[#This Row],[Top Parent Account]]="",Table3[[#This Row],[Account Legal Name]],Table3[[#This Row],[Top Parent Account]])</f>
        <v>Fundicion Aguilas</v>
      </c>
      <c r="H5739" s="1"/>
    </row>
    <row r="5740" spans="1:8" x14ac:dyDescent="0.35">
      <c r="A5740" s="21"/>
      <c r="B5740" t="s">
        <v>37</v>
      </c>
      <c r="C5740" t="s">
        <v>6</v>
      </c>
      <c r="D5740" t="s">
        <v>1742</v>
      </c>
      <c r="F5740" s="1">
        <v>45757</v>
      </c>
      <c r="G5740" t="str">
        <f>IF(Table3[[#This Row],[Top Parent Account]]="",Table3[[#This Row],[Account Legal Name]],Table3[[#This Row],[Top Parent Account]])</f>
        <v>SPM Servicios y Proyectos Mineros de México</v>
      </c>
      <c r="H5740" s="1"/>
    </row>
    <row r="5741" spans="1:8" x14ac:dyDescent="0.35">
      <c r="A5741" s="21"/>
      <c r="B5741" t="s">
        <v>38</v>
      </c>
      <c r="C5741" t="s">
        <v>6</v>
      </c>
      <c r="D5741" t="s">
        <v>648</v>
      </c>
      <c r="F5741" s="1">
        <v>45756</v>
      </c>
      <c r="G5741" t="str">
        <f>IF(Table3[[#This Row],[Top Parent Account]]="",Table3[[#This Row],[Account Legal Name]],Table3[[#This Row],[Top Parent Account]])</f>
        <v>TS Trucking (Charger Logisitcs)</v>
      </c>
      <c r="H5741" s="1"/>
    </row>
    <row r="5742" spans="1:8" x14ac:dyDescent="0.35">
      <c r="A5742" s="21"/>
      <c r="B5742" t="s">
        <v>38</v>
      </c>
      <c r="C5742" t="s">
        <v>6</v>
      </c>
      <c r="D5742" t="s">
        <v>635</v>
      </c>
      <c r="F5742" s="1">
        <v>45756</v>
      </c>
      <c r="G5742" t="str">
        <f>IF(Table3[[#This Row],[Top Parent Account]]="",Table3[[#This Row],[Account Legal Name]],Table3[[#This Row],[Top Parent Account]])</f>
        <v>Grupo Rifel</v>
      </c>
      <c r="H5742" s="1"/>
    </row>
    <row r="5743" spans="1:8" x14ac:dyDescent="0.35">
      <c r="A5743" s="21"/>
      <c r="B5743" t="s">
        <v>38</v>
      </c>
      <c r="C5743" t="s">
        <v>6</v>
      </c>
      <c r="D5743" t="s">
        <v>642</v>
      </c>
      <c r="F5743" s="1">
        <v>45756</v>
      </c>
      <c r="G5743" t="str">
        <f>IF(Table3[[#This Row],[Top Parent Account]]="",Table3[[#This Row],[Account Legal Name]],Table3[[#This Row],[Top Parent Account]])</f>
        <v>Ganaderos Asociados de Querétaro</v>
      </c>
      <c r="H5743" s="1"/>
    </row>
    <row r="5744" spans="1:8" x14ac:dyDescent="0.35">
      <c r="A5744" s="21"/>
      <c r="B5744" t="s">
        <v>7</v>
      </c>
      <c r="C5744" t="s">
        <v>6</v>
      </c>
      <c r="D5744" t="s">
        <v>1683</v>
      </c>
      <c r="F5744" s="1">
        <v>45756</v>
      </c>
      <c r="G5744" t="str">
        <f>IF(Table3[[#This Row],[Top Parent Account]]="",Table3[[#This Row],[Account Legal Name]],Table3[[#This Row],[Top Parent Account]])</f>
        <v>Grupo Fitcor</v>
      </c>
      <c r="H5744" s="1"/>
    </row>
    <row r="5745" spans="1:8" x14ac:dyDescent="0.35">
      <c r="A5745" s="21"/>
      <c r="B5745" t="s">
        <v>21</v>
      </c>
      <c r="C5745" t="s">
        <v>6</v>
      </c>
      <c r="D5745" t="s">
        <v>1684</v>
      </c>
      <c r="F5745" s="1">
        <v>45756</v>
      </c>
      <c r="G5745" t="str">
        <f>IF(Table3[[#This Row],[Top Parent Account]]="",Table3[[#This Row],[Account Legal Name]],Table3[[#This Row],[Top Parent Account]])</f>
        <v>Diseño y Construcciones ASA</v>
      </c>
      <c r="H5745" s="1"/>
    </row>
    <row r="5746" spans="1:8" x14ac:dyDescent="0.35">
      <c r="A5746" s="21"/>
      <c r="B5746" t="s">
        <v>969</v>
      </c>
      <c r="C5746" t="s">
        <v>6</v>
      </c>
      <c r="D5746" t="s">
        <v>320</v>
      </c>
      <c r="F5746" s="1">
        <v>45756</v>
      </c>
      <c r="G5746" t="str">
        <f>IF(Table3[[#This Row],[Top Parent Account]]="",Table3[[#This Row],[Account Legal Name]],Table3[[#This Row],[Top Parent Account]])</f>
        <v>ALI &amp; PROPEC</v>
      </c>
      <c r="H5746" s="1"/>
    </row>
    <row r="5747" spans="1:8" x14ac:dyDescent="0.35">
      <c r="A5747" s="21"/>
      <c r="B5747" t="s">
        <v>39</v>
      </c>
      <c r="C5747" t="s">
        <v>1089</v>
      </c>
      <c r="D5747" t="s">
        <v>520</v>
      </c>
      <c r="F5747" s="1">
        <v>45756</v>
      </c>
      <c r="G5747" t="str">
        <f>IF(Table3[[#This Row],[Top Parent Account]]="",Table3[[#This Row],[Account Legal Name]],Table3[[#This Row],[Top Parent Account]])</f>
        <v>Comercializadora de Alimentos Ochoa</v>
      </c>
      <c r="H5747" s="1"/>
    </row>
    <row r="5748" spans="1:8" x14ac:dyDescent="0.35">
      <c r="A5748" s="21"/>
      <c r="B5748" t="s">
        <v>7</v>
      </c>
      <c r="C5748" t="s">
        <v>6</v>
      </c>
      <c r="D5748" t="s">
        <v>1661</v>
      </c>
      <c r="F5748" s="1">
        <v>45756</v>
      </c>
      <c r="G5748" t="str">
        <f>IF(Table3[[#This Row],[Top Parent Account]]="",Table3[[#This Row],[Account Legal Name]],Table3[[#This Row],[Top Parent Account]])</f>
        <v>Procesadora La Nogalera</v>
      </c>
      <c r="H5748" s="1"/>
    </row>
    <row r="5749" spans="1:8" x14ac:dyDescent="0.35">
      <c r="A5749" s="21"/>
      <c r="B5749" t="s">
        <v>1006</v>
      </c>
      <c r="C5749" t="s">
        <v>6</v>
      </c>
      <c r="D5749" t="s">
        <v>1061</v>
      </c>
      <c r="F5749" s="1">
        <v>45756</v>
      </c>
      <c r="G5749" t="str">
        <f>IF(Table3[[#This Row],[Top Parent Account]]="",Table3[[#This Row],[Account Legal Name]],Table3[[#This Row],[Top Parent Account]])</f>
        <v>Lácteos Mojica</v>
      </c>
      <c r="H5749" s="1"/>
    </row>
    <row r="5750" spans="1:8" x14ac:dyDescent="0.35">
      <c r="A5750" s="21"/>
      <c r="B5750" t="s">
        <v>78</v>
      </c>
      <c r="C5750" t="s">
        <v>6</v>
      </c>
      <c r="D5750" t="s">
        <v>832</v>
      </c>
      <c r="F5750" s="1">
        <v>45756</v>
      </c>
      <c r="G5750" t="str">
        <f>IF(Table3[[#This Row],[Top Parent Account]]="",Table3[[#This Row],[Account Legal Name]],Table3[[#This Row],[Top Parent Account]])</f>
        <v>LEGUMBRES FRESCAS DE PUEBLA</v>
      </c>
      <c r="H5750" s="1"/>
    </row>
    <row r="5751" spans="1:8" x14ac:dyDescent="0.35">
      <c r="A5751" s="21"/>
      <c r="B5751" t="s">
        <v>1511</v>
      </c>
      <c r="C5751" t="s">
        <v>6</v>
      </c>
      <c r="D5751" t="s">
        <v>1685</v>
      </c>
      <c r="F5751" s="1">
        <v>45756</v>
      </c>
      <c r="G5751" t="str">
        <f>IF(Table3[[#This Row],[Top Parent Account]]="",Table3[[#This Row],[Account Legal Name]],Table3[[#This Row],[Top Parent Account]])</f>
        <v>Gama Materiales</v>
      </c>
      <c r="H5751" s="1"/>
    </row>
    <row r="5752" spans="1:8" x14ac:dyDescent="0.35">
      <c r="A5752" s="21"/>
      <c r="B5752" t="s">
        <v>27</v>
      </c>
      <c r="C5752" t="s">
        <v>6</v>
      </c>
      <c r="D5752" t="s">
        <v>1662</v>
      </c>
      <c r="F5752" s="1">
        <v>45756</v>
      </c>
      <c r="G5752" t="str">
        <f>IF(Table3[[#This Row],[Top Parent Account]]="",Table3[[#This Row],[Account Legal Name]],Table3[[#This Row],[Top Parent Account]])</f>
        <v>Pasteurizadora De León</v>
      </c>
      <c r="H5752" s="1"/>
    </row>
    <row r="5753" spans="1:8" x14ac:dyDescent="0.35">
      <c r="A5753" s="21"/>
      <c r="B5753" t="s">
        <v>28</v>
      </c>
      <c r="C5753" t="s">
        <v>6</v>
      </c>
      <c r="D5753" t="s">
        <v>1743</v>
      </c>
      <c r="F5753" s="1">
        <v>45756</v>
      </c>
      <c r="G5753" t="str">
        <f>IF(Table3[[#This Row],[Top Parent Account]]="",Table3[[#This Row],[Account Legal Name]],Table3[[#This Row],[Top Parent Account]])</f>
        <v>Alco Diseño y Manufactura</v>
      </c>
      <c r="H5753" s="1"/>
    </row>
    <row r="5754" spans="1:8" x14ac:dyDescent="0.35">
      <c r="A5754" s="21"/>
      <c r="B5754" t="s">
        <v>207</v>
      </c>
      <c r="C5754" t="s">
        <v>6</v>
      </c>
      <c r="D5754" t="s">
        <v>1744</v>
      </c>
      <c r="F5754" s="1">
        <v>45756</v>
      </c>
      <c r="G5754" t="str">
        <f>IF(Table3[[#This Row],[Top Parent Account]]="",Table3[[#This Row],[Account Legal Name]],Table3[[#This Row],[Top Parent Account]])</f>
        <v>Aqually</v>
      </c>
      <c r="H5754" s="1"/>
    </row>
    <row r="5755" spans="1:8" x14ac:dyDescent="0.35">
      <c r="A5755" s="21"/>
      <c r="B5755" t="s">
        <v>590</v>
      </c>
      <c r="C5755" t="s">
        <v>6</v>
      </c>
      <c r="D5755" t="s">
        <v>1686</v>
      </c>
      <c r="E5755" t="s">
        <v>1474</v>
      </c>
      <c r="F5755" s="1">
        <v>45756</v>
      </c>
      <c r="G5755" t="str">
        <f>IF(Table3[[#This Row],[Top Parent Account]]="",Table3[[#This Row],[Account Legal Name]],Table3[[#This Row],[Top Parent Account]])</f>
        <v>Laboratorios Corne</v>
      </c>
      <c r="H5755" s="1"/>
    </row>
    <row r="5756" spans="1:8" x14ac:dyDescent="0.35">
      <c r="A5756" s="21"/>
      <c r="B5756" t="s">
        <v>21</v>
      </c>
      <c r="C5756" t="s">
        <v>6</v>
      </c>
      <c r="D5756" t="s">
        <v>1687</v>
      </c>
      <c r="F5756" s="1">
        <v>45756</v>
      </c>
      <c r="G5756" t="str">
        <f>IF(Table3[[#This Row],[Top Parent Account]]="",Table3[[#This Row],[Account Legal Name]],Table3[[#This Row],[Top Parent Account]])</f>
        <v>JL Logistica</v>
      </c>
      <c r="H5756" s="1"/>
    </row>
    <row r="5757" spans="1:8" x14ac:dyDescent="0.35">
      <c r="A5757" s="21"/>
      <c r="B5757" t="s">
        <v>589</v>
      </c>
      <c r="C5757" t="s">
        <v>6</v>
      </c>
      <c r="D5757" t="s">
        <v>1127</v>
      </c>
      <c r="F5757" s="1">
        <v>45756</v>
      </c>
      <c r="G5757" t="str">
        <f>IF(Table3[[#This Row],[Top Parent Account]]="",Table3[[#This Row],[Account Legal Name]],Table3[[#This Row],[Top Parent Account]])</f>
        <v>Lerma Garcia Transportes</v>
      </c>
      <c r="H5757" s="1"/>
    </row>
    <row r="5758" spans="1:8" x14ac:dyDescent="0.35">
      <c r="A5758" s="21"/>
      <c r="B5758" t="s">
        <v>208</v>
      </c>
      <c r="C5758" t="s">
        <v>6</v>
      </c>
      <c r="D5758" t="s">
        <v>545</v>
      </c>
      <c r="F5758" s="1">
        <v>45756</v>
      </c>
      <c r="G5758" t="str">
        <f>IF(Table3[[#This Row],[Top Parent Account]]="",Table3[[#This Row],[Account Legal Name]],Table3[[#This Row],[Top Parent Account]])</f>
        <v>Imaginación en Movimiento</v>
      </c>
      <c r="H5758" s="1"/>
    </row>
    <row r="5759" spans="1:8" x14ac:dyDescent="0.35">
      <c r="A5759" s="21"/>
      <c r="B5759" t="s">
        <v>14</v>
      </c>
      <c r="C5759" t="s">
        <v>6</v>
      </c>
      <c r="D5759" t="s">
        <v>1688</v>
      </c>
      <c r="F5759" s="1">
        <v>45756</v>
      </c>
      <c r="G5759" t="str">
        <f>IF(Table3[[#This Row],[Top Parent Account]]="",Table3[[#This Row],[Account Legal Name]],Table3[[#This Row],[Top Parent Account]])</f>
        <v>Botanas Crujikronch</v>
      </c>
      <c r="H5759" s="1"/>
    </row>
    <row r="5760" spans="1:8" x14ac:dyDescent="0.35">
      <c r="A5760" s="21"/>
      <c r="B5760" t="s">
        <v>43</v>
      </c>
      <c r="C5760" t="s">
        <v>6</v>
      </c>
      <c r="D5760" t="s">
        <v>179</v>
      </c>
      <c r="F5760" s="1">
        <v>45756</v>
      </c>
      <c r="G5760" t="str">
        <f>IF(Table3[[#This Row],[Top Parent Account]]="",Table3[[#This Row],[Account Legal Name]],Table3[[#This Row],[Top Parent Account]])</f>
        <v>LDR Solution</v>
      </c>
      <c r="H5760" s="1"/>
    </row>
    <row r="5761" spans="1:8" x14ac:dyDescent="0.35">
      <c r="A5761" s="21"/>
      <c r="B5761" t="s">
        <v>1006</v>
      </c>
      <c r="C5761" t="s">
        <v>6</v>
      </c>
      <c r="D5761" t="s">
        <v>1552</v>
      </c>
      <c r="F5761" s="1">
        <v>45756</v>
      </c>
      <c r="G5761" t="str">
        <f>IF(Table3[[#This Row],[Top Parent Account]]="",Table3[[#This Row],[Account Legal Name]],Table3[[#This Row],[Top Parent Account]])</f>
        <v>SERVICIOS INTEGRALES MARITIMOS Y PORTUARIOS</v>
      </c>
      <c r="H5761" s="1"/>
    </row>
    <row r="5762" spans="1:8" x14ac:dyDescent="0.35">
      <c r="A5762" s="21"/>
      <c r="B5762" t="s">
        <v>21</v>
      </c>
      <c r="C5762" t="s">
        <v>6</v>
      </c>
      <c r="D5762" t="s">
        <v>4404</v>
      </c>
      <c r="F5762" s="1">
        <v>45756</v>
      </c>
      <c r="G5762" t="str">
        <f>IF(Table3[[#This Row],[Top Parent Account]]="",Table3[[#This Row],[Account Legal Name]],Table3[[#This Row],[Top Parent Account]])</f>
        <v>Ocean Technology Offshores Services</v>
      </c>
      <c r="H5762" s="1"/>
    </row>
    <row r="5763" spans="1:8" x14ac:dyDescent="0.35">
      <c r="A5763" s="21"/>
      <c r="B5763" t="s">
        <v>88</v>
      </c>
      <c r="C5763" t="s">
        <v>6</v>
      </c>
      <c r="D5763" t="s">
        <v>1689</v>
      </c>
      <c r="E5763" t="s">
        <v>1876</v>
      </c>
      <c r="F5763" s="1">
        <v>45756</v>
      </c>
      <c r="G5763" t="str">
        <f>IF(Table3[[#This Row],[Top Parent Account]]="",Table3[[#This Row],[Account Legal Name]],Table3[[#This Row],[Top Parent Account]])</f>
        <v>GUILLERMO MONTES VEGA</v>
      </c>
      <c r="H5763" s="1"/>
    </row>
    <row r="5764" spans="1:8" x14ac:dyDescent="0.35">
      <c r="A5764" s="21"/>
      <c r="B5764" t="s">
        <v>10</v>
      </c>
      <c r="C5764" t="s">
        <v>6</v>
      </c>
      <c r="D5764" t="s">
        <v>628</v>
      </c>
      <c r="F5764" s="1">
        <v>45756</v>
      </c>
      <c r="G5764" t="str">
        <f>IF(Table3[[#This Row],[Top Parent Account]]="",Table3[[#This Row],[Account Legal Name]],Table3[[#This Row],[Top Parent Account]])</f>
        <v>Envases Plásticos Industriales De Guadalajara</v>
      </c>
      <c r="H5764" s="1"/>
    </row>
    <row r="5765" spans="1:8" x14ac:dyDescent="0.35">
      <c r="A5765" s="21"/>
      <c r="B5765" t="s">
        <v>78</v>
      </c>
      <c r="C5765" t="s">
        <v>6</v>
      </c>
      <c r="D5765" t="s">
        <v>1158</v>
      </c>
      <c r="F5765" s="1">
        <v>45756</v>
      </c>
      <c r="G5765" t="str">
        <f>IF(Table3[[#This Row],[Top Parent Account]]="",Table3[[#This Row],[Account Legal Name]],Table3[[#This Row],[Top Parent Account]])</f>
        <v>SHELL PRIDE DE MEXICO</v>
      </c>
      <c r="H5765" s="1"/>
    </row>
    <row r="5766" spans="1:8" x14ac:dyDescent="0.35">
      <c r="A5766" s="21"/>
      <c r="B5766" t="s">
        <v>26</v>
      </c>
      <c r="C5766" t="s">
        <v>6</v>
      </c>
      <c r="D5766" t="s">
        <v>1690</v>
      </c>
      <c r="F5766" s="1">
        <v>45756</v>
      </c>
      <c r="G5766" t="str">
        <f>IF(Table3[[#This Row],[Top Parent Account]]="",Table3[[#This Row],[Account Legal Name]],Table3[[#This Row],[Top Parent Account]])</f>
        <v>Concorde Group</v>
      </c>
      <c r="H5766" s="1"/>
    </row>
    <row r="5767" spans="1:8" x14ac:dyDescent="0.35">
      <c r="A5767" s="21"/>
      <c r="B5767" t="s">
        <v>207</v>
      </c>
      <c r="C5767" t="s">
        <v>6</v>
      </c>
      <c r="D5767" t="s">
        <v>1691</v>
      </c>
      <c r="F5767" s="1">
        <v>45756</v>
      </c>
      <c r="G5767" t="str">
        <f>IF(Table3[[#This Row],[Top Parent Account]]="",Table3[[#This Row],[Account Legal Name]],Table3[[#This Row],[Top Parent Account]])</f>
        <v>La Rosa de Sarón</v>
      </c>
      <c r="H5767" s="1"/>
    </row>
    <row r="5768" spans="1:8" x14ac:dyDescent="0.35">
      <c r="A5768" s="21"/>
      <c r="B5768" t="s">
        <v>932</v>
      </c>
      <c r="C5768" t="s">
        <v>1693</v>
      </c>
      <c r="D5768" t="s">
        <v>1694</v>
      </c>
      <c r="F5768" s="1">
        <v>45756</v>
      </c>
      <c r="G5768" t="str">
        <f>IF(Table3[[#This Row],[Top Parent Account]]="",Table3[[#This Row],[Account Legal Name]],Table3[[#This Row],[Top Parent Account]])</f>
        <v>SERVICIOS INDUSTRIALES BATIA</v>
      </c>
      <c r="H5768" s="1"/>
    </row>
    <row r="5769" spans="1:8" x14ac:dyDescent="0.35">
      <c r="A5769" s="21"/>
      <c r="B5769" t="s">
        <v>88</v>
      </c>
      <c r="C5769" t="s">
        <v>6</v>
      </c>
      <c r="D5769" t="s">
        <v>1692</v>
      </c>
      <c r="F5769" s="1">
        <v>45756</v>
      </c>
      <c r="G5769" t="str">
        <f>IF(Table3[[#This Row],[Top Parent Account]]="",Table3[[#This Row],[Account Legal Name]],Table3[[#This Row],[Top Parent Account]])</f>
        <v>PRODIDSA</v>
      </c>
      <c r="H5769" s="1"/>
    </row>
    <row r="5770" spans="1:8" x14ac:dyDescent="0.35">
      <c r="A5770" s="21"/>
      <c r="B5770" t="s">
        <v>286</v>
      </c>
      <c r="C5770" t="s">
        <v>6</v>
      </c>
      <c r="D5770" t="s">
        <v>1696</v>
      </c>
      <c r="F5770" s="1">
        <v>45756</v>
      </c>
      <c r="G5770" t="str">
        <f>IF(Table3[[#This Row],[Top Parent Account]]="",Table3[[#This Row],[Account Legal Name]],Table3[[#This Row],[Top Parent Account]])</f>
        <v>PLASTICOS GONZALEZ</v>
      </c>
      <c r="H5770" s="1"/>
    </row>
    <row r="5771" spans="1:8" x14ac:dyDescent="0.35">
      <c r="A5771" s="21"/>
      <c r="B5771" t="s">
        <v>70</v>
      </c>
      <c r="C5771" t="s">
        <v>6</v>
      </c>
      <c r="D5771" t="s">
        <v>447</v>
      </c>
      <c r="F5771" s="1">
        <v>45756</v>
      </c>
      <c r="G5771" t="str">
        <f>IF(Table3[[#This Row],[Top Parent Account]]="",Table3[[#This Row],[Account Legal Name]],Table3[[#This Row],[Top Parent Account]])</f>
        <v>Intermet</v>
      </c>
      <c r="H5771" s="1"/>
    </row>
    <row r="5772" spans="1:8" x14ac:dyDescent="0.35">
      <c r="A5772" s="21"/>
      <c r="B5772" t="s">
        <v>192</v>
      </c>
      <c r="C5772" t="s">
        <v>49</v>
      </c>
      <c r="D5772" t="s">
        <v>1695</v>
      </c>
      <c r="F5772" s="1">
        <v>45756</v>
      </c>
      <c r="G5772" t="str">
        <f>IF(Table3[[#This Row],[Top Parent Account]]="",Table3[[#This Row],[Account Legal Name]],Table3[[#This Row],[Top Parent Account]])</f>
        <v>ADVANCE SERVICES INTERNATIONAL</v>
      </c>
      <c r="H5772" s="1"/>
    </row>
    <row r="5773" spans="1:8" x14ac:dyDescent="0.35">
      <c r="A5773" s="21"/>
      <c r="B5773" t="s">
        <v>70</v>
      </c>
      <c r="C5773" t="s">
        <v>6</v>
      </c>
      <c r="D5773" t="s">
        <v>531</v>
      </c>
      <c r="F5773" s="1">
        <v>45756</v>
      </c>
      <c r="G5773" t="str">
        <f>IF(Table3[[#This Row],[Top Parent Account]]="",Table3[[#This Row],[Account Legal Name]],Table3[[#This Row],[Top Parent Account]])</f>
        <v>Laboratorio de Patología Quirúrgica y Citología de Puebla</v>
      </c>
      <c r="H5773" s="1"/>
    </row>
    <row r="5774" spans="1:8" x14ac:dyDescent="0.35">
      <c r="A5774" s="21"/>
      <c r="B5774" t="s">
        <v>589</v>
      </c>
      <c r="C5774" t="s">
        <v>6</v>
      </c>
      <c r="D5774" t="s">
        <v>1697</v>
      </c>
      <c r="F5774" s="1">
        <v>45756</v>
      </c>
      <c r="G5774" t="str">
        <f>IF(Table3[[#This Row],[Top Parent Account]]="",Table3[[#This Row],[Account Legal Name]],Table3[[#This Row],[Top Parent Account]])</f>
        <v>Proyectos y Servicios FERZAVI</v>
      </c>
      <c r="H5774" s="1"/>
    </row>
    <row r="5775" spans="1:8" x14ac:dyDescent="0.35">
      <c r="A5775" s="21"/>
      <c r="B5775" t="s">
        <v>590</v>
      </c>
      <c r="C5775" t="s">
        <v>6</v>
      </c>
      <c r="D5775" t="s">
        <v>1698</v>
      </c>
      <c r="F5775" s="1">
        <v>45756</v>
      </c>
      <c r="G5775" t="str">
        <f>IF(Table3[[#This Row],[Top Parent Account]]="",Table3[[#This Row],[Account Legal Name]],Table3[[#This Row],[Top Parent Account]])</f>
        <v>Tme Maquinados</v>
      </c>
      <c r="H5775" s="1"/>
    </row>
    <row r="5776" spans="1:8" x14ac:dyDescent="0.35">
      <c r="A5776" s="21"/>
      <c r="B5776" t="s">
        <v>207</v>
      </c>
      <c r="C5776" t="s">
        <v>6</v>
      </c>
      <c r="D5776" t="s">
        <v>1649</v>
      </c>
      <c r="F5776" s="1">
        <v>45756</v>
      </c>
      <c r="G5776" t="str">
        <f>IF(Table3[[#This Row],[Top Parent Account]]="",Table3[[#This Row],[Account Legal Name]],Table3[[#This Row],[Top Parent Account]])</f>
        <v>Jsp International de México</v>
      </c>
      <c r="H5776" s="1"/>
    </row>
    <row r="5777" spans="1:8" x14ac:dyDescent="0.35">
      <c r="A5777" s="21"/>
      <c r="B5777" t="s">
        <v>1006</v>
      </c>
      <c r="C5777" t="s">
        <v>6</v>
      </c>
      <c r="D5777" t="s">
        <v>1491</v>
      </c>
      <c r="F5777" s="1">
        <v>45756</v>
      </c>
      <c r="G5777" t="str">
        <f>IF(Table3[[#This Row],[Top Parent Account]]="",Table3[[#This Row],[Account Legal Name]],Table3[[#This Row],[Top Parent Account]])</f>
        <v>GRUPO MOC</v>
      </c>
      <c r="H5777" s="1"/>
    </row>
    <row r="5778" spans="1:8" x14ac:dyDescent="0.35">
      <c r="A5778" s="21"/>
      <c r="B5778" t="s">
        <v>925</v>
      </c>
      <c r="C5778" t="s">
        <v>22</v>
      </c>
      <c r="D5778" t="s">
        <v>1699</v>
      </c>
      <c r="F5778" s="1">
        <v>45756</v>
      </c>
      <c r="G5778" t="str">
        <f>IF(Table3[[#This Row],[Top Parent Account]]="",Table3[[#This Row],[Account Legal Name]],Table3[[#This Row],[Top Parent Account]])</f>
        <v>Bursamerica</v>
      </c>
      <c r="H5778" s="1"/>
    </row>
    <row r="5779" spans="1:8" x14ac:dyDescent="0.35">
      <c r="A5779" s="21"/>
      <c r="B5779" t="s">
        <v>375</v>
      </c>
      <c r="C5779" t="s">
        <v>6</v>
      </c>
      <c r="D5779" t="s">
        <v>563</v>
      </c>
      <c r="F5779" s="1">
        <v>45756</v>
      </c>
      <c r="G5779" t="str">
        <f>IF(Table3[[#This Row],[Top Parent Account]]="",Table3[[#This Row],[Account Legal Name]],Table3[[#This Row],[Top Parent Account]])</f>
        <v>Integradora De Servicios De Transportación Xihutec</v>
      </c>
      <c r="H5779" s="1"/>
    </row>
    <row r="5780" spans="1:8" x14ac:dyDescent="0.35">
      <c r="A5780" s="21"/>
      <c r="B5780" t="s">
        <v>14</v>
      </c>
      <c r="C5780" t="s">
        <v>6</v>
      </c>
      <c r="D5780" t="s">
        <v>561</v>
      </c>
      <c r="F5780" s="1">
        <v>45756</v>
      </c>
      <c r="G5780" t="str">
        <f>IF(Table3[[#This Row],[Top Parent Account]]="",Table3[[#This Row],[Account Legal Name]],Table3[[#This Row],[Top Parent Account]])</f>
        <v>LOGISTICA EMPRESARIAL SANMER</v>
      </c>
      <c r="H5780" s="1"/>
    </row>
    <row r="5781" spans="1:8" x14ac:dyDescent="0.35">
      <c r="A5781" s="21"/>
      <c r="B5781" t="s">
        <v>375</v>
      </c>
      <c r="C5781" t="s">
        <v>6</v>
      </c>
      <c r="D5781" t="s">
        <v>1632</v>
      </c>
      <c r="F5781" s="1">
        <v>45756</v>
      </c>
      <c r="G5781" t="str">
        <f>IF(Table3[[#This Row],[Top Parent Account]]="",Table3[[#This Row],[Account Legal Name]],Table3[[#This Row],[Top Parent Account]])</f>
        <v>EQUIPOS DINAMICOS SOTO</v>
      </c>
      <c r="H5781" s="1"/>
    </row>
    <row r="5782" spans="1:8" x14ac:dyDescent="0.35">
      <c r="A5782" s="21"/>
      <c r="B5782" t="s">
        <v>21</v>
      </c>
      <c r="C5782" t="s">
        <v>6</v>
      </c>
      <c r="D5782" t="s">
        <v>1700</v>
      </c>
      <c r="F5782" s="1">
        <v>45756</v>
      </c>
      <c r="G5782" t="str">
        <f>IF(Table3[[#This Row],[Top Parent Account]]="",Table3[[#This Row],[Account Legal Name]],Table3[[#This Row],[Top Parent Account]])</f>
        <v>Obras y Proyectos Hauma</v>
      </c>
      <c r="H5782" s="1"/>
    </row>
    <row r="5783" spans="1:8" x14ac:dyDescent="0.35">
      <c r="A5783" s="21"/>
      <c r="B5783" t="s">
        <v>29</v>
      </c>
      <c r="C5783" t="s">
        <v>6</v>
      </c>
      <c r="D5783" t="s">
        <v>1701</v>
      </c>
      <c r="F5783" s="1">
        <v>45756</v>
      </c>
      <c r="G5783" t="str">
        <f>IF(Table3[[#This Row],[Top Parent Account]]="",Table3[[#This Row],[Account Legal Name]],Table3[[#This Row],[Top Parent Account]])</f>
        <v>FD Berries</v>
      </c>
      <c r="H5783" s="1"/>
    </row>
    <row r="5784" spans="1:8" x14ac:dyDescent="0.35">
      <c r="A5784" s="21"/>
      <c r="B5784" t="s">
        <v>169</v>
      </c>
      <c r="C5784" t="s">
        <v>6</v>
      </c>
      <c r="D5784" t="s">
        <v>851</v>
      </c>
      <c r="F5784" s="1">
        <v>45756</v>
      </c>
      <c r="G5784" t="str">
        <f>IF(Table3[[#This Row],[Top Parent Account]]="",Table3[[#This Row],[Account Legal Name]],Table3[[#This Row],[Top Parent Account]])</f>
        <v>Cayco Construcción</v>
      </c>
      <c r="H5784" s="1"/>
    </row>
    <row r="5785" spans="1:8" x14ac:dyDescent="0.35">
      <c r="A5785" s="21"/>
      <c r="B5785" t="s">
        <v>21</v>
      </c>
      <c r="C5785" t="s">
        <v>6</v>
      </c>
      <c r="D5785" t="s">
        <v>1651</v>
      </c>
      <c r="F5785" s="1">
        <v>45756</v>
      </c>
      <c r="G5785" t="str">
        <f>IF(Table3[[#This Row],[Top Parent Account]]="",Table3[[#This Row],[Account Legal Name]],Table3[[#This Row],[Top Parent Account]])</f>
        <v>Grupo Emorfe</v>
      </c>
      <c r="H5785" s="1"/>
    </row>
    <row r="5786" spans="1:8" x14ac:dyDescent="0.35">
      <c r="A5786" s="21"/>
      <c r="B5786" t="s">
        <v>23</v>
      </c>
      <c r="C5786" t="s">
        <v>6</v>
      </c>
      <c r="D5786" t="s">
        <v>1703</v>
      </c>
      <c r="F5786" s="1">
        <v>45756</v>
      </c>
      <c r="G5786" t="str">
        <f>IF(Table3[[#This Row],[Top Parent Account]]="",Table3[[#This Row],[Account Legal Name]],Table3[[#This Row],[Top Parent Account]])</f>
        <v>SFS Group Fastening Technology Mexico</v>
      </c>
      <c r="H5786" s="1"/>
    </row>
    <row r="5787" spans="1:8" x14ac:dyDescent="0.35">
      <c r="A5787" s="21"/>
      <c r="B5787" t="s">
        <v>78</v>
      </c>
      <c r="C5787" t="s">
        <v>6</v>
      </c>
      <c r="D5787" t="s">
        <v>2100</v>
      </c>
      <c r="F5787" s="1">
        <v>45756</v>
      </c>
      <c r="G5787" t="str">
        <f>IF(Table3[[#This Row],[Top Parent Account]]="",Table3[[#This Row],[Account Legal Name]],Table3[[#This Row],[Top Parent Account]])</f>
        <v>CENTRO PRODUCTOR AGRICOLA EL CHAPOTEADERO</v>
      </c>
      <c r="H5787" s="1"/>
    </row>
    <row r="5788" spans="1:8" x14ac:dyDescent="0.35">
      <c r="A5788" s="21"/>
      <c r="B5788" t="s">
        <v>21</v>
      </c>
      <c r="C5788" t="s">
        <v>6</v>
      </c>
      <c r="D5788" t="s">
        <v>1704</v>
      </c>
      <c r="F5788" s="1">
        <v>45756</v>
      </c>
      <c r="G5788" t="str">
        <f>IF(Table3[[#This Row],[Top Parent Account]]="",Table3[[#This Row],[Account Legal Name]],Table3[[#This Row],[Top Parent Account]])</f>
        <v>Sychab Industrial</v>
      </c>
      <c r="H5788" s="1"/>
    </row>
    <row r="5789" spans="1:8" x14ac:dyDescent="0.35">
      <c r="A5789" s="21"/>
      <c r="B5789" t="s">
        <v>27</v>
      </c>
      <c r="C5789" t="s">
        <v>6</v>
      </c>
      <c r="D5789" t="s">
        <v>1702</v>
      </c>
      <c r="F5789" s="1">
        <v>45756</v>
      </c>
      <c r="G5789" t="str">
        <f>IF(Table3[[#This Row],[Top Parent Account]]="",Table3[[#This Row],[Account Legal Name]],Table3[[#This Row],[Top Parent Account]])</f>
        <v>Gsa Leasing</v>
      </c>
      <c r="H5789" s="1"/>
    </row>
    <row r="5790" spans="1:8" x14ac:dyDescent="0.35">
      <c r="A5790" s="21"/>
      <c r="B5790" t="s">
        <v>21</v>
      </c>
      <c r="C5790" t="s">
        <v>6</v>
      </c>
      <c r="D5790" t="s">
        <v>1705</v>
      </c>
      <c r="F5790" s="1">
        <v>45756</v>
      </c>
      <c r="G5790" t="str">
        <f>IF(Table3[[#This Row],[Top Parent Account]]="",Table3[[#This Row],[Account Legal Name]],Table3[[#This Row],[Top Parent Account]])</f>
        <v>Obras y Suministros Joyca</v>
      </c>
      <c r="H5790" s="1"/>
    </row>
    <row r="5791" spans="1:8" x14ac:dyDescent="0.35">
      <c r="A5791" s="21"/>
      <c r="B5791" t="s">
        <v>21</v>
      </c>
      <c r="C5791" t="s">
        <v>6</v>
      </c>
      <c r="D5791" t="s">
        <v>1706</v>
      </c>
      <c r="F5791" s="1">
        <v>45756</v>
      </c>
      <c r="G5791" t="str">
        <f>IF(Table3[[#This Row],[Top Parent Account]]="",Table3[[#This Row],[Account Legal Name]],Table3[[#This Row],[Top Parent Account]])</f>
        <v>GCH Construcciones</v>
      </c>
      <c r="H5791" s="1"/>
    </row>
    <row r="5792" spans="1:8" x14ac:dyDescent="0.35">
      <c r="A5792" s="21"/>
      <c r="B5792" t="s">
        <v>25</v>
      </c>
      <c r="C5792" t="s">
        <v>6</v>
      </c>
      <c r="D5792" t="s">
        <v>1707</v>
      </c>
      <c r="F5792" s="1">
        <v>45756</v>
      </c>
      <c r="G5792" t="str">
        <f>IF(Table3[[#This Row],[Top Parent Account]]="",Table3[[#This Row],[Account Legal Name]],Table3[[#This Row],[Top Parent Account]])</f>
        <v>VALO BIOMEDIA MEXICO</v>
      </c>
      <c r="H5792" s="1"/>
    </row>
    <row r="5793" spans="1:8" x14ac:dyDescent="0.35">
      <c r="A5793" s="21"/>
      <c r="B5793" t="s">
        <v>88</v>
      </c>
      <c r="C5793" t="s">
        <v>6</v>
      </c>
      <c r="D5793" t="s">
        <v>1708</v>
      </c>
      <c r="F5793" s="1">
        <v>45756</v>
      </c>
      <c r="G5793" t="str">
        <f>IF(Table3[[#This Row],[Top Parent Account]]="",Table3[[#This Row],[Account Legal Name]],Table3[[#This Row],[Top Parent Account]])</f>
        <v>Gino Ferrara Villarreal</v>
      </c>
      <c r="H5793" s="1"/>
    </row>
    <row r="5794" spans="1:8" x14ac:dyDescent="0.35">
      <c r="A5794" s="21"/>
      <c r="B5794" t="s">
        <v>38</v>
      </c>
      <c r="C5794" t="s">
        <v>6</v>
      </c>
      <c r="D5794" t="s">
        <v>759</v>
      </c>
      <c r="F5794" s="1">
        <v>45755</v>
      </c>
      <c r="G5794" t="str">
        <f>IF(Table3[[#This Row],[Top Parent Account]]="",Table3[[#This Row],[Account Legal Name]],Table3[[#This Row],[Top Parent Account]])</f>
        <v>Scania de México</v>
      </c>
      <c r="H5794" s="1"/>
    </row>
    <row r="5795" spans="1:8" x14ac:dyDescent="0.35">
      <c r="A5795" s="21"/>
      <c r="B5795" t="s">
        <v>38</v>
      </c>
      <c r="C5795" t="s">
        <v>6</v>
      </c>
      <c r="D5795" t="s">
        <v>1073</v>
      </c>
      <c r="F5795" s="1">
        <v>45755</v>
      </c>
      <c r="G5795" t="str">
        <f>IF(Table3[[#This Row],[Top Parent Account]]="",Table3[[#This Row],[Account Legal Name]],Table3[[#This Row],[Top Parent Account]])</f>
        <v>Ronal Mexicana</v>
      </c>
      <c r="H5795" s="1"/>
    </row>
    <row r="5796" spans="1:8" x14ac:dyDescent="0.35">
      <c r="A5796" s="21"/>
      <c r="B5796" t="s">
        <v>38</v>
      </c>
      <c r="C5796" t="s">
        <v>6</v>
      </c>
      <c r="D5796" t="s">
        <v>560</v>
      </c>
      <c r="F5796" s="1">
        <v>45755</v>
      </c>
      <c r="G5796" t="str">
        <f>IF(Table3[[#This Row],[Top Parent Account]]="",Table3[[#This Row],[Account Legal Name]],Table3[[#This Row],[Top Parent Account]])</f>
        <v>Constructora Chufani</v>
      </c>
      <c r="H5796" s="1"/>
    </row>
    <row r="5797" spans="1:8" x14ac:dyDescent="0.35">
      <c r="A5797" s="21"/>
      <c r="B5797" t="s">
        <v>11</v>
      </c>
      <c r="C5797" t="s">
        <v>6</v>
      </c>
      <c r="D5797" t="s">
        <v>964</v>
      </c>
      <c r="F5797" s="1">
        <v>45755</v>
      </c>
      <c r="G5797" t="str">
        <f>IF(Table3[[#This Row],[Top Parent Account]]="",Table3[[#This Row],[Account Legal Name]],Table3[[#This Row],[Top Parent Account]])</f>
        <v>Convergint</v>
      </c>
      <c r="H5797" s="1"/>
    </row>
    <row r="5798" spans="1:8" x14ac:dyDescent="0.35">
      <c r="A5798" s="21"/>
      <c r="B5798" t="s">
        <v>969</v>
      </c>
      <c r="C5798" t="s">
        <v>6</v>
      </c>
      <c r="D5798" t="s">
        <v>1709</v>
      </c>
      <c r="F5798" s="1">
        <v>45755</v>
      </c>
      <c r="G5798" t="str">
        <f>IF(Table3[[#This Row],[Top Parent Account]]="",Table3[[#This Row],[Account Legal Name]],Table3[[#This Row],[Top Parent Account]])</f>
        <v>Grupo Industrial Belmont</v>
      </c>
      <c r="H5798" s="1"/>
    </row>
    <row r="5799" spans="1:8" x14ac:dyDescent="0.35">
      <c r="A5799" s="21"/>
      <c r="B5799" t="s">
        <v>78</v>
      </c>
      <c r="C5799" t="s">
        <v>6</v>
      </c>
      <c r="D5799" t="s">
        <v>1710</v>
      </c>
      <c r="F5799" s="1">
        <v>45755</v>
      </c>
      <c r="G5799" t="str">
        <f>IF(Table3[[#This Row],[Top Parent Account]]="",Table3[[#This Row],[Account Legal Name]],Table3[[#This Row],[Top Parent Account]])</f>
        <v>QUALITY K</v>
      </c>
      <c r="H5799" s="1"/>
    </row>
    <row r="5800" spans="1:8" x14ac:dyDescent="0.35">
      <c r="A5800" s="21"/>
      <c r="B5800" t="s">
        <v>56</v>
      </c>
      <c r="C5800" t="s">
        <v>6</v>
      </c>
      <c r="D5800" t="s">
        <v>368</v>
      </c>
      <c r="F5800" s="1">
        <v>45755</v>
      </c>
      <c r="G5800" t="str">
        <f>IF(Table3[[#This Row],[Top Parent Account]]="",Table3[[#This Row],[Account Legal Name]],Table3[[#This Row],[Top Parent Account]])</f>
        <v>Centro Médico De Toluca</v>
      </c>
      <c r="H5800" s="1"/>
    </row>
    <row r="5801" spans="1:8" x14ac:dyDescent="0.35">
      <c r="A5801" s="21"/>
      <c r="B5801" t="s">
        <v>11</v>
      </c>
      <c r="C5801" t="s">
        <v>6</v>
      </c>
      <c r="D5801" t="s">
        <v>399</v>
      </c>
      <c r="F5801" s="1">
        <v>45755</v>
      </c>
      <c r="G5801" t="str">
        <f>IF(Table3[[#This Row],[Top Parent Account]]="",Table3[[#This Row],[Account Legal Name]],Table3[[#This Row],[Top Parent Account]])</f>
        <v>Grupo Corporativo Papelera</v>
      </c>
      <c r="H5801" s="1"/>
    </row>
    <row r="5802" spans="1:8" x14ac:dyDescent="0.35">
      <c r="A5802" s="21"/>
      <c r="B5802" t="s">
        <v>18</v>
      </c>
      <c r="C5802" t="s">
        <v>6</v>
      </c>
      <c r="D5802" t="s">
        <v>1711</v>
      </c>
      <c r="F5802" s="1">
        <v>45755</v>
      </c>
      <c r="G5802" t="str">
        <f>IF(Table3[[#This Row],[Top Parent Account]]="",Table3[[#This Row],[Account Legal Name]],Table3[[#This Row],[Top Parent Account]])</f>
        <v>TECAL DEL NORTE</v>
      </c>
      <c r="H5802" s="1"/>
    </row>
    <row r="5803" spans="1:8" x14ac:dyDescent="0.35">
      <c r="A5803" s="21"/>
      <c r="B5803" t="s">
        <v>989</v>
      </c>
      <c r="C5803" t="s">
        <v>6</v>
      </c>
      <c r="D5803" t="s">
        <v>1712</v>
      </c>
      <c r="F5803" s="1">
        <v>45755</v>
      </c>
      <c r="G5803" t="str">
        <f>IF(Table3[[#This Row],[Top Parent Account]]="",Table3[[#This Row],[Account Legal Name]],Table3[[#This Row],[Top Parent Account]])</f>
        <v>Meor</v>
      </c>
      <c r="H5803" s="1"/>
    </row>
    <row r="5804" spans="1:8" x14ac:dyDescent="0.35">
      <c r="A5804" s="21"/>
      <c r="B5804" t="s">
        <v>172</v>
      </c>
      <c r="C5804" t="s">
        <v>6</v>
      </c>
      <c r="D5804" t="s">
        <v>238</v>
      </c>
      <c r="F5804" s="1">
        <v>45755</v>
      </c>
      <c r="G5804" t="str">
        <f>IF(Table3[[#This Row],[Top Parent Account]]="",Table3[[#This Row],[Account Legal Name]],Table3[[#This Row],[Top Parent Account]])</f>
        <v>Grupo Industrial Monclova</v>
      </c>
      <c r="H5804" s="1"/>
    </row>
    <row r="5805" spans="1:8" x14ac:dyDescent="0.35">
      <c r="A5805" s="21"/>
      <c r="B5805" t="s">
        <v>70</v>
      </c>
      <c r="C5805" t="s">
        <v>6</v>
      </c>
      <c r="D5805" t="s">
        <v>568</v>
      </c>
      <c r="F5805" s="1">
        <v>45755</v>
      </c>
      <c r="G5805" t="str">
        <f>IF(Table3[[#This Row],[Top Parent Account]]="",Table3[[#This Row],[Account Legal Name]],Table3[[#This Row],[Top Parent Account]])</f>
        <v>COI Centro Oncológico Internacional</v>
      </c>
      <c r="H5805" s="1"/>
    </row>
    <row r="5806" spans="1:8" x14ac:dyDescent="0.35">
      <c r="A5806" s="21"/>
      <c r="B5806" t="s">
        <v>169</v>
      </c>
      <c r="C5806" t="s">
        <v>6</v>
      </c>
      <c r="D5806" t="s">
        <v>516</v>
      </c>
      <c r="F5806" s="1">
        <v>45755</v>
      </c>
      <c r="G5806" t="str">
        <f>IF(Table3[[#This Row],[Top Parent Account]]="",Table3[[#This Row],[Account Legal Name]],Table3[[#This Row],[Top Parent Account]])</f>
        <v>COMBUSTIBLES BENTAN</v>
      </c>
      <c r="H5806" s="1"/>
    </row>
    <row r="5807" spans="1:8" x14ac:dyDescent="0.35">
      <c r="A5807" s="21"/>
      <c r="B5807" t="s">
        <v>51</v>
      </c>
      <c r="C5807" t="s">
        <v>6</v>
      </c>
      <c r="D5807" t="s">
        <v>1188</v>
      </c>
      <c r="F5807" s="1">
        <v>45755</v>
      </c>
      <c r="G5807" t="str">
        <f>IF(Table3[[#This Row],[Top Parent Account]]="",Table3[[#This Row],[Account Legal Name]],Table3[[#This Row],[Top Parent Account]])</f>
        <v>Ultraorganics Worlwide</v>
      </c>
      <c r="H5807" s="1"/>
    </row>
    <row r="5808" spans="1:8" x14ac:dyDescent="0.35">
      <c r="A5808" s="21"/>
      <c r="B5808" t="s">
        <v>1511</v>
      </c>
      <c r="C5808" t="s">
        <v>6</v>
      </c>
      <c r="D5808" t="s">
        <v>1663</v>
      </c>
      <c r="F5808" s="1">
        <v>45755</v>
      </c>
      <c r="G5808" t="str">
        <f>IF(Table3[[#This Row],[Top Parent Account]]="",Table3[[#This Row],[Account Legal Name]],Table3[[#This Row],[Top Parent Account]])</f>
        <v>Grote Industries de México</v>
      </c>
      <c r="H5808" s="1"/>
    </row>
    <row r="5809" spans="1:8" x14ac:dyDescent="0.35">
      <c r="A5809" s="21"/>
      <c r="B5809" t="s">
        <v>739</v>
      </c>
      <c r="C5809" t="s">
        <v>6</v>
      </c>
      <c r="D5809" t="s">
        <v>537</v>
      </c>
      <c r="F5809" s="1">
        <v>45755</v>
      </c>
      <c r="G5809" t="str">
        <f>IF(Table3[[#This Row],[Top Parent Account]]="",Table3[[#This Row],[Account Legal Name]],Table3[[#This Row],[Top Parent Account]])</f>
        <v>Industrias Vinícolas Pedro Domeq</v>
      </c>
      <c r="H5809" s="1"/>
    </row>
    <row r="5810" spans="1:8" x14ac:dyDescent="0.35">
      <c r="A5810" s="21"/>
      <c r="B5810" t="s">
        <v>280</v>
      </c>
      <c r="C5810" t="s">
        <v>6</v>
      </c>
      <c r="D5810" t="s">
        <v>1033</v>
      </c>
      <c r="F5810" s="1">
        <v>45755</v>
      </c>
      <c r="G5810" t="str">
        <f>IF(Table3[[#This Row],[Top Parent Account]]="",Table3[[#This Row],[Account Legal Name]],Table3[[#This Row],[Top Parent Account]])</f>
        <v>Agro González</v>
      </c>
      <c r="H5810" s="1"/>
    </row>
    <row r="5811" spans="1:8" x14ac:dyDescent="0.35">
      <c r="A5811" s="21"/>
      <c r="B5811" t="s">
        <v>38</v>
      </c>
      <c r="C5811" t="s">
        <v>6</v>
      </c>
      <c r="D5811" t="s">
        <v>1713</v>
      </c>
      <c r="F5811" s="1">
        <v>45755</v>
      </c>
      <c r="G5811" t="str">
        <f>IF(Table3[[#This Row],[Top Parent Account]]="",Table3[[#This Row],[Account Legal Name]],Table3[[#This Row],[Top Parent Account]])</f>
        <v>Remolques, Tanques y Equipos</v>
      </c>
      <c r="H5811" s="1"/>
    </row>
    <row r="5812" spans="1:8" x14ac:dyDescent="0.35">
      <c r="A5812" s="21"/>
      <c r="B5812" t="s">
        <v>208</v>
      </c>
      <c r="C5812" t="s">
        <v>6</v>
      </c>
      <c r="D5812" t="s">
        <v>1714</v>
      </c>
      <c r="F5812" s="1">
        <v>45755</v>
      </c>
      <c r="G5812" t="str">
        <f>IF(Table3[[#This Row],[Top Parent Account]]="",Table3[[#This Row],[Account Legal Name]],Table3[[#This Row],[Top Parent Account]])</f>
        <v>SERTI</v>
      </c>
      <c r="H5812" s="1"/>
    </row>
    <row r="5813" spans="1:8" x14ac:dyDescent="0.35">
      <c r="A5813" s="21"/>
      <c r="B5813" t="s">
        <v>169</v>
      </c>
      <c r="C5813" t="s">
        <v>6</v>
      </c>
      <c r="D5813" t="s">
        <v>1028</v>
      </c>
      <c r="F5813" s="1">
        <v>45755</v>
      </c>
      <c r="G5813" t="str">
        <f>IF(Table3[[#This Row],[Top Parent Account]]="",Table3[[#This Row],[Account Legal Name]],Table3[[#This Row],[Top Parent Account]])</f>
        <v>Inmobiliaria Lorhnos</v>
      </c>
      <c r="H5813" s="1"/>
    </row>
    <row r="5814" spans="1:8" x14ac:dyDescent="0.35">
      <c r="A5814" s="21"/>
      <c r="B5814" t="s">
        <v>11</v>
      </c>
      <c r="C5814" t="s">
        <v>6</v>
      </c>
      <c r="D5814" t="s">
        <v>115</v>
      </c>
      <c r="F5814" s="1">
        <v>45755</v>
      </c>
      <c r="G5814" t="str">
        <f>IF(Table3[[#This Row],[Top Parent Account]]="",Table3[[#This Row],[Account Legal Name]],Table3[[#This Row],[Top Parent Account]])</f>
        <v>Gerdau Corsa</v>
      </c>
      <c r="H5814" s="1"/>
    </row>
    <row r="5815" spans="1:8" x14ac:dyDescent="0.35">
      <c r="A5815" s="21"/>
      <c r="B5815" t="s">
        <v>925</v>
      </c>
      <c r="C5815" t="s">
        <v>6</v>
      </c>
      <c r="D5815" t="s">
        <v>1483</v>
      </c>
      <c r="F5815" s="1">
        <v>45755</v>
      </c>
      <c r="G5815" t="str">
        <f>IF(Table3[[#This Row],[Top Parent Account]]="",Table3[[#This Row],[Account Legal Name]],Table3[[#This Row],[Top Parent Account]])</f>
        <v>Ingeniería y Productos de Acero</v>
      </c>
      <c r="H5815" s="1"/>
    </row>
    <row r="5816" spans="1:8" x14ac:dyDescent="0.35">
      <c r="A5816" s="21"/>
      <c r="B5816" t="s">
        <v>78</v>
      </c>
      <c r="C5816" t="s">
        <v>6</v>
      </c>
      <c r="D5816" t="s">
        <v>942</v>
      </c>
      <c r="F5816" s="1">
        <v>45755</v>
      </c>
      <c r="G5816" t="str">
        <f>IF(Table3[[#This Row],[Top Parent Account]]="",Table3[[#This Row],[Account Legal Name]],Table3[[#This Row],[Top Parent Account]])</f>
        <v>GRUPO DE INYECCION IMG</v>
      </c>
      <c r="H5816" s="1"/>
    </row>
    <row r="5817" spans="1:8" x14ac:dyDescent="0.35">
      <c r="A5817" s="21"/>
      <c r="B5817" t="s">
        <v>24</v>
      </c>
      <c r="C5817" t="s">
        <v>6</v>
      </c>
      <c r="D5817" t="s">
        <v>1658</v>
      </c>
      <c r="E5817" t="s">
        <v>1065</v>
      </c>
      <c r="F5817" s="1">
        <v>45755</v>
      </c>
      <c r="G5817" t="str">
        <f>IF(Table3[[#This Row],[Top Parent Account]]="",Table3[[#This Row],[Account Legal Name]],Table3[[#This Row],[Top Parent Account]])</f>
        <v>Aleaciones Dentales Zeyco</v>
      </c>
      <c r="H5817" s="1"/>
    </row>
    <row r="5818" spans="1:8" x14ac:dyDescent="0.35">
      <c r="A5818" s="21"/>
      <c r="B5818" t="s">
        <v>932</v>
      </c>
      <c r="C5818" t="s">
        <v>1693</v>
      </c>
      <c r="D5818" t="s">
        <v>1650</v>
      </c>
      <c r="F5818" s="1">
        <v>45755</v>
      </c>
      <c r="G5818" t="str">
        <f>IF(Table3[[#This Row],[Top Parent Account]]="",Table3[[#This Row],[Account Legal Name]],Table3[[#This Row],[Top Parent Account]])</f>
        <v>Hjb Química Internacional</v>
      </c>
      <c r="H5818" s="1"/>
    </row>
    <row r="5819" spans="1:8" x14ac:dyDescent="0.35">
      <c r="A5819" s="21"/>
      <c r="B5819" t="s">
        <v>116</v>
      </c>
      <c r="C5819" t="s">
        <v>6</v>
      </c>
      <c r="D5819" t="s">
        <v>1715</v>
      </c>
      <c r="E5819" t="s">
        <v>1296</v>
      </c>
      <c r="F5819" s="1">
        <v>45755</v>
      </c>
      <c r="G5819" t="str">
        <f>IF(Table3[[#This Row],[Top Parent Account]]="",Table3[[#This Row],[Account Legal Name]],Table3[[#This Row],[Top Parent Account]])</f>
        <v>Alimentos Extruidos</v>
      </c>
      <c r="H5819" s="1"/>
    </row>
    <row r="5820" spans="1:8" x14ac:dyDescent="0.35">
      <c r="A5820" s="21"/>
      <c r="B5820" t="s">
        <v>43</v>
      </c>
      <c r="C5820" t="s">
        <v>1719</v>
      </c>
      <c r="D5820" t="s">
        <v>1633</v>
      </c>
      <c r="F5820" s="1">
        <v>45755</v>
      </c>
      <c r="G5820" t="str">
        <f>IF(Table3[[#This Row],[Top Parent Account]]="",Table3[[#This Row],[Account Legal Name]],Table3[[#This Row],[Top Parent Account]])</f>
        <v>Transportes Jego</v>
      </c>
      <c r="H5820" s="1"/>
    </row>
    <row r="5821" spans="1:8" x14ac:dyDescent="0.35">
      <c r="A5821" s="21"/>
      <c r="B5821" t="s">
        <v>969</v>
      </c>
      <c r="C5821" t="s">
        <v>6</v>
      </c>
      <c r="D5821" t="s">
        <v>1657</v>
      </c>
      <c r="F5821" s="1">
        <v>45755</v>
      </c>
      <c r="G5821" t="str">
        <f>IF(Table3[[#This Row],[Top Parent Account]]="",Table3[[#This Row],[Account Legal Name]],Table3[[#This Row],[Top Parent Account]])</f>
        <v>TECHNOFOODS</v>
      </c>
      <c r="H5821" s="1"/>
    </row>
    <row r="5822" spans="1:8" x14ac:dyDescent="0.35">
      <c r="A5822" s="21"/>
      <c r="B5822" t="s">
        <v>280</v>
      </c>
      <c r="C5822" t="s">
        <v>6</v>
      </c>
      <c r="D5822" t="s">
        <v>1720</v>
      </c>
      <c r="F5822" s="1">
        <v>45755</v>
      </c>
      <c r="G5822" t="str">
        <f>IF(Table3[[#This Row],[Top Parent Account]]="",Table3[[#This Row],[Account Legal Name]],Table3[[#This Row],[Top Parent Account]])</f>
        <v>DURAN DURAN INDUSTRIAS</v>
      </c>
      <c r="H5822" s="1"/>
    </row>
    <row r="5823" spans="1:8" x14ac:dyDescent="0.35">
      <c r="A5823" s="21"/>
      <c r="B5823" t="s">
        <v>54</v>
      </c>
      <c r="C5823" t="s">
        <v>1721</v>
      </c>
      <c r="D5823" t="s">
        <v>1722</v>
      </c>
      <c r="F5823" s="1">
        <v>45755</v>
      </c>
      <c r="G5823" t="str">
        <f>IF(Table3[[#This Row],[Top Parent Account]]="",Table3[[#This Row],[Account Legal Name]],Table3[[#This Row],[Top Parent Account]])</f>
        <v>Yellow Equipment Rental Store</v>
      </c>
      <c r="H5823" s="1"/>
    </row>
    <row r="5824" spans="1:8" x14ac:dyDescent="0.35">
      <c r="A5824" s="21"/>
      <c r="B5824" t="s">
        <v>11</v>
      </c>
      <c r="C5824" t="s">
        <v>6</v>
      </c>
      <c r="D5824" t="s">
        <v>395</v>
      </c>
      <c r="F5824" s="1">
        <v>45755</v>
      </c>
      <c r="G5824" t="str">
        <f>IF(Table3[[#This Row],[Top Parent Account]]="",Table3[[#This Row],[Account Legal Name]],Table3[[#This Row],[Top Parent Account]])</f>
        <v>EXTRUSIONES NACIONALES VESTA</v>
      </c>
      <c r="H5824" s="1"/>
    </row>
    <row r="5825" spans="1:8" x14ac:dyDescent="0.35">
      <c r="A5825" s="21"/>
      <c r="B5825" t="s">
        <v>989</v>
      </c>
      <c r="C5825" t="s">
        <v>6</v>
      </c>
      <c r="D5825" t="s">
        <v>1716</v>
      </c>
      <c r="F5825" s="1">
        <v>45755</v>
      </c>
      <c r="G5825" t="str">
        <f>IF(Table3[[#This Row],[Top Parent Account]]="",Table3[[#This Row],[Account Legal Name]],Table3[[#This Row],[Top Parent Account]])</f>
        <v>EcoTecPlast</v>
      </c>
      <c r="H5825" s="1"/>
    </row>
    <row r="5826" spans="1:8" x14ac:dyDescent="0.35">
      <c r="A5826" s="21"/>
      <c r="B5826" t="s">
        <v>932</v>
      </c>
      <c r="C5826" t="s">
        <v>1717</v>
      </c>
      <c r="D5826" t="s">
        <v>1488</v>
      </c>
      <c r="F5826" s="1">
        <v>45755</v>
      </c>
      <c r="G5826" t="str">
        <f>IF(Table3[[#This Row],[Top Parent Account]]="",Table3[[#This Row],[Account Legal Name]],Table3[[#This Row],[Top Parent Account]])</f>
        <v>Troquelados Modulares</v>
      </c>
      <c r="H5826" s="1"/>
    </row>
    <row r="5827" spans="1:8" x14ac:dyDescent="0.35">
      <c r="A5827" s="21"/>
      <c r="B5827" t="s">
        <v>121</v>
      </c>
      <c r="C5827" t="s">
        <v>6</v>
      </c>
      <c r="D5827" t="s">
        <v>1718</v>
      </c>
      <c r="F5827" s="1">
        <v>45755</v>
      </c>
      <c r="G5827" t="str">
        <f>IF(Table3[[#This Row],[Top Parent Account]]="",Table3[[#This Row],[Account Legal Name]],Table3[[#This Row],[Top Parent Account]])</f>
        <v>Agrícola Savannah</v>
      </c>
      <c r="H5827" s="1"/>
    </row>
    <row r="5828" spans="1:8" x14ac:dyDescent="0.35">
      <c r="A5828" s="21"/>
      <c r="B5828" t="s">
        <v>589</v>
      </c>
      <c r="C5828" t="s">
        <v>6</v>
      </c>
      <c r="D5828" t="s">
        <v>1726</v>
      </c>
      <c r="E5828" t="s">
        <v>619</v>
      </c>
      <c r="F5828" s="1">
        <v>45755</v>
      </c>
      <c r="G5828" t="str">
        <f>IF(Table3[[#This Row],[Top Parent Account]]="",Table3[[#This Row],[Account Legal Name]],Table3[[#This Row],[Top Parent Account]])</f>
        <v>Corporativo Grupo Tampico</v>
      </c>
      <c r="H5828" s="1"/>
    </row>
    <row r="5829" spans="1:8" x14ac:dyDescent="0.35">
      <c r="A5829" s="21"/>
      <c r="B5829" t="s">
        <v>78</v>
      </c>
      <c r="C5829" t="s">
        <v>6</v>
      </c>
      <c r="D5829" t="s">
        <v>1727</v>
      </c>
      <c r="E5829" t="s">
        <v>204</v>
      </c>
      <c r="F5829" s="1">
        <v>45755</v>
      </c>
      <c r="G5829" t="str">
        <f>IF(Table3[[#This Row],[Top Parent Account]]="",Table3[[#This Row],[Account Legal Name]],Table3[[#This Row],[Top Parent Account]])</f>
        <v>JC MOLDS</v>
      </c>
      <c r="H5829" s="1"/>
    </row>
    <row r="5830" spans="1:8" x14ac:dyDescent="0.35">
      <c r="A5830" s="21"/>
      <c r="B5830" t="s">
        <v>208</v>
      </c>
      <c r="C5830" t="s">
        <v>6</v>
      </c>
      <c r="D5830" t="s">
        <v>1723</v>
      </c>
      <c r="F5830" s="1">
        <v>45755</v>
      </c>
      <c r="G5830" t="str">
        <f>IF(Table3[[#This Row],[Top Parent Account]]="",Table3[[#This Row],[Account Legal Name]],Table3[[#This Row],[Top Parent Account]])</f>
        <v>IOMPAR</v>
      </c>
      <c r="H5830" s="1"/>
    </row>
    <row r="5831" spans="1:8" x14ac:dyDescent="0.35">
      <c r="A5831" s="21"/>
      <c r="B5831" t="s">
        <v>14</v>
      </c>
      <c r="C5831" t="s">
        <v>6</v>
      </c>
      <c r="D5831" t="s">
        <v>1724</v>
      </c>
      <c r="F5831" s="1">
        <v>45755</v>
      </c>
      <c r="G5831" t="str">
        <f>IF(Table3[[#This Row],[Top Parent Account]]="",Table3[[#This Row],[Account Legal Name]],Table3[[#This Row],[Top Parent Account]])</f>
        <v>Jesús Pulido</v>
      </c>
      <c r="H5831" s="1"/>
    </row>
    <row r="5832" spans="1:8" x14ac:dyDescent="0.35">
      <c r="A5832" s="21"/>
      <c r="B5832" t="s">
        <v>258</v>
      </c>
      <c r="C5832" t="s">
        <v>6</v>
      </c>
      <c r="D5832" t="s">
        <v>1725</v>
      </c>
      <c r="F5832" s="1">
        <v>45755</v>
      </c>
      <c r="G5832" t="str">
        <f>IF(Table3[[#This Row],[Top Parent Account]]="",Table3[[#This Row],[Account Legal Name]],Table3[[#This Row],[Top Parent Account]])</f>
        <v>Productos Químicos Industriales Potosinos</v>
      </c>
      <c r="H5832" s="1"/>
    </row>
    <row r="5833" spans="1:8" x14ac:dyDescent="0.35">
      <c r="A5833" s="21"/>
      <c r="B5833" t="s">
        <v>169</v>
      </c>
      <c r="C5833" t="s">
        <v>6</v>
      </c>
      <c r="D5833" t="s">
        <v>1653</v>
      </c>
      <c r="F5833" s="1">
        <v>45755</v>
      </c>
      <c r="G5833" t="str">
        <f>IF(Table3[[#This Row],[Top Parent Account]]="",Table3[[#This Row],[Account Legal Name]],Table3[[#This Row],[Top Parent Account]])</f>
        <v>Compañía Minera y Beneficiadora Purísima</v>
      </c>
      <c r="H5833" s="1"/>
    </row>
    <row r="5834" spans="1:8" x14ac:dyDescent="0.35">
      <c r="A5834" s="21"/>
      <c r="B5834" t="s">
        <v>172</v>
      </c>
      <c r="C5834" t="s">
        <v>6</v>
      </c>
      <c r="D5834" t="s">
        <v>674</v>
      </c>
      <c r="F5834" s="1">
        <v>45755</v>
      </c>
      <c r="G5834" t="str">
        <f>IF(Table3[[#This Row],[Top Parent Account]]="",Table3[[#This Row],[Account Legal Name]],Table3[[#This Row],[Top Parent Account]])</f>
        <v>Grupo Fox</v>
      </c>
      <c r="H5834" s="1"/>
    </row>
    <row r="5835" spans="1:8" x14ac:dyDescent="0.35">
      <c r="A5835" s="21"/>
      <c r="B5835" t="s">
        <v>38</v>
      </c>
      <c r="C5835" t="s">
        <v>6</v>
      </c>
      <c r="D5835" t="s">
        <v>471</v>
      </c>
      <c r="F5835" s="1">
        <v>45754</v>
      </c>
      <c r="G5835" t="str">
        <f>IF(Table3[[#This Row],[Top Parent Account]]="",Table3[[#This Row],[Account Legal Name]],Table3[[#This Row],[Top Parent Account]])</f>
        <v>Ciudad Maderas</v>
      </c>
      <c r="H5835" s="1"/>
    </row>
    <row r="5836" spans="1:8" x14ac:dyDescent="0.35">
      <c r="A5836" s="21"/>
      <c r="B5836" t="s">
        <v>39</v>
      </c>
      <c r="C5836" t="s">
        <v>945</v>
      </c>
      <c r="D5836" t="s">
        <v>1728</v>
      </c>
      <c r="F5836" s="1">
        <v>45754</v>
      </c>
      <c r="G5836" t="str">
        <f>IF(Table3[[#This Row],[Top Parent Account]]="",Table3[[#This Row],[Account Legal Name]],Table3[[#This Row],[Top Parent Account]])</f>
        <v>Productos Pesqueros De Guaymas</v>
      </c>
      <c r="H5836" s="1"/>
    </row>
    <row r="5837" spans="1:8" x14ac:dyDescent="0.35">
      <c r="A5837" s="21"/>
      <c r="B5837" t="s">
        <v>169</v>
      </c>
      <c r="C5837" t="s">
        <v>6</v>
      </c>
      <c r="D5837" t="s">
        <v>1731</v>
      </c>
      <c r="F5837" s="1">
        <v>45754</v>
      </c>
      <c r="G5837" t="str">
        <f>IF(Table3[[#This Row],[Top Parent Account]]="",Table3[[#This Row],[Account Legal Name]],Table3[[#This Row],[Top Parent Account]])</f>
        <v>Reguica</v>
      </c>
      <c r="H5837" s="1"/>
    </row>
    <row r="5838" spans="1:8" x14ac:dyDescent="0.35">
      <c r="A5838" s="21"/>
      <c r="B5838" t="s">
        <v>88</v>
      </c>
      <c r="C5838" t="s">
        <v>6</v>
      </c>
      <c r="D5838" t="s">
        <v>1732</v>
      </c>
      <c r="F5838" s="1">
        <v>45754</v>
      </c>
      <c r="G5838" t="str">
        <f>IF(Table3[[#This Row],[Top Parent Account]]="",Table3[[#This Row],[Account Legal Name]],Table3[[#This Row],[Top Parent Account]])</f>
        <v>Cargo Export Import</v>
      </c>
      <c r="H5838" s="1"/>
    </row>
    <row r="5839" spans="1:8" x14ac:dyDescent="0.35">
      <c r="A5839" s="21"/>
      <c r="B5839" t="s">
        <v>932</v>
      </c>
      <c r="C5839" t="s">
        <v>1729</v>
      </c>
      <c r="D5839" t="s">
        <v>1730</v>
      </c>
      <c r="F5839" s="1">
        <v>45754</v>
      </c>
      <c r="G5839" t="str">
        <f>IF(Table3[[#This Row],[Top Parent Account]]="",Table3[[#This Row],[Account Legal Name]],Table3[[#This Row],[Top Parent Account]])</f>
        <v>RAJ PACK</v>
      </c>
      <c r="H5839" s="1"/>
    </row>
    <row r="5840" spans="1:8" x14ac:dyDescent="0.35">
      <c r="A5840" s="21"/>
      <c r="B5840" t="s">
        <v>88</v>
      </c>
      <c r="C5840" t="s">
        <v>6</v>
      </c>
      <c r="D5840" t="s">
        <v>1733</v>
      </c>
      <c r="F5840" s="1">
        <v>45754</v>
      </c>
      <c r="G5840" t="str">
        <f>IF(Table3[[#This Row],[Top Parent Account]]="",Table3[[#This Row],[Account Legal Name]],Table3[[#This Row],[Top Parent Account]])</f>
        <v>VIKING FARMS</v>
      </c>
      <c r="H5840" s="1"/>
    </row>
    <row r="5841" spans="1:8" x14ac:dyDescent="0.35">
      <c r="A5841" s="21"/>
      <c r="B5841" t="s">
        <v>23</v>
      </c>
      <c r="C5841" t="s">
        <v>6</v>
      </c>
      <c r="D5841" t="s">
        <v>565</v>
      </c>
      <c r="F5841" s="1">
        <v>45754</v>
      </c>
      <c r="G5841" t="str">
        <f>IF(Table3[[#This Row],[Top Parent Account]]="",Table3[[#This Row],[Account Legal Name]],Table3[[#This Row],[Top Parent Account]])</f>
        <v>BEAUTY ARMOUR TRADING</v>
      </c>
      <c r="H5841" s="1"/>
    </row>
    <row r="5842" spans="1:8" x14ac:dyDescent="0.35">
      <c r="A5842" s="21"/>
      <c r="B5842" t="s">
        <v>70</v>
      </c>
      <c r="C5842" t="s">
        <v>6</v>
      </c>
      <c r="D5842" t="s">
        <v>110</v>
      </c>
      <c r="F5842" s="1">
        <v>45754</v>
      </c>
      <c r="G5842" t="str">
        <f>IF(Table3[[#This Row],[Top Parent Account]]="",Table3[[#This Row],[Account Legal Name]],Table3[[#This Row],[Top Parent Account]])</f>
        <v>Centro Médico Florence</v>
      </c>
      <c r="H5842" s="1"/>
    </row>
    <row r="5843" spans="1:8" x14ac:dyDescent="0.35">
      <c r="A5843" s="21"/>
      <c r="B5843" t="s">
        <v>989</v>
      </c>
      <c r="C5843" t="s">
        <v>6</v>
      </c>
      <c r="D5843" t="s">
        <v>1734</v>
      </c>
      <c r="E5843" t="s">
        <v>2654</v>
      </c>
      <c r="F5843" s="1">
        <v>45754</v>
      </c>
      <c r="G5843" t="str">
        <f>IF(Table3[[#This Row],[Top Parent Account]]="",Table3[[#This Row],[Account Legal Name]],Table3[[#This Row],[Top Parent Account]])</f>
        <v>INDUSTRIAL DE ACERO VILSA</v>
      </c>
      <c r="H5843" s="1"/>
    </row>
    <row r="5844" spans="1:8" x14ac:dyDescent="0.35">
      <c r="A5844" s="21"/>
      <c r="B5844" t="s">
        <v>169</v>
      </c>
      <c r="C5844" t="s">
        <v>1735</v>
      </c>
      <c r="D5844" t="s">
        <v>1553</v>
      </c>
      <c r="F5844" s="1">
        <v>45754</v>
      </c>
      <c r="G5844" t="str">
        <f>IF(Table3[[#This Row],[Top Parent Account]]="",Table3[[#This Row],[Account Legal Name]],Table3[[#This Row],[Top Parent Account]])</f>
        <v>Transberra</v>
      </c>
      <c r="H5844" s="1"/>
    </row>
    <row r="5845" spans="1:8" x14ac:dyDescent="0.35">
      <c r="A5845" s="21"/>
      <c r="B5845" t="s">
        <v>1131</v>
      </c>
      <c r="C5845" t="s">
        <v>6</v>
      </c>
      <c r="D5845" t="s">
        <v>1736</v>
      </c>
      <c r="F5845" s="1">
        <v>45754</v>
      </c>
      <c r="G5845" t="str">
        <f>IF(Table3[[#This Row],[Top Parent Account]]="",Table3[[#This Row],[Account Legal Name]],Table3[[#This Row],[Top Parent Account]])</f>
        <v>Fibras Opticas de México</v>
      </c>
      <c r="H5845" s="1"/>
    </row>
    <row r="5846" spans="1:8" x14ac:dyDescent="0.35">
      <c r="A5846" s="21"/>
      <c r="B5846" t="s">
        <v>121</v>
      </c>
      <c r="C5846" t="s">
        <v>6</v>
      </c>
      <c r="D5846" t="s">
        <v>1737</v>
      </c>
      <c r="E5846" t="s">
        <v>274</v>
      </c>
      <c r="F5846" s="1">
        <v>45754</v>
      </c>
      <c r="G5846" t="str">
        <f>IF(Table3[[#This Row],[Top Parent Account]]="",Table3[[#This Row],[Account Legal Name]],Table3[[#This Row],[Top Parent Account]])</f>
        <v>MA. TERESA MACIAS RAMIREZ</v>
      </c>
      <c r="H5846" s="1"/>
    </row>
    <row r="5847" spans="1:8" x14ac:dyDescent="0.35">
      <c r="A5847" s="21"/>
      <c r="B5847" t="s">
        <v>23</v>
      </c>
      <c r="C5847" t="s">
        <v>6</v>
      </c>
      <c r="D5847" t="s">
        <v>1423</v>
      </c>
      <c r="F5847" s="1">
        <v>45754</v>
      </c>
      <c r="G5847" t="str">
        <f>IF(Table3[[#This Row],[Top Parent Account]]="",Table3[[#This Row],[Account Legal Name]],Table3[[#This Row],[Top Parent Account]])</f>
        <v>Uriotech</v>
      </c>
      <c r="H5847" s="1"/>
    </row>
    <row r="5848" spans="1:8" x14ac:dyDescent="0.35">
      <c r="A5848" s="21"/>
      <c r="B5848" t="s">
        <v>51</v>
      </c>
      <c r="C5848" t="s">
        <v>6</v>
      </c>
      <c r="D5848" t="s">
        <v>1660</v>
      </c>
      <c r="F5848" s="1">
        <v>45754</v>
      </c>
      <c r="G5848" t="str">
        <f>IF(Table3[[#This Row],[Top Parent Account]]="",Table3[[#This Row],[Account Legal Name]],Table3[[#This Row],[Top Parent Account]])</f>
        <v>TECNO ARRENDAMIENTOS Y CONSTRUCCIONES</v>
      </c>
      <c r="H5848" s="1"/>
    </row>
    <row r="5849" spans="1:8" x14ac:dyDescent="0.35">
      <c r="A5849" s="21"/>
      <c r="B5849" t="s">
        <v>37</v>
      </c>
      <c r="C5849" t="s">
        <v>6</v>
      </c>
      <c r="D5849" t="s">
        <v>1738</v>
      </c>
      <c r="F5849" s="1">
        <v>45754</v>
      </c>
      <c r="G5849" t="str">
        <f>IF(Table3[[#This Row],[Top Parent Account]]="",Table3[[#This Row],[Account Legal Name]],Table3[[#This Row],[Top Parent Account]])</f>
        <v>EQUIPOS Y MATERIALES DE PRECISION DE MEXICO</v>
      </c>
      <c r="H5849" s="1"/>
    </row>
    <row r="5850" spans="1:8" x14ac:dyDescent="0.35">
      <c r="A5850" s="21"/>
      <c r="B5850" t="s">
        <v>14</v>
      </c>
      <c r="C5850" t="s">
        <v>6</v>
      </c>
      <c r="D5850" t="s">
        <v>1739</v>
      </c>
      <c r="F5850" s="1">
        <v>45754</v>
      </c>
      <c r="G5850" t="str">
        <f>IF(Table3[[#This Row],[Top Parent Account]]="",Table3[[#This Row],[Account Legal Name]],Table3[[#This Row],[Top Parent Account]])</f>
        <v>Cubiertos y Desechables Fantasy</v>
      </c>
      <c r="H5850" s="1"/>
    </row>
    <row r="5851" spans="1:8" x14ac:dyDescent="0.35">
      <c r="A5851" s="21"/>
      <c r="B5851" t="s">
        <v>589</v>
      </c>
      <c r="C5851" t="s">
        <v>6</v>
      </c>
      <c r="D5851" t="s">
        <v>1740</v>
      </c>
      <c r="F5851" s="1">
        <v>45754</v>
      </c>
      <c r="G5851" t="str">
        <f>IF(Table3[[#This Row],[Top Parent Account]]="",Table3[[#This Row],[Account Legal Name]],Table3[[#This Row],[Top Parent Account]])</f>
        <v>Mont-Co</v>
      </c>
      <c r="H5851" s="1"/>
    </row>
    <row r="5852" spans="1:8" x14ac:dyDescent="0.35">
      <c r="A5852" s="21"/>
      <c r="B5852" t="s">
        <v>32</v>
      </c>
      <c r="C5852" t="s">
        <v>6</v>
      </c>
      <c r="D5852" t="s">
        <v>1654</v>
      </c>
      <c r="F5852" s="1">
        <v>45754</v>
      </c>
      <c r="G5852" t="str">
        <f>IF(Table3[[#This Row],[Top Parent Account]]="",Table3[[#This Row],[Account Legal Name]],Table3[[#This Row],[Top Parent Account]])</f>
        <v>Neumáticos Industriales y Servicios</v>
      </c>
      <c r="H5852" s="1"/>
    </row>
    <row r="5853" spans="1:8" x14ac:dyDescent="0.35">
      <c r="A5853" s="21"/>
      <c r="B5853" t="s">
        <v>280</v>
      </c>
      <c r="C5853" t="s">
        <v>6</v>
      </c>
      <c r="D5853" t="s">
        <v>1680</v>
      </c>
      <c r="F5853" s="1">
        <v>45754</v>
      </c>
      <c r="G5853" t="str">
        <f>IF(Table3[[#This Row],[Top Parent Account]]="",Table3[[#This Row],[Account Legal Name]],Table3[[#This Row],[Top Parent Account]])</f>
        <v>Agrotileno de México</v>
      </c>
      <c r="H5853" s="1"/>
    </row>
    <row r="5854" spans="1:8" x14ac:dyDescent="0.35">
      <c r="A5854" s="21"/>
      <c r="B5854" t="s">
        <v>43</v>
      </c>
      <c r="C5854" t="s">
        <v>6</v>
      </c>
      <c r="D5854" t="s">
        <v>1008</v>
      </c>
      <c r="F5854" s="1">
        <v>45754</v>
      </c>
      <c r="G5854" t="str">
        <f>IF(Table3[[#This Row],[Top Parent Account]]="",Table3[[#This Row],[Account Legal Name]],Table3[[#This Row],[Top Parent Account]])</f>
        <v>Laboratorios Vanquish</v>
      </c>
      <c r="H5854" s="1"/>
    </row>
    <row r="5855" spans="1:8" x14ac:dyDescent="0.35">
      <c r="A5855" s="21"/>
      <c r="B5855" t="s">
        <v>18</v>
      </c>
      <c r="C5855" t="s">
        <v>6</v>
      </c>
      <c r="D5855" t="s">
        <v>1779</v>
      </c>
      <c r="F5855" s="1">
        <v>45751</v>
      </c>
      <c r="G5855" t="str">
        <f>IF(Table3[[#This Row],[Top Parent Account]]="",Table3[[#This Row],[Account Legal Name]],Table3[[#This Row],[Top Parent Account]])</f>
        <v>Juguera Allende</v>
      </c>
      <c r="H5855" s="1"/>
    </row>
    <row r="5856" spans="1:8" x14ac:dyDescent="0.35">
      <c r="A5856" s="21"/>
      <c r="B5856" t="s">
        <v>12</v>
      </c>
      <c r="C5856" t="s">
        <v>6</v>
      </c>
      <c r="D5856" t="s">
        <v>1780</v>
      </c>
      <c r="F5856" s="1">
        <v>45751</v>
      </c>
      <c r="G5856" t="str">
        <f>IF(Table3[[#This Row],[Top Parent Account]]="",Table3[[#This Row],[Account Legal Name]],Table3[[#This Row],[Top Parent Account]])</f>
        <v>Bari Poliestirenos</v>
      </c>
      <c r="H5856" s="1"/>
    </row>
    <row r="5857" spans="1:8" x14ac:dyDescent="0.35">
      <c r="A5857" s="21"/>
      <c r="B5857" t="s">
        <v>77</v>
      </c>
      <c r="C5857" t="s">
        <v>6</v>
      </c>
      <c r="D5857" t="s">
        <v>974</v>
      </c>
      <c r="F5857" s="1">
        <v>45751</v>
      </c>
      <c r="G5857" t="str">
        <f>IF(Table3[[#This Row],[Top Parent Account]]="",Table3[[#This Row],[Account Legal Name]],Table3[[#This Row],[Top Parent Account]])</f>
        <v>SYB Schmitt</v>
      </c>
      <c r="H5857" s="1"/>
    </row>
    <row r="5858" spans="1:8" x14ac:dyDescent="0.35">
      <c r="A5858" s="21"/>
      <c r="B5858" t="s">
        <v>1643</v>
      </c>
      <c r="C5858" t="s">
        <v>6</v>
      </c>
      <c r="D5858" t="s">
        <v>1771</v>
      </c>
      <c r="F5858" s="1">
        <v>45751</v>
      </c>
      <c r="G5858" t="str">
        <f>IF(Table3[[#This Row],[Top Parent Account]]="",Table3[[#This Row],[Account Legal Name]],Table3[[#This Row],[Top Parent Account]])</f>
        <v>Fortacero</v>
      </c>
      <c r="H5858" s="1"/>
    </row>
    <row r="5859" spans="1:8" x14ac:dyDescent="0.35">
      <c r="A5859" s="21"/>
      <c r="B5859" t="s">
        <v>28</v>
      </c>
      <c r="C5859" t="s">
        <v>6</v>
      </c>
      <c r="D5859" t="s">
        <v>1175</v>
      </c>
      <c r="F5859" s="1">
        <v>45751</v>
      </c>
      <c r="G5859" t="str">
        <f>IF(Table3[[#This Row],[Top Parent Account]]="",Table3[[#This Row],[Account Legal Name]],Table3[[#This Row],[Top Parent Account]])</f>
        <v>Eduardo Rosales Barraza</v>
      </c>
      <c r="H5859" s="1"/>
    </row>
    <row r="5860" spans="1:8" x14ac:dyDescent="0.35">
      <c r="A5860" s="21"/>
      <c r="B5860" t="s">
        <v>970</v>
      </c>
      <c r="C5860" t="s">
        <v>6</v>
      </c>
      <c r="D5860" t="s">
        <v>1634</v>
      </c>
      <c r="F5860" s="1">
        <v>45751</v>
      </c>
      <c r="G5860" t="str">
        <f>IF(Table3[[#This Row],[Top Parent Account]]="",Table3[[#This Row],[Account Legal Name]],Table3[[#This Row],[Top Parent Account]])</f>
        <v>Belleza y Vanidad</v>
      </c>
      <c r="H5860" s="1"/>
    </row>
    <row r="5861" spans="1:8" x14ac:dyDescent="0.35">
      <c r="A5861" s="21"/>
      <c r="B5861" t="s">
        <v>10</v>
      </c>
      <c r="C5861" t="s">
        <v>6</v>
      </c>
      <c r="D5861" t="s">
        <v>1781</v>
      </c>
      <c r="F5861" s="1">
        <v>45751</v>
      </c>
      <c r="G5861" t="str">
        <f>IF(Table3[[#This Row],[Top Parent Account]]="",Table3[[#This Row],[Account Legal Name]],Table3[[#This Row],[Top Parent Account]])</f>
        <v>Kartell de México</v>
      </c>
      <c r="H5861" s="1"/>
    </row>
    <row r="5862" spans="1:8" x14ac:dyDescent="0.35">
      <c r="A5862" s="21"/>
      <c r="B5862" t="s">
        <v>43</v>
      </c>
      <c r="C5862" t="s">
        <v>6</v>
      </c>
      <c r="D5862" t="s">
        <v>1076</v>
      </c>
      <c r="F5862" s="1">
        <v>45751</v>
      </c>
      <c r="G5862" t="str">
        <f>IF(Table3[[#This Row],[Top Parent Account]]="",Table3[[#This Row],[Account Legal Name]],Table3[[#This Row],[Top Parent Account]])</f>
        <v>International Metals de México</v>
      </c>
      <c r="H5862" s="1"/>
    </row>
    <row r="5863" spans="1:8" x14ac:dyDescent="0.35">
      <c r="A5863" s="21"/>
      <c r="B5863" t="s">
        <v>30</v>
      </c>
      <c r="C5863" t="s">
        <v>6</v>
      </c>
      <c r="D5863" t="s">
        <v>988</v>
      </c>
      <c r="F5863" s="1">
        <v>45751</v>
      </c>
      <c r="G5863" t="str">
        <f>IF(Table3[[#This Row],[Top Parent Account]]="",Table3[[#This Row],[Account Legal Name]],Table3[[#This Row],[Top Parent Account]])</f>
        <v>Edyen</v>
      </c>
      <c r="H5863" s="1"/>
    </row>
    <row r="5864" spans="1:8" x14ac:dyDescent="0.35">
      <c r="A5864" s="21"/>
      <c r="B5864" t="s">
        <v>7</v>
      </c>
      <c r="C5864" t="s">
        <v>6</v>
      </c>
      <c r="D5864" t="s">
        <v>1782</v>
      </c>
      <c r="F5864" s="1">
        <v>45751</v>
      </c>
      <c r="G5864" t="str">
        <f>IF(Table3[[#This Row],[Top Parent Account]]="",Table3[[#This Row],[Account Legal Name]],Table3[[#This Row],[Top Parent Account]])</f>
        <v>TRAX CHIHUAHUA</v>
      </c>
      <c r="H5864" s="1"/>
    </row>
    <row r="5865" spans="1:8" x14ac:dyDescent="0.35">
      <c r="A5865" s="21"/>
      <c r="B5865" t="s">
        <v>172</v>
      </c>
      <c r="C5865" t="s">
        <v>6</v>
      </c>
      <c r="D5865" t="s">
        <v>1783</v>
      </c>
      <c r="F5865" s="1">
        <v>45751</v>
      </c>
      <c r="G5865" t="str">
        <f>IF(Table3[[#This Row],[Top Parent Account]]="",Table3[[#This Row],[Account Legal Name]],Table3[[#This Row],[Top Parent Account]])</f>
        <v>Basculas Revuelta</v>
      </c>
      <c r="H5865" s="1"/>
    </row>
    <row r="5866" spans="1:8" x14ac:dyDescent="0.35">
      <c r="A5866" s="21"/>
      <c r="B5866" t="s">
        <v>14</v>
      </c>
      <c r="C5866" t="s">
        <v>6</v>
      </c>
      <c r="D5866" t="s">
        <v>551</v>
      </c>
      <c r="F5866" s="1">
        <v>45751</v>
      </c>
      <c r="G5866" t="str">
        <f>IF(Table3[[#This Row],[Top Parent Account]]="",Table3[[#This Row],[Account Legal Name]],Table3[[#This Row],[Top Parent Account]])</f>
        <v>Rota Impresos Nueva Galicia</v>
      </c>
      <c r="H5866" s="1"/>
    </row>
    <row r="5867" spans="1:8" x14ac:dyDescent="0.35">
      <c r="A5867" s="21"/>
      <c r="B5867" t="s">
        <v>7</v>
      </c>
      <c r="C5867" t="s">
        <v>6</v>
      </c>
      <c r="D5867" t="s">
        <v>597</v>
      </c>
      <c r="F5867" s="1">
        <v>45751</v>
      </c>
      <c r="G5867" t="str">
        <f>IF(Table3[[#This Row],[Top Parent Account]]="",Table3[[#This Row],[Account Legal Name]],Table3[[#This Row],[Top Parent Account]])</f>
        <v>FORTEX MFG</v>
      </c>
      <c r="H5867" s="1"/>
    </row>
    <row r="5868" spans="1:8" x14ac:dyDescent="0.35">
      <c r="A5868" s="21"/>
      <c r="B5868" t="s">
        <v>15</v>
      </c>
      <c r="C5868" t="s">
        <v>6</v>
      </c>
      <c r="D5868" t="s">
        <v>632</v>
      </c>
      <c r="F5868" s="1">
        <v>45751</v>
      </c>
      <c r="G5868" t="str">
        <f>IF(Table3[[#This Row],[Top Parent Account]]="",Table3[[#This Row],[Account Legal Name]],Table3[[#This Row],[Top Parent Account]])</f>
        <v>Pireos Power</v>
      </c>
      <c r="H5868" s="1"/>
    </row>
    <row r="5869" spans="1:8" x14ac:dyDescent="0.35">
      <c r="A5869" s="21"/>
      <c r="B5869" t="s">
        <v>21</v>
      </c>
      <c r="C5869" t="s">
        <v>6</v>
      </c>
      <c r="D5869" t="s">
        <v>1784</v>
      </c>
      <c r="F5869" s="1">
        <v>45751</v>
      </c>
      <c r="G5869" t="str">
        <f>IF(Table3[[#This Row],[Top Parent Account]]="",Table3[[#This Row],[Account Legal Name]],Table3[[#This Row],[Top Parent Account]])</f>
        <v>Agropecuaria Foresta y Avícola U</v>
      </c>
      <c r="H5869" s="1"/>
    </row>
    <row r="5870" spans="1:8" x14ac:dyDescent="0.35">
      <c r="A5870" s="21"/>
      <c r="B5870" t="s">
        <v>32</v>
      </c>
      <c r="C5870" t="s">
        <v>6</v>
      </c>
      <c r="D5870" t="s">
        <v>1785</v>
      </c>
      <c r="F5870" s="1">
        <v>45751</v>
      </c>
      <c r="G5870" t="str">
        <f>IF(Table3[[#This Row],[Top Parent Account]]="",Table3[[#This Row],[Account Legal Name]],Table3[[#This Row],[Top Parent Account]])</f>
        <v>GRUPO ANTOLIN TLAXCALA</v>
      </c>
      <c r="H5870" s="1"/>
    </row>
    <row r="5871" spans="1:8" x14ac:dyDescent="0.35">
      <c r="A5871" s="21"/>
      <c r="B5871" t="s">
        <v>51</v>
      </c>
      <c r="C5871" t="s">
        <v>6</v>
      </c>
      <c r="D5871" t="s">
        <v>435</v>
      </c>
      <c r="F5871" s="1">
        <v>45751</v>
      </c>
      <c r="G5871" t="str">
        <f>IF(Table3[[#This Row],[Top Parent Account]]="",Table3[[#This Row],[Account Legal Name]],Table3[[#This Row],[Top Parent Account]])</f>
        <v>Compañía Arizlu</v>
      </c>
      <c r="H5871" s="1"/>
    </row>
    <row r="5872" spans="1:8" x14ac:dyDescent="0.35">
      <c r="A5872" s="21"/>
      <c r="B5872" t="s">
        <v>88</v>
      </c>
      <c r="C5872" t="s">
        <v>1786</v>
      </c>
      <c r="D5872" t="s">
        <v>1787</v>
      </c>
      <c r="F5872" s="1">
        <v>45750</v>
      </c>
      <c r="G5872" t="str">
        <f>IF(Table3[[#This Row],[Top Parent Account]]="",Table3[[#This Row],[Account Legal Name]],Table3[[#This Row],[Top Parent Account]])</f>
        <v>TEME GRUPO INDUSTRIAL</v>
      </c>
      <c r="H5872" s="1"/>
    </row>
    <row r="5873" spans="1:8" x14ac:dyDescent="0.35">
      <c r="A5873" s="21"/>
      <c r="B5873" t="s">
        <v>78</v>
      </c>
      <c r="C5873" t="s">
        <v>6</v>
      </c>
      <c r="D5873" t="s">
        <v>1788</v>
      </c>
      <c r="F5873" s="1">
        <v>45750</v>
      </c>
      <c r="G5873" t="str">
        <f>IF(Table3[[#This Row],[Top Parent Account]]="",Table3[[#This Row],[Account Legal Name]],Table3[[#This Row],[Top Parent Account]])</f>
        <v>Transporte Tapia</v>
      </c>
      <c r="H5873" s="1"/>
    </row>
    <row r="5874" spans="1:8" x14ac:dyDescent="0.35">
      <c r="A5874" s="21"/>
      <c r="B5874" t="s">
        <v>11</v>
      </c>
      <c r="C5874" t="s">
        <v>6</v>
      </c>
      <c r="D5874" t="s">
        <v>395</v>
      </c>
      <c r="F5874" s="1">
        <v>45750</v>
      </c>
      <c r="G5874" t="str">
        <f>IF(Table3[[#This Row],[Top Parent Account]]="",Table3[[#This Row],[Account Legal Name]],Table3[[#This Row],[Top Parent Account]])</f>
        <v>EXTRUSIONES NACIONALES VESTA</v>
      </c>
      <c r="H5874" s="1"/>
    </row>
    <row r="5875" spans="1:8" x14ac:dyDescent="0.35">
      <c r="A5875" s="21"/>
      <c r="B5875" t="s">
        <v>77</v>
      </c>
      <c r="C5875" t="s">
        <v>6</v>
      </c>
      <c r="D5875" t="s">
        <v>1789</v>
      </c>
      <c r="F5875" s="1">
        <v>45750</v>
      </c>
      <c r="G5875" t="str">
        <f>IF(Table3[[#This Row],[Top Parent Account]]="",Table3[[#This Row],[Account Legal Name]],Table3[[#This Row],[Top Parent Account]])</f>
        <v>Raquel Adriana Suarez Najera</v>
      </c>
      <c r="H5875" s="1"/>
    </row>
    <row r="5876" spans="1:8" x14ac:dyDescent="0.35">
      <c r="A5876" s="21"/>
      <c r="B5876" t="s">
        <v>375</v>
      </c>
      <c r="C5876" t="s">
        <v>6</v>
      </c>
      <c r="D5876" t="s">
        <v>1517</v>
      </c>
      <c r="F5876" s="1">
        <v>45750</v>
      </c>
      <c r="G5876" t="str">
        <f>IF(Table3[[#This Row],[Top Parent Account]]="",Table3[[#This Row],[Account Legal Name]],Table3[[#This Row],[Top Parent Account]])</f>
        <v>LAZOS INTERNACIONALES</v>
      </c>
      <c r="H5876" s="1"/>
    </row>
    <row r="5877" spans="1:8" x14ac:dyDescent="0.35">
      <c r="A5877" s="21"/>
      <c r="B5877" t="s">
        <v>84</v>
      </c>
      <c r="C5877" t="s">
        <v>1790</v>
      </c>
      <c r="D5877" t="s">
        <v>1791</v>
      </c>
      <c r="F5877" s="1">
        <v>45750</v>
      </c>
      <c r="G5877" t="str">
        <f>IF(Table3[[#This Row],[Top Parent Account]]="",Table3[[#This Row],[Account Legal Name]],Table3[[#This Row],[Top Parent Account]])</f>
        <v>Kp Extrusion de México</v>
      </c>
      <c r="H5877" s="1"/>
    </row>
    <row r="5878" spans="1:8" x14ac:dyDescent="0.35">
      <c r="A5878" s="21"/>
      <c r="B5878" t="s">
        <v>78</v>
      </c>
      <c r="C5878" t="s">
        <v>6</v>
      </c>
      <c r="D5878" t="s">
        <v>248</v>
      </c>
      <c r="F5878" s="1">
        <v>45750</v>
      </c>
      <c r="G5878" t="str">
        <f>IF(Table3[[#This Row],[Top Parent Account]]="",Table3[[#This Row],[Account Legal Name]],Table3[[#This Row],[Top Parent Account]])</f>
        <v>Dysal</v>
      </c>
      <c r="H5878" s="1"/>
    </row>
    <row r="5879" spans="1:8" x14ac:dyDescent="0.35">
      <c r="A5879" s="21"/>
      <c r="B5879" t="s">
        <v>15</v>
      </c>
      <c r="C5879" t="s">
        <v>6</v>
      </c>
      <c r="D5879" t="s">
        <v>783</v>
      </c>
      <c r="F5879" s="1">
        <v>45750</v>
      </c>
      <c r="G5879" t="str">
        <f>IF(Table3[[#This Row],[Top Parent Account]]="",Table3[[#This Row],[Account Legal Name]],Table3[[#This Row],[Top Parent Account]])</f>
        <v>Grupo Andrade</v>
      </c>
      <c r="H5879" s="1"/>
    </row>
    <row r="5880" spans="1:8" x14ac:dyDescent="0.35">
      <c r="A5880" s="21"/>
      <c r="B5880" t="s">
        <v>11</v>
      </c>
      <c r="C5880" t="s">
        <v>6</v>
      </c>
      <c r="D5880" t="s">
        <v>1792</v>
      </c>
      <c r="F5880" s="1">
        <v>45750</v>
      </c>
      <c r="G5880" t="str">
        <f>IF(Table3[[#This Row],[Top Parent Account]]="",Table3[[#This Row],[Account Legal Name]],Table3[[#This Row],[Top Parent Account]])</f>
        <v>Genericos Veterinarios</v>
      </c>
      <c r="H5880" s="1"/>
    </row>
    <row r="5881" spans="1:8" x14ac:dyDescent="0.35">
      <c r="A5881" s="21"/>
      <c r="B5881" t="s">
        <v>121</v>
      </c>
      <c r="C5881" t="s">
        <v>6</v>
      </c>
      <c r="D5881" t="s">
        <v>757</v>
      </c>
      <c r="F5881" s="1">
        <v>45750</v>
      </c>
      <c r="G5881" t="str">
        <f>IF(Table3[[#This Row],[Top Parent Account]]="",Table3[[#This Row],[Account Legal Name]],Table3[[#This Row],[Top Parent Account]])</f>
        <v>DESARROLLOS INTEGRALES MINEROS NEVAL</v>
      </c>
      <c r="H5881" s="1"/>
    </row>
    <row r="5882" spans="1:8" x14ac:dyDescent="0.35">
      <c r="A5882" s="21"/>
      <c r="B5882" t="s">
        <v>12</v>
      </c>
      <c r="C5882" t="s">
        <v>6</v>
      </c>
      <c r="D5882" t="s">
        <v>1644</v>
      </c>
      <c r="F5882" s="1">
        <v>45750</v>
      </c>
      <c r="G5882" t="str">
        <f>IF(Table3[[#This Row],[Top Parent Account]]="",Table3[[#This Row],[Account Legal Name]],Table3[[#This Row],[Top Parent Account]])</f>
        <v>Botanas La Lupita</v>
      </c>
      <c r="H5882" s="1"/>
    </row>
    <row r="5883" spans="1:8" x14ac:dyDescent="0.35">
      <c r="A5883" s="21"/>
      <c r="B5883" t="s">
        <v>37</v>
      </c>
      <c r="C5883" t="s">
        <v>6</v>
      </c>
      <c r="D5883" t="s">
        <v>1645</v>
      </c>
      <c r="F5883" s="1">
        <v>45750</v>
      </c>
      <c r="G5883" t="str">
        <f>IF(Table3[[#This Row],[Top Parent Account]]="",Table3[[#This Row],[Account Legal Name]],Table3[[#This Row],[Top Parent Account]])</f>
        <v>MINTCSA</v>
      </c>
      <c r="H5883" s="1"/>
    </row>
    <row r="5884" spans="1:8" x14ac:dyDescent="0.35">
      <c r="A5884" s="21"/>
      <c r="B5884" t="s">
        <v>28</v>
      </c>
      <c r="C5884" t="s">
        <v>6</v>
      </c>
      <c r="D5884" t="s">
        <v>1793</v>
      </c>
      <c r="F5884" s="1">
        <v>45750</v>
      </c>
      <c r="G5884" t="str">
        <f>IF(Table3[[#This Row],[Top Parent Account]]="",Table3[[#This Row],[Account Legal Name]],Table3[[#This Row],[Top Parent Account]])</f>
        <v>MEGLIO INDUSTRIAL</v>
      </c>
      <c r="H5884" s="1"/>
    </row>
    <row r="5885" spans="1:8" x14ac:dyDescent="0.35">
      <c r="A5885" s="21"/>
      <c r="B5885" t="s">
        <v>932</v>
      </c>
      <c r="C5885" t="s">
        <v>1794</v>
      </c>
      <c r="D5885" t="s">
        <v>729</v>
      </c>
      <c r="F5885" s="1">
        <v>45750</v>
      </c>
      <c r="G5885" t="str">
        <f>IF(Table3[[#This Row],[Top Parent Account]]="",Table3[[#This Row],[Account Legal Name]],Table3[[#This Row],[Top Parent Account]])</f>
        <v>Organitec</v>
      </c>
      <c r="H5885" s="1"/>
    </row>
    <row r="5886" spans="1:8" x14ac:dyDescent="0.35">
      <c r="A5886" s="21"/>
      <c r="B5886" t="s">
        <v>37</v>
      </c>
      <c r="C5886" t="s">
        <v>6</v>
      </c>
      <c r="D5886" t="s">
        <v>1646</v>
      </c>
      <c r="F5886" s="1">
        <v>45750</v>
      </c>
      <c r="G5886" t="str">
        <f>IF(Table3[[#This Row],[Top Parent Account]]="",Table3[[#This Row],[Account Legal Name]],Table3[[#This Row],[Top Parent Account]])</f>
        <v>GRUPO JCR</v>
      </c>
      <c r="H5886" s="1"/>
    </row>
    <row r="5887" spans="1:8" x14ac:dyDescent="0.35">
      <c r="A5887" s="21"/>
      <c r="B5887" t="s">
        <v>172</v>
      </c>
      <c r="C5887" t="s">
        <v>6</v>
      </c>
      <c r="D5887" t="s">
        <v>1165</v>
      </c>
      <c r="F5887" s="1">
        <v>45750</v>
      </c>
      <c r="G5887" t="str">
        <f>IF(Table3[[#This Row],[Top Parent Account]]="",Table3[[#This Row],[Account Legal Name]],Table3[[#This Row],[Top Parent Account]])</f>
        <v>Trebotti</v>
      </c>
      <c r="H5887" s="1"/>
    </row>
    <row r="5888" spans="1:8" x14ac:dyDescent="0.35">
      <c r="A5888" s="21"/>
      <c r="B5888" t="s">
        <v>37</v>
      </c>
      <c r="C5888" t="s">
        <v>6</v>
      </c>
      <c r="D5888" t="s">
        <v>1795</v>
      </c>
      <c r="F5888" s="1">
        <v>45750</v>
      </c>
      <c r="G5888" t="str">
        <f>IF(Table3[[#This Row],[Top Parent Account]]="",Table3[[#This Row],[Account Legal Name]],Table3[[#This Row],[Top Parent Account]])</f>
        <v>ELECTRO METALIC SOLUTIONS</v>
      </c>
      <c r="H5888" s="1"/>
    </row>
    <row r="5889" spans="1:8" x14ac:dyDescent="0.35">
      <c r="A5889" s="21"/>
      <c r="B5889" t="s">
        <v>969</v>
      </c>
      <c r="C5889" t="s">
        <v>6</v>
      </c>
      <c r="D5889" t="s">
        <v>1152</v>
      </c>
      <c r="F5889" s="1">
        <v>45750</v>
      </c>
      <c r="G5889" t="str">
        <f>IF(Table3[[#This Row],[Top Parent Account]]="",Table3[[#This Row],[Account Legal Name]],Table3[[#This Row],[Top Parent Account]])</f>
        <v>Distribuidora de Dulces NIla</v>
      </c>
      <c r="H5889" s="1"/>
    </row>
    <row r="5890" spans="1:8" x14ac:dyDescent="0.35">
      <c r="A5890" s="21"/>
      <c r="B5890" t="s">
        <v>56</v>
      </c>
      <c r="C5890" t="s">
        <v>6</v>
      </c>
      <c r="D5890" t="s">
        <v>799</v>
      </c>
      <c r="F5890" s="1">
        <v>45750</v>
      </c>
      <c r="G5890" t="str">
        <f>IF(Table3[[#This Row],[Top Parent Account]]="",Table3[[#This Row],[Account Legal Name]],Table3[[#This Row],[Top Parent Account]])</f>
        <v>Grupo Lala</v>
      </c>
      <c r="H5890" s="1"/>
    </row>
    <row r="5891" spans="1:8" x14ac:dyDescent="0.35">
      <c r="A5891" s="21"/>
      <c r="B5891" t="s">
        <v>12</v>
      </c>
      <c r="C5891" t="s">
        <v>6</v>
      </c>
      <c r="D5891" t="s">
        <v>758</v>
      </c>
      <c r="E5891" t="s">
        <v>120</v>
      </c>
      <c r="F5891" s="1">
        <v>45750</v>
      </c>
      <c r="G5891" t="str">
        <f>IF(Table3[[#This Row],[Top Parent Account]]="",Table3[[#This Row],[Account Legal Name]],Table3[[#This Row],[Top Parent Account]])</f>
        <v>La Anita</v>
      </c>
      <c r="H5891" s="1"/>
    </row>
    <row r="5892" spans="1:8" x14ac:dyDescent="0.35">
      <c r="A5892" s="21"/>
      <c r="B5892" t="s">
        <v>10</v>
      </c>
      <c r="C5892" t="s">
        <v>6</v>
      </c>
      <c r="D5892" t="s">
        <v>476</v>
      </c>
      <c r="F5892" s="1">
        <v>45750</v>
      </c>
      <c r="G5892" t="str">
        <f>IF(Table3[[#This Row],[Top Parent Account]]="",Table3[[#This Row],[Account Legal Name]],Table3[[#This Row],[Top Parent Account]])</f>
        <v>Litografía D Ortega</v>
      </c>
      <c r="H5892" s="1"/>
    </row>
    <row r="5893" spans="1:8" x14ac:dyDescent="0.35">
      <c r="A5893" s="21"/>
      <c r="B5893" t="s">
        <v>37</v>
      </c>
      <c r="C5893" t="s">
        <v>6</v>
      </c>
      <c r="D5893" t="s">
        <v>1074</v>
      </c>
      <c r="F5893" s="1">
        <v>45750</v>
      </c>
      <c r="G5893" t="str">
        <f>IF(Table3[[#This Row],[Top Parent Account]]="",Table3[[#This Row],[Account Legal Name]],Table3[[#This Row],[Top Parent Account]])</f>
        <v>SISA&amp;AUT</v>
      </c>
      <c r="H5893" s="1"/>
    </row>
    <row r="5894" spans="1:8" x14ac:dyDescent="0.35">
      <c r="A5894" s="21"/>
      <c r="B5894" t="s">
        <v>116</v>
      </c>
      <c r="C5894" t="s">
        <v>6</v>
      </c>
      <c r="D5894" t="s">
        <v>1562</v>
      </c>
      <c r="F5894" s="1">
        <v>45750</v>
      </c>
      <c r="G5894" t="str">
        <f>IF(Table3[[#This Row],[Top Parent Account]]="",Table3[[#This Row],[Account Legal Name]],Table3[[#This Row],[Top Parent Account]])</f>
        <v>Agropecuaria El Gran Chaparral</v>
      </c>
      <c r="H5894" s="1"/>
    </row>
    <row r="5895" spans="1:8" x14ac:dyDescent="0.35">
      <c r="A5895" s="21"/>
      <c r="B5895" t="s">
        <v>739</v>
      </c>
      <c r="C5895" t="s">
        <v>6</v>
      </c>
      <c r="D5895" t="s">
        <v>120</v>
      </c>
      <c r="F5895" s="1">
        <v>45750</v>
      </c>
      <c r="G5895" t="str">
        <f>IF(Table3[[#This Row],[Top Parent Account]]="",Table3[[#This Row],[Account Legal Name]],Table3[[#This Row],[Top Parent Account]])</f>
        <v>La Anita</v>
      </c>
      <c r="H5895" s="1"/>
    </row>
    <row r="5896" spans="1:8" x14ac:dyDescent="0.35">
      <c r="A5896" s="21"/>
      <c r="B5896" t="s">
        <v>29</v>
      </c>
      <c r="C5896" t="s">
        <v>6</v>
      </c>
      <c r="D5896" t="s">
        <v>1272</v>
      </c>
      <c r="F5896" s="1">
        <v>45750</v>
      </c>
      <c r="G5896" t="str">
        <f>IF(Table3[[#This Row],[Top Parent Account]]="",Table3[[#This Row],[Account Legal Name]],Table3[[#This Row],[Top Parent Account]])</f>
        <v>SUMA GLOBAL PACK</v>
      </c>
      <c r="H5896" s="1"/>
    </row>
    <row r="5897" spans="1:8" x14ac:dyDescent="0.35">
      <c r="A5897" s="21"/>
      <c r="B5897" t="s">
        <v>172</v>
      </c>
      <c r="C5897" t="s">
        <v>6</v>
      </c>
      <c r="D5897" t="s">
        <v>105</v>
      </c>
      <c r="F5897" s="1">
        <v>45750</v>
      </c>
      <c r="G5897" t="str">
        <f>IF(Table3[[#This Row],[Top Parent Account]]="",Table3[[#This Row],[Account Legal Name]],Table3[[#This Row],[Top Parent Account]])</f>
        <v>NORCAST</v>
      </c>
      <c r="H5897" s="1"/>
    </row>
    <row r="5898" spans="1:8" x14ac:dyDescent="0.35">
      <c r="A5898" s="21"/>
      <c r="B5898" t="s">
        <v>77</v>
      </c>
      <c r="C5898" t="s">
        <v>6</v>
      </c>
      <c r="D5898" t="s">
        <v>50</v>
      </c>
      <c r="F5898" s="1">
        <v>45750</v>
      </c>
      <c r="G5898" t="str">
        <f>IF(Table3[[#This Row],[Top Parent Account]]="",Table3[[#This Row],[Account Legal Name]],Table3[[#This Row],[Top Parent Account]])</f>
        <v>Industrias Montilla</v>
      </c>
      <c r="H5898" s="1"/>
    </row>
    <row r="5899" spans="1:8" x14ac:dyDescent="0.35">
      <c r="A5899" s="21"/>
      <c r="B5899" t="s">
        <v>925</v>
      </c>
      <c r="C5899" t="s">
        <v>6</v>
      </c>
      <c r="D5899" t="s">
        <v>1796</v>
      </c>
      <c r="F5899" s="1">
        <v>45750</v>
      </c>
      <c r="G5899" t="str">
        <f>IF(Table3[[#This Row],[Top Parent Account]]="",Table3[[#This Row],[Account Legal Name]],Table3[[#This Row],[Top Parent Account]])</f>
        <v>Botanas Parios</v>
      </c>
      <c r="H5899" s="1"/>
    </row>
    <row r="5900" spans="1:8" x14ac:dyDescent="0.35">
      <c r="A5900" s="21"/>
      <c r="B5900" t="s">
        <v>43</v>
      </c>
      <c r="C5900" t="s">
        <v>6</v>
      </c>
      <c r="D5900" t="s">
        <v>257</v>
      </c>
      <c r="F5900" s="1">
        <v>45750</v>
      </c>
      <c r="G5900" t="str">
        <f>IF(Table3[[#This Row],[Top Parent Account]]="",Table3[[#This Row],[Account Legal Name]],Table3[[#This Row],[Top Parent Account]])</f>
        <v>IBAI CONSSULAR</v>
      </c>
      <c r="H5900" s="1"/>
    </row>
    <row r="5901" spans="1:8" x14ac:dyDescent="0.35">
      <c r="A5901" s="21"/>
      <c r="B5901" t="s">
        <v>820</v>
      </c>
      <c r="C5901" t="s">
        <v>6</v>
      </c>
      <c r="D5901" t="s">
        <v>360</v>
      </c>
      <c r="F5901" s="1">
        <v>45750</v>
      </c>
      <c r="G5901" t="str">
        <f>IF(Table3[[#This Row],[Top Parent Account]]="",Table3[[#This Row],[Account Legal Name]],Table3[[#This Row],[Top Parent Account]])</f>
        <v>Global Equipment</v>
      </c>
      <c r="H5901" s="1"/>
    </row>
    <row r="5902" spans="1:8" x14ac:dyDescent="0.35">
      <c r="A5902" s="21"/>
      <c r="B5902" t="s">
        <v>739</v>
      </c>
      <c r="C5902" t="s">
        <v>6</v>
      </c>
      <c r="D5902" t="s">
        <v>71</v>
      </c>
      <c r="F5902" s="1">
        <v>45750</v>
      </c>
      <c r="G5902" t="str">
        <f>IF(Table3[[#This Row],[Top Parent Account]]="",Table3[[#This Row],[Account Legal Name]],Table3[[#This Row],[Top Parent Account]])</f>
        <v>Grupo Logra</v>
      </c>
      <c r="H5902" s="1"/>
    </row>
    <row r="5903" spans="1:8" x14ac:dyDescent="0.35">
      <c r="A5903" s="21"/>
      <c r="B5903" t="s">
        <v>172</v>
      </c>
      <c r="C5903" t="s">
        <v>6</v>
      </c>
      <c r="D5903" t="s">
        <v>864</v>
      </c>
      <c r="E5903" t="s">
        <v>865</v>
      </c>
      <c r="F5903" s="1">
        <v>45750</v>
      </c>
      <c r="G5903" t="str">
        <f>IF(Table3[[#This Row],[Top Parent Account]]="",Table3[[#This Row],[Account Legal Name]],Table3[[#This Row],[Top Parent Account]])</f>
        <v>GRUPO SURMAN</v>
      </c>
      <c r="H5903" s="1"/>
    </row>
    <row r="5904" spans="1:8" x14ac:dyDescent="0.35">
      <c r="A5904" s="21"/>
      <c r="B5904" t="s">
        <v>12</v>
      </c>
      <c r="C5904" t="s">
        <v>6</v>
      </c>
      <c r="D5904" t="s">
        <v>71</v>
      </c>
      <c r="F5904" s="1">
        <v>45750</v>
      </c>
      <c r="G5904" t="str">
        <f>IF(Table3[[#This Row],[Top Parent Account]]="",Table3[[#This Row],[Account Legal Name]],Table3[[#This Row],[Top Parent Account]])</f>
        <v>Grupo Logra</v>
      </c>
      <c r="H5904" s="1"/>
    </row>
    <row r="5905" spans="1:8" x14ac:dyDescent="0.35">
      <c r="A5905" s="21"/>
      <c r="B5905" t="s">
        <v>29</v>
      </c>
      <c r="C5905" t="s">
        <v>6</v>
      </c>
      <c r="D5905" t="s">
        <v>1797</v>
      </c>
      <c r="F5905" s="1">
        <v>45750</v>
      </c>
      <c r="G5905" t="str">
        <f>IF(Table3[[#This Row],[Top Parent Account]]="",Table3[[#This Row],[Account Legal Name]],Table3[[#This Row],[Top Parent Account]])</f>
        <v>Distribuidora Amasa</v>
      </c>
      <c r="H5905" s="1"/>
    </row>
    <row r="5906" spans="1:8" x14ac:dyDescent="0.35">
      <c r="A5906" s="21"/>
      <c r="B5906" t="s">
        <v>32</v>
      </c>
      <c r="C5906" t="s">
        <v>6</v>
      </c>
      <c r="D5906" t="s">
        <v>316</v>
      </c>
      <c r="F5906" s="1">
        <v>45750</v>
      </c>
      <c r="G5906" t="str">
        <f>IF(Table3[[#This Row],[Top Parent Account]]="",Table3[[#This Row],[Account Legal Name]],Table3[[#This Row],[Top Parent Account]])</f>
        <v>Interland Transport</v>
      </c>
      <c r="H5906" s="1"/>
    </row>
    <row r="5907" spans="1:8" x14ac:dyDescent="0.35">
      <c r="A5907" s="21"/>
      <c r="B5907" t="s">
        <v>192</v>
      </c>
      <c r="C5907" t="s">
        <v>49</v>
      </c>
      <c r="D5907" t="s">
        <v>380</v>
      </c>
      <c r="F5907" s="1">
        <v>45750</v>
      </c>
      <c r="G5907" t="str">
        <f>IF(Table3[[#This Row],[Top Parent Account]]="",Table3[[#This Row],[Account Legal Name]],Table3[[#This Row],[Top Parent Account]])</f>
        <v>mexscrap</v>
      </c>
      <c r="H5907" s="1"/>
    </row>
    <row r="5908" spans="1:8" x14ac:dyDescent="0.35">
      <c r="A5908" s="21"/>
      <c r="B5908" t="s">
        <v>969</v>
      </c>
      <c r="C5908" t="s">
        <v>6</v>
      </c>
      <c r="D5908" t="s">
        <v>1798</v>
      </c>
      <c r="E5908" t="s">
        <v>1152</v>
      </c>
      <c r="F5908" s="1">
        <v>45750</v>
      </c>
      <c r="G5908" t="str">
        <f>IF(Table3[[#This Row],[Top Parent Account]]="",Table3[[#This Row],[Account Legal Name]],Table3[[#This Row],[Top Parent Account]])</f>
        <v>Distribuidora de Dulces NIla</v>
      </c>
      <c r="H5908" s="1"/>
    </row>
    <row r="5909" spans="1:8" x14ac:dyDescent="0.35">
      <c r="A5909" s="21"/>
      <c r="B5909" t="s">
        <v>20</v>
      </c>
      <c r="C5909" t="s">
        <v>6</v>
      </c>
      <c r="D5909" t="s">
        <v>1799</v>
      </c>
      <c r="E5909" t="s">
        <v>1800</v>
      </c>
      <c r="F5909" s="1">
        <v>45750</v>
      </c>
      <c r="G5909" t="str">
        <f>IF(Table3[[#This Row],[Top Parent Account]]="",Table3[[#This Row],[Account Legal Name]],Table3[[#This Row],[Top Parent Account]])</f>
        <v>2bglobal</v>
      </c>
      <c r="H5909" s="1"/>
    </row>
    <row r="5910" spans="1:8" x14ac:dyDescent="0.35">
      <c r="A5910" s="21"/>
      <c r="B5910" t="s">
        <v>925</v>
      </c>
      <c r="C5910" t="s">
        <v>6</v>
      </c>
      <c r="D5910" t="s">
        <v>1444</v>
      </c>
      <c r="F5910" s="1">
        <v>45750</v>
      </c>
      <c r="G5910" t="str">
        <f>IF(Table3[[#This Row],[Top Parent Account]]="",Table3[[#This Row],[Account Legal Name]],Table3[[#This Row],[Top Parent Account]])</f>
        <v>PROYECTOS INDUSTRIALES Y COMERCIALES DINAM</v>
      </c>
      <c r="H5910" s="1"/>
    </row>
    <row r="5911" spans="1:8" x14ac:dyDescent="0.35">
      <c r="A5911" s="21"/>
      <c r="B5911" t="s">
        <v>8</v>
      </c>
      <c r="C5911" t="s">
        <v>1801</v>
      </c>
      <c r="D5911" t="s">
        <v>1802</v>
      </c>
      <c r="F5911" s="1">
        <v>45750</v>
      </c>
      <c r="G5911" t="str">
        <f>IF(Table3[[#This Row],[Top Parent Account]]="",Table3[[#This Row],[Account Legal Name]],Table3[[#This Row],[Top Parent Account]])</f>
        <v>Industria Alimentaria Oaxaqueña</v>
      </c>
      <c r="H5911" s="1"/>
    </row>
    <row r="5912" spans="1:8" x14ac:dyDescent="0.35">
      <c r="A5912" s="21"/>
      <c r="B5912" t="s">
        <v>172</v>
      </c>
      <c r="C5912" t="s">
        <v>6</v>
      </c>
      <c r="D5912" t="s">
        <v>1803</v>
      </c>
      <c r="F5912" s="1">
        <v>45750</v>
      </c>
      <c r="G5912" t="str">
        <f>IF(Table3[[#This Row],[Top Parent Account]]="",Table3[[#This Row],[Account Legal Name]],Table3[[#This Row],[Top Parent Account]])</f>
        <v>Transmontes</v>
      </c>
      <c r="H5912" s="1"/>
    </row>
    <row r="5913" spans="1:8" x14ac:dyDescent="0.35">
      <c r="A5913" s="21"/>
      <c r="B5913" t="s">
        <v>1643</v>
      </c>
      <c r="C5913" t="s">
        <v>6</v>
      </c>
      <c r="D5913" t="s">
        <v>1647</v>
      </c>
      <c r="F5913" s="1">
        <v>45750</v>
      </c>
      <c r="G5913" t="str">
        <f>IF(Table3[[#This Row],[Top Parent Account]]="",Table3[[#This Row],[Account Legal Name]],Table3[[#This Row],[Top Parent Account]])</f>
        <v>Fundicion Aguilas</v>
      </c>
      <c r="H5913" s="1"/>
    </row>
    <row r="5914" spans="1:8" x14ac:dyDescent="0.35">
      <c r="A5914" s="21"/>
      <c r="B5914" t="s">
        <v>21</v>
      </c>
      <c r="C5914" t="s">
        <v>6</v>
      </c>
      <c r="D5914" t="s">
        <v>1802</v>
      </c>
      <c r="F5914" s="1">
        <v>45750</v>
      </c>
      <c r="G5914" t="str">
        <f>IF(Table3[[#This Row],[Top Parent Account]]="",Table3[[#This Row],[Account Legal Name]],Table3[[#This Row],[Top Parent Account]])</f>
        <v>Industria Alimentaria Oaxaqueña</v>
      </c>
      <c r="H5914" s="1"/>
    </row>
    <row r="5915" spans="1:8" x14ac:dyDescent="0.35">
      <c r="A5915" s="21"/>
      <c r="B5915" t="s">
        <v>10</v>
      </c>
      <c r="C5915" t="s">
        <v>6</v>
      </c>
      <c r="D5915" t="s">
        <v>481</v>
      </c>
      <c r="F5915" s="1">
        <v>45750</v>
      </c>
      <c r="G5915" t="str">
        <f>IF(Table3[[#This Row],[Top Parent Account]]="",Table3[[#This Row],[Account Legal Name]],Table3[[#This Row],[Top Parent Account]])</f>
        <v>Laboratorios Virbac México</v>
      </c>
      <c r="H5915" s="1"/>
    </row>
    <row r="5916" spans="1:8" x14ac:dyDescent="0.35">
      <c r="A5916" s="21"/>
      <c r="B5916" t="s">
        <v>27</v>
      </c>
      <c r="C5916" t="s">
        <v>6</v>
      </c>
      <c r="D5916" t="s">
        <v>1804</v>
      </c>
      <c r="E5916" t="s">
        <v>1805</v>
      </c>
      <c r="F5916" s="1">
        <v>45749</v>
      </c>
      <c r="G5916" t="str">
        <f>IF(Table3[[#This Row],[Top Parent Account]]="",Table3[[#This Row],[Account Legal Name]],Table3[[#This Row],[Top Parent Account]])</f>
        <v>Argia</v>
      </c>
      <c r="H5916" s="1"/>
    </row>
    <row r="5917" spans="1:8" x14ac:dyDescent="0.35">
      <c r="A5917" s="21"/>
      <c r="B5917" t="s">
        <v>14</v>
      </c>
      <c r="C5917" t="s">
        <v>6</v>
      </c>
      <c r="D5917" t="s">
        <v>1342</v>
      </c>
      <c r="F5917" s="1">
        <v>45749</v>
      </c>
      <c r="G5917" t="str">
        <f>IF(Table3[[#This Row],[Top Parent Account]]="",Table3[[#This Row],[Account Legal Name]],Table3[[#This Row],[Top Parent Account]])</f>
        <v>Edvesa</v>
      </c>
      <c r="H5917" s="1"/>
    </row>
    <row r="5918" spans="1:8" x14ac:dyDescent="0.35">
      <c r="A5918" s="21"/>
      <c r="B5918" t="s">
        <v>375</v>
      </c>
      <c r="C5918" t="s">
        <v>6</v>
      </c>
      <c r="D5918" t="s">
        <v>1632</v>
      </c>
      <c r="F5918" s="1">
        <v>45749</v>
      </c>
      <c r="G5918" t="str">
        <f>IF(Table3[[#This Row],[Top Parent Account]]="",Table3[[#This Row],[Account Legal Name]],Table3[[#This Row],[Top Parent Account]])</f>
        <v>EQUIPOS DINAMICOS SOTO</v>
      </c>
      <c r="H5918" s="1"/>
    </row>
    <row r="5919" spans="1:8" x14ac:dyDescent="0.35">
      <c r="A5919" s="21"/>
      <c r="B5919" t="s">
        <v>7</v>
      </c>
      <c r="C5919" t="s">
        <v>6</v>
      </c>
      <c r="D5919" t="s">
        <v>910</v>
      </c>
      <c r="F5919" s="1">
        <v>45749</v>
      </c>
      <c r="G5919" t="str">
        <f>IF(Table3[[#This Row],[Top Parent Account]]="",Table3[[#This Row],[Account Legal Name]],Table3[[#This Row],[Top Parent Account]])</f>
        <v>Grupo Zaragoza</v>
      </c>
      <c r="H5919" s="1"/>
    </row>
    <row r="5920" spans="1:8" x14ac:dyDescent="0.35">
      <c r="A5920" s="21"/>
      <c r="B5920" t="s">
        <v>32</v>
      </c>
      <c r="C5920" t="s">
        <v>6</v>
      </c>
      <c r="D5920" t="s">
        <v>953</v>
      </c>
      <c r="F5920" s="1">
        <v>45749</v>
      </c>
      <c r="G5920" t="str">
        <f>IF(Table3[[#This Row],[Top Parent Account]]="",Table3[[#This Row],[Account Legal Name]],Table3[[#This Row],[Top Parent Account]])</f>
        <v>Kensa Logistics México</v>
      </c>
      <c r="H5920" s="1"/>
    </row>
    <row r="5921" spans="1:8" x14ac:dyDescent="0.35">
      <c r="A5921" s="21"/>
      <c r="B5921" t="s">
        <v>11</v>
      </c>
      <c r="C5921" t="s">
        <v>6</v>
      </c>
      <c r="D5921" t="s">
        <v>964</v>
      </c>
      <c r="F5921" s="1">
        <v>45749</v>
      </c>
      <c r="G5921" t="str">
        <f>IF(Table3[[#This Row],[Top Parent Account]]="",Table3[[#This Row],[Account Legal Name]],Table3[[#This Row],[Top Parent Account]])</f>
        <v>Convergint</v>
      </c>
      <c r="H5921" s="1"/>
    </row>
    <row r="5922" spans="1:8" x14ac:dyDescent="0.35">
      <c r="A5922" s="21"/>
      <c r="B5922" t="s">
        <v>7</v>
      </c>
      <c r="C5922" t="s">
        <v>6</v>
      </c>
      <c r="D5922" t="s">
        <v>1806</v>
      </c>
      <c r="F5922" s="1">
        <v>45749</v>
      </c>
      <c r="G5922" t="str">
        <f>IF(Table3[[#This Row],[Top Parent Account]]="",Table3[[#This Row],[Account Legal Name]],Table3[[#This Row],[Top Parent Account]])</f>
        <v>Saltus Logistics</v>
      </c>
      <c r="H5922" s="1"/>
    </row>
    <row r="5923" spans="1:8" x14ac:dyDescent="0.35">
      <c r="A5923" s="21"/>
      <c r="B5923" t="s">
        <v>28</v>
      </c>
      <c r="C5923" t="s">
        <v>6</v>
      </c>
      <c r="D5923" t="s">
        <v>1046</v>
      </c>
      <c r="F5923" s="1">
        <v>45749</v>
      </c>
      <c r="G5923" t="str">
        <f>IF(Table3[[#This Row],[Top Parent Account]]="",Table3[[#This Row],[Account Legal Name]],Table3[[#This Row],[Top Parent Account]])</f>
        <v>HACHE TRANSPORTES TRC</v>
      </c>
      <c r="H5923" s="1"/>
    </row>
    <row r="5924" spans="1:8" x14ac:dyDescent="0.35">
      <c r="A5924" s="21"/>
      <c r="B5924" t="s">
        <v>121</v>
      </c>
      <c r="C5924" t="s">
        <v>6</v>
      </c>
      <c r="D5924" t="s">
        <v>1807</v>
      </c>
      <c r="F5924" s="1">
        <v>45749</v>
      </c>
      <c r="G5924" t="str">
        <f>IF(Table3[[#This Row],[Top Parent Account]]="",Table3[[#This Row],[Account Legal Name]],Table3[[#This Row],[Top Parent Account]])</f>
        <v>comercializadora de perfumes originales</v>
      </c>
      <c r="H5924" s="1"/>
    </row>
    <row r="5925" spans="1:8" x14ac:dyDescent="0.35">
      <c r="A5925" s="21"/>
      <c r="B5925" t="s">
        <v>25</v>
      </c>
      <c r="C5925" t="s">
        <v>6</v>
      </c>
      <c r="D5925" t="s">
        <v>1808</v>
      </c>
      <c r="F5925" s="1">
        <v>45749</v>
      </c>
      <c r="G5925" t="str">
        <f>IF(Table3[[#This Row],[Top Parent Account]]="",Table3[[#This Row],[Account Legal Name]],Table3[[#This Row],[Top Parent Account]])</f>
        <v>Grupo Cruz Servicios Multidisciplinarios para la construccion</v>
      </c>
      <c r="H5925" s="1"/>
    </row>
    <row r="5926" spans="1:8" x14ac:dyDescent="0.35">
      <c r="A5926" s="21"/>
      <c r="B5926" t="s">
        <v>116</v>
      </c>
      <c r="C5926" t="s">
        <v>6</v>
      </c>
      <c r="D5926" t="s">
        <v>1809</v>
      </c>
      <c r="F5926" s="1">
        <v>45749</v>
      </c>
      <c r="G5926" t="str">
        <f>IF(Table3[[#This Row],[Top Parent Account]]="",Table3[[#This Row],[Account Legal Name]],Table3[[#This Row],[Top Parent Account]])</f>
        <v>GRUPO NUTEC</v>
      </c>
      <c r="H5926" s="1"/>
    </row>
    <row r="5927" spans="1:8" x14ac:dyDescent="0.35">
      <c r="A5927" s="21"/>
      <c r="B5927" t="s">
        <v>286</v>
      </c>
      <c r="C5927" t="s">
        <v>6</v>
      </c>
      <c r="D5927" t="s">
        <v>1810</v>
      </c>
      <c r="F5927" s="1">
        <v>45749</v>
      </c>
      <c r="G5927" t="str">
        <f>IF(Table3[[#This Row],[Top Parent Account]]="",Table3[[#This Row],[Account Legal Name]],Table3[[#This Row],[Top Parent Account]])</f>
        <v>ESTADO NATURAL</v>
      </c>
      <c r="H5927" s="1"/>
    </row>
    <row r="5928" spans="1:8" x14ac:dyDescent="0.35">
      <c r="A5928" s="21"/>
      <c r="B5928" t="s">
        <v>116</v>
      </c>
      <c r="C5928" t="s">
        <v>1811</v>
      </c>
      <c r="D5928" t="s">
        <v>1142</v>
      </c>
      <c r="F5928" s="1">
        <v>45749</v>
      </c>
      <c r="G5928" t="str">
        <f>IF(Table3[[#This Row],[Top Parent Account]]="",Table3[[#This Row],[Account Legal Name]],Table3[[#This Row],[Top Parent Account]])</f>
        <v>Autotransportes Pilot</v>
      </c>
      <c r="H5928" s="1"/>
    </row>
    <row r="5929" spans="1:8" x14ac:dyDescent="0.35">
      <c r="A5929" s="21"/>
      <c r="B5929" t="s">
        <v>25</v>
      </c>
      <c r="C5929" t="s">
        <v>6</v>
      </c>
      <c r="D5929" t="s">
        <v>1812</v>
      </c>
      <c r="F5929" s="1">
        <v>45749</v>
      </c>
      <c r="G5929" t="str">
        <f>IF(Table3[[#This Row],[Top Parent Account]]="",Table3[[#This Row],[Account Legal Name]],Table3[[#This Row],[Top Parent Account]])</f>
        <v>Autotravel México</v>
      </c>
      <c r="H5929" s="1"/>
    </row>
    <row r="5930" spans="1:8" x14ac:dyDescent="0.35">
      <c r="A5930" s="21"/>
      <c r="B5930" t="s">
        <v>51</v>
      </c>
      <c r="C5930" t="s">
        <v>6</v>
      </c>
      <c r="D5930" t="s">
        <v>1067</v>
      </c>
      <c r="F5930" s="1">
        <v>45749</v>
      </c>
      <c r="G5930" t="str">
        <f>IF(Table3[[#This Row],[Top Parent Account]]="",Table3[[#This Row],[Account Legal Name]],Table3[[#This Row],[Top Parent Account]])</f>
        <v>Comercializadora de Plásticos de Alta Calidad</v>
      </c>
      <c r="H5930" s="1"/>
    </row>
    <row r="5931" spans="1:8" x14ac:dyDescent="0.35">
      <c r="A5931" s="21"/>
      <c r="B5931" t="s">
        <v>172</v>
      </c>
      <c r="C5931" t="s">
        <v>6</v>
      </c>
      <c r="D5931" t="s">
        <v>1020</v>
      </c>
      <c r="F5931" s="1">
        <v>45749</v>
      </c>
      <c r="G5931" t="str">
        <f>IF(Table3[[#This Row],[Top Parent Account]]="",Table3[[#This Row],[Account Legal Name]],Table3[[#This Row],[Top Parent Account]])</f>
        <v>impulsora de bienes alameda</v>
      </c>
      <c r="H5931" s="1"/>
    </row>
    <row r="5932" spans="1:8" x14ac:dyDescent="0.35">
      <c r="A5932" s="21"/>
      <c r="B5932" t="s">
        <v>820</v>
      </c>
      <c r="C5932" t="s">
        <v>6</v>
      </c>
      <c r="D5932" t="s">
        <v>1813</v>
      </c>
      <c r="F5932" s="1">
        <v>45749</v>
      </c>
      <c r="G5932" t="str">
        <f>IF(Table3[[#This Row],[Top Parent Account]]="",Table3[[#This Row],[Account Legal Name]],Table3[[#This Row],[Top Parent Account]])</f>
        <v>Rossbach de México</v>
      </c>
      <c r="H5932" s="1"/>
    </row>
    <row r="5933" spans="1:8" x14ac:dyDescent="0.35">
      <c r="A5933" s="21"/>
      <c r="B5933" t="s">
        <v>39</v>
      </c>
      <c r="C5933" t="s">
        <v>1002</v>
      </c>
      <c r="D5933" t="s">
        <v>1814</v>
      </c>
      <c r="F5933" s="1">
        <v>45749</v>
      </c>
      <c r="G5933" t="str">
        <f>IF(Table3[[#This Row],[Top Parent Account]]="",Table3[[#This Row],[Account Legal Name]],Table3[[#This Row],[Top Parent Account]])</f>
        <v>Logica Interactiva</v>
      </c>
      <c r="H5933" s="1"/>
    </row>
    <row r="5934" spans="1:8" x14ac:dyDescent="0.35">
      <c r="A5934" s="21"/>
      <c r="B5934" t="s">
        <v>116</v>
      </c>
      <c r="C5934" t="s">
        <v>6</v>
      </c>
      <c r="D5934" t="s">
        <v>601</v>
      </c>
      <c r="F5934" s="1">
        <v>45749</v>
      </c>
      <c r="G5934" t="str">
        <f>IF(Table3[[#This Row],[Top Parent Account]]="",Table3[[#This Row],[Account Legal Name]],Table3[[#This Row],[Top Parent Account]])</f>
        <v>Grupo Abrego</v>
      </c>
      <c r="H5934" s="1"/>
    </row>
    <row r="5935" spans="1:8" x14ac:dyDescent="0.35">
      <c r="A5935" s="21"/>
      <c r="B5935" t="s">
        <v>77</v>
      </c>
      <c r="C5935" t="s">
        <v>6</v>
      </c>
      <c r="D5935" t="s">
        <v>1815</v>
      </c>
      <c r="F5935" s="1">
        <v>45749</v>
      </c>
      <c r="G5935" t="str">
        <f>IF(Table3[[#This Row],[Top Parent Account]]="",Table3[[#This Row],[Account Legal Name]],Table3[[#This Row],[Top Parent Account]])</f>
        <v>Algodonera los pioneros</v>
      </c>
      <c r="H5935" s="1"/>
    </row>
    <row r="5936" spans="1:8" x14ac:dyDescent="0.35">
      <c r="A5936" s="21"/>
      <c r="B5936" t="s">
        <v>12</v>
      </c>
      <c r="C5936" t="s">
        <v>6</v>
      </c>
      <c r="D5936" t="s">
        <v>413</v>
      </c>
      <c r="F5936" s="1">
        <v>45749</v>
      </c>
      <c r="G5936" t="str">
        <f>IF(Table3[[#This Row],[Top Parent Account]]="",Table3[[#This Row],[Account Legal Name]],Table3[[#This Row],[Top Parent Account]])</f>
        <v>econoflete fletes y mudanzas</v>
      </c>
      <c r="H5936" s="1"/>
    </row>
    <row r="5937" spans="1:8" x14ac:dyDescent="0.35">
      <c r="A5937" s="21"/>
      <c r="B5937" t="s">
        <v>1031</v>
      </c>
      <c r="C5937" t="s">
        <v>6</v>
      </c>
      <c r="D5937" t="s">
        <v>1816</v>
      </c>
      <c r="F5937" s="1">
        <v>45749</v>
      </c>
      <c r="G5937" t="str">
        <f>IF(Table3[[#This Row],[Top Parent Account]]="",Table3[[#This Row],[Account Legal Name]],Table3[[#This Row],[Top Parent Account]])</f>
        <v>Cal y Mayor y Asociados</v>
      </c>
      <c r="H5937" s="1"/>
    </row>
    <row r="5938" spans="1:8" x14ac:dyDescent="0.35">
      <c r="A5938" s="21"/>
      <c r="B5938" t="s">
        <v>590</v>
      </c>
      <c r="C5938" t="s">
        <v>6</v>
      </c>
      <c r="D5938" t="s">
        <v>1817</v>
      </c>
      <c r="F5938" s="1">
        <v>45749</v>
      </c>
      <c r="G5938" t="str">
        <f>IF(Table3[[#This Row],[Top Parent Account]]="",Table3[[#This Row],[Account Legal Name]],Table3[[#This Row],[Top Parent Account]])</f>
        <v>Curtidos Treviño</v>
      </c>
      <c r="H5938" s="1"/>
    </row>
    <row r="5939" spans="1:8" x14ac:dyDescent="0.35">
      <c r="A5939" s="21"/>
      <c r="B5939" t="s">
        <v>70</v>
      </c>
      <c r="C5939" t="s">
        <v>6</v>
      </c>
      <c r="D5939" t="s">
        <v>1818</v>
      </c>
      <c r="F5939" s="1">
        <v>45749</v>
      </c>
      <c r="G5939" t="str">
        <f>IF(Table3[[#This Row],[Top Parent Account]]="",Table3[[#This Row],[Account Legal Name]],Table3[[#This Row],[Top Parent Account]])</f>
        <v>Hospital y Clínica Oca</v>
      </c>
      <c r="H5939" s="1"/>
    </row>
    <row r="5940" spans="1:8" x14ac:dyDescent="0.35">
      <c r="A5940" s="21"/>
      <c r="B5940" t="s">
        <v>1006</v>
      </c>
      <c r="C5940" t="s">
        <v>6</v>
      </c>
      <c r="D5940" t="s">
        <v>1819</v>
      </c>
      <c r="F5940" s="1">
        <v>45749</v>
      </c>
      <c r="G5940" t="str">
        <f>IF(Table3[[#This Row],[Top Parent Account]]="",Table3[[#This Row],[Account Legal Name]],Table3[[#This Row],[Top Parent Account]])</f>
        <v>Elite Produce</v>
      </c>
      <c r="H5940" s="1"/>
    </row>
    <row r="5941" spans="1:8" x14ac:dyDescent="0.35">
      <c r="A5941" s="21"/>
      <c r="B5941" t="s">
        <v>258</v>
      </c>
      <c r="C5941" t="s">
        <v>6</v>
      </c>
      <c r="D5941" t="s">
        <v>1820</v>
      </c>
      <c r="F5941" s="1">
        <v>45749</v>
      </c>
      <c r="G5941" t="str">
        <f>IF(Table3[[#This Row],[Top Parent Account]]="",Table3[[#This Row],[Account Legal Name]],Table3[[#This Row],[Top Parent Account]])</f>
        <v>Grupo Concreto San Luis</v>
      </c>
      <c r="H5941" s="1"/>
    </row>
    <row r="5942" spans="1:8" x14ac:dyDescent="0.35">
      <c r="A5942" s="21"/>
      <c r="B5942" t="s">
        <v>12</v>
      </c>
      <c r="C5942" t="s">
        <v>6</v>
      </c>
      <c r="D5942" t="s">
        <v>1821</v>
      </c>
      <c r="F5942" s="1">
        <v>45749</v>
      </c>
      <c r="G5942" t="str">
        <f>IF(Table3[[#This Row],[Top Parent Account]]="",Table3[[#This Row],[Account Legal Name]],Table3[[#This Row],[Top Parent Account]])</f>
        <v>Vertical Knits</v>
      </c>
      <c r="H5942" s="1"/>
    </row>
    <row r="5943" spans="1:8" x14ac:dyDescent="0.35">
      <c r="A5943" s="21"/>
      <c r="B5943" t="s">
        <v>12</v>
      </c>
      <c r="C5943" t="s">
        <v>6</v>
      </c>
      <c r="D5943" t="s">
        <v>416</v>
      </c>
      <c r="F5943" s="1">
        <v>45749</v>
      </c>
      <c r="G5943" t="str">
        <f>IF(Table3[[#This Row],[Top Parent Account]]="",Table3[[#This Row],[Account Legal Name]],Table3[[#This Row],[Top Parent Account]])</f>
        <v>Promotora Mexicana de Vehículos</v>
      </c>
      <c r="H5943" s="1"/>
    </row>
    <row r="5944" spans="1:8" x14ac:dyDescent="0.35">
      <c r="A5944" s="21"/>
      <c r="B5944" t="s">
        <v>15</v>
      </c>
      <c r="C5944" t="s">
        <v>6</v>
      </c>
      <c r="D5944" t="s">
        <v>962</v>
      </c>
      <c r="F5944" s="1">
        <v>45749</v>
      </c>
      <c r="G5944" t="str">
        <f>IF(Table3[[#This Row],[Top Parent Account]]="",Table3[[#This Row],[Account Legal Name]],Table3[[#This Row],[Top Parent Account]])</f>
        <v>Engie México</v>
      </c>
      <c r="H5944" s="1"/>
    </row>
    <row r="5945" spans="1:8" x14ac:dyDescent="0.35">
      <c r="A5945" s="21"/>
      <c r="B5945" t="s">
        <v>207</v>
      </c>
      <c r="C5945" t="s">
        <v>6</v>
      </c>
      <c r="D5945" t="s">
        <v>1525</v>
      </c>
      <c r="F5945" s="1">
        <v>45749</v>
      </c>
      <c r="G5945" t="str">
        <f>IF(Table3[[#This Row],[Top Parent Account]]="",Table3[[#This Row],[Account Legal Name]],Table3[[#This Row],[Top Parent Account]])</f>
        <v>Eysen</v>
      </c>
      <c r="H5945" s="1"/>
    </row>
    <row r="5946" spans="1:8" x14ac:dyDescent="0.35">
      <c r="A5946" s="21"/>
      <c r="B5946" t="s">
        <v>116</v>
      </c>
      <c r="C5946" t="s">
        <v>22</v>
      </c>
      <c r="D5946" t="s">
        <v>638</v>
      </c>
      <c r="F5946" s="1">
        <v>45749</v>
      </c>
      <c r="G5946" t="str">
        <f>IF(Table3[[#This Row],[Top Parent Account]]="",Table3[[#This Row],[Account Legal Name]],Table3[[#This Row],[Top Parent Account]])</f>
        <v>Natural de Alimentos</v>
      </c>
      <c r="H5946" s="1"/>
    </row>
    <row r="5947" spans="1:8" x14ac:dyDescent="0.35">
      <c r="A5947" s="21"/>
      <c r="B5947" t="s">
        <v>739</v>
      </c>
      <c r="C5947" t="s">
        <v>6</v>
      </c>
      <c r="D5947" t="s">
        <v>1225</v>
      </c>
      <c r="F5947" s="1">
        <v>45749</v>
      </c>
      <c r="G5947" t="str">
        <f>IF(Table3[[#This Row],[Top Parent Account]]="",Table3[[#This Row],[Account Legal Name]],Table3[[#This Row],[Top Parent Account]])</f>
        <v>COMERCIALIZADORA MAYORISTA DEL GOLFO</v>
      </c>
      <c r="H5947" s="1"/>
    </row>
    <row r="5948" spans="1:8" x14ac:dyDescent="0.35">
      <c r="A5948" s="21"/>
      <c r="B5948" t="s">
        <v>739</v>
      </c>
      <c r="C5948" t="s">
        <v>6</v>
      </c>
      <c r="D5948" t="s">
        <v>197</v>
      </c>
      <c r="F5948" s="1">
        <v>45749</v>
      </c>
      <c r="G5948" t="str">
        <f>IF(Table3[[#This Row],[Top Parent Account]]="",Table3[[#This Row],[Account Legal Name]],Table3[[#This Row],[Top Parent Account]])</f>
        <v>Operadora Exe</v>
      </c>
      <c r="H5948" s="1"/>
    </row>
    <row r="5949" spans="1:8" x14ac:dyDescent="0.35">
      <c r="A5949" s="21"/>
      <c r="B5949" t="s">
        <v>32</v>
      </c>
      <c r="C5949" t="s">
        <v>6</v>
      </c>
      <c r="D5949" t="s">
        <v>703</v>
      </c>
      <c r="F5949" s="1">
        <v>45748</v>
      </c>
      <c r="G5949" t="str">
        <f>IF(Table3[[#This Row],[Top Parent Account]]="",Table3[[#This Row],[Account Legal Name]],Table3[[#This Row],[Top Parent Account]])</f>
        <v>Naviera Armamex</v>
      </c>
      <c r="H5949" s="1"/>
    </row>
    <row r="5950" spans="1:8" x14ac:dyDescent="0.35">
      <c r="A5950" s="21"/>
      <c r="B5950" t="s">
        <v>28</v>
      </c>
      <c r="C5950" t="s">
        <v>6</v>
      </c>
      <c r="D5950" t="s">
        <v>1822</v>
      </c>
      <c r="F5950" s="1">
        <v>45748</v>
      </c>
      <c r="G5950" t="str">
        <f>IF(Table3[[#This Row],[Top Parent Account]]="",Table3[[#This Row],[Account Legal Name]],Table3[[#This Row],[Top Parent Account]])</f>
        <v>Industrias en Servicios Plásticos Manufactura</v>
      </c>
      <c r="H5950" s="1"/>
    </row>
    <row r="5951" spans="1:8" x14ac:dyDescent="0.35">
      <c r="A5951" s="21"/>
      <c r="B5951" t="s">
        <v>932</v>
      </c>
      <c r="C5951" t="s">
        <v>1823</v>
      </c>
      <c r="D5951" t="s">
        <v>201</v>
      </c>
      <c r="F5951" s="1">
        <v>45748</v>
      </c>
      <c r="G5951" t="str">
        <f>IF(Table3[[#This Row],[Top Parent Account]]="",Table3[[#This Row],[Account Legal Name]],Table3[[#This Row],[Top Parent Account]])</f>
        <v>Comercializadora Columbia</v>
      </c>
      <c r="H5951" s="1"/>
    </row>
    <row r="5952" spans="1:8" x14ac:dyDescent="0.35">
      <c r="A5952" s="21"/>
      <c r="B5952" t="s">
        <v>169</v>
      </c>
      <c r="C5952" t="s">
        <v>6</v>
      </c>
      <c r="D5952" t="s">
        <v>1824</v>
      </c>
      <c r="F5952" s="1">
        <v>45748</v>
      </c>
      <c r="G5952" t="str">
        <f>IF(Table3[[#This Row],[Top Parent Account]]="",Table3[[#This Row],[Account Legal Name]],Table3[[#This Row],[Top Parent Account]])</f>
        <v>Maquinaria Intertorito</v>
      </c>
      <c r="H5952" s="1"/>
    </row>
    <row r="5953" spans="1:8" x14ac:dyDescent="0.35">
      <c r="A5953" s="21"/>
      <c r="B5953" t="s">
        <v>88</v>
      </c>
      <c r="C5953" t="s">
        <v>6</v>
      </c>
      <c r="D5953" t="s">
        <v>1825</v>
      </c>
      <c r="F5953" s="1">
        <v>45748</v>
      </c>
      <c r="G5953" t="str">
        <f>IF(Table3[[#This Row],[Top Parent Account]]="",Table3[[#This Row],[Account Legal Name]],Table3[[#This Row],[Top Parent Account]])</f>
        <v>Plastic Perfomance Solutions</v>
      </c>
      <c r="H5953" s="1"/>
    </row>
    <row r="5954" spans="1:8" x14ac:dyDescent="0.35">
      <c r="A5954" s="21"/>
      <c r="B5954" t="s">
        <v>10</v>
      </c>
      <c r="C5954" t="s">
        <v>6</v>
      </c>
      <c r="D5954" t="s">
        <v>79</v>
      </c>
      <c r="F5954" s="1">
        <v>45748</v>
      </c>
      <c r="G5954" t="str">
        <f>IF(Table3[[#This Row],[Top Parent Account]]="",Table3[[#This Row],[Account Legal Name]],Table3[[#This Row],[Top Parent Account]])</f>
        <v>Cereales y Pastas</v>
      </c>
      <c r="H5954" s="1"/>
    </row>
    <row r="5955" spans="1:8" x14ac:dyDescent="0.35">
      <c r="A5955" s="21"/>
      <c r="B5955" t="s">
        <v>39</v>
      </c>
      <c r="C5955" t="s">
        <v>1826</v>
      </c>
      <c r="D5955" t="s">
        <v>1023</v>
      </c>
      <c r="E5955" t="s">
        <v>1024</v>
      </c>
      <c r="F5955" s="1">
        <v>45748</v>
      </c>
      <c r="G5955" t="str">
        <f>IF(Table3[[#This Row],[Top Parent Account]]="",Table3[[#This Row],[Account Legal Name]],Table3[[#This Row],[Top Parent Account]])</f>
        <v>Quimmco</v>
      </c>
      <c r="H5955" s="1"/>
    </row>
    <row r="5956" spans="1:8" x14ac:dyDescent="0.35">
      <c r="A5956" s="21"/>
      <c r="B5956" t="s">
        <v>207</v>
      </c>
      <c r="C5956" t="s">
        <v>6</v>
      </c>
      <c r="D5956" t="s">
        <v>1827</v>
      </c>
      <c r="F5956" s="1">
        <v>45748</v>
      </c>
      <c r="G5956" t="str">
        <f>IF(Table3[[#This Row],[Top Parent Account]]="",Table3[[#This Row],[Account Legal Name]],Table3[[#This Row],[Top Parent Account]])</f>
        <v>Floracopio Integradora</v>
      </c>
      <c r="H5956" s="1"/>
    </row>
    <row r="5957" spans="1:8" x14ac:dyDescent="0.35">
      <c r="A5957" s="21"/>
      <c r="B5957" t="s">
        <v>78</v>
      </c>
      <c r="C5957" t="s">
        <v>6</v>
      </c>
      <c r="D5957" t="s">
        <v>1828</v>
      </c>
      <c r="F5957" s="1">
        <v>45748</v>
      </c>
      <c r="G5957" t="str">
        <f>IF(Table3[[#This Row],[Top Parent Account]]="",Table3[[#This Row],[Account Legal Name]],Table3[[#This Row],[Top Parent Account]])</f>
        <v>MS HOMETECH</v>
      </c>
      <c r="H5957" s="1"/>
    </row>
    <row r="5958" spans="1:8" x14ac:dyDescent="0.35">
      <c r="A5958" s="21"/>
      <c r="B5958" t="s">
        <v>169</v>
      </c>
      <c r="C5958" t="s">
        <v>6</v>
      </c>
      <c r="D5958" t="s">
        <v>1829</v>
      </c>
      <c r="F5958" s="1">
        <v>45748</v>
      </c>
      <c r="G5958" t="str">
        <f>IF(Table3[[#This Row],[Top Parent Account]]="",Table3[[#This Row],[Account Legal Name]],Table3[[#This Row],[Top Parent Account]])</f>
        <v>Vialcoma</v>
      </c>
      <c r="H5958" s="1"/>
    </row>
    <row r="5959" spans="1:8" x14ac:dyDescent="0.35">
      <c r="A5959" s="21"/>
      <c r="B5959" t="s">
        <v>78</v>
      </c>
      <c r="C5959" t="s">
        <v>6</v>
      </c>
      <c r="D5959" t="s">
        <v>1830</v>
      </c>
      <c r="F5959" s="1">
        <v>45748</v>
      </c>
      <c r="G5959" t="str">
        <f>IF(Table3[[#This Row],[Top Parent Account]]="",Table3[[#This Row],[Account Legal Name]],Table3[[#This Row],[Top Parent Account]])</f>
        <v>Fleet Services MS</v>
      </c>
      <c r="H5959" s="1"/>
    </row>
    <row r="5960" spans="1:8" x14ac:dyDescent="0.35">
      <c r="A5960" s="21"/>
      <c r="B5960" t="s">
        <v>1006</v>
      </c>
      <c r="C5960" t="s">
        <v>6</v>
      </c>
      <c r="D5960" t="s">
        <v>1831</v>
      </c>
      <c r="F5960" s="1">
        <v>45748</v>
      </c>
      <c r="G5960" t="str">
        <f>IF(Table3[[#This Row],[Top Parent Account]]="",Table3[[#This Row],[Account Legal Name]],Table3[[#This Row],[Top Parent Account]])</f>
        <v>Semillas Y Fertilizantes El Geyser</v>
      </c>
      <c r="H5960" s="1"/>
    </row>
    <row r="5961" spans="1:8" x14ac:dyDescent="0.35">
      <c r="A5961" s="21"/>
      <c r="B5961" t="s">
        <v>14</v>
      </c>
      <c r="C5961" t="s">
        <v>6</v>
      </c>
      <c r="D5961" t="s">
        <v>955</v>
      </c>
      <c r="F5961" s="1">
        <v>45748</v>
      </c>
      <c r="G5961" t="str">
        <f>IF(Table3[[#This Row],[Top Parent Account]]="",Table3[[#This Row],[Account Legal Name]],Table3[[#This Row],[Top Parent Account]])</f>
        <v>Avo Rico Export</v>
      </c>
      <c r="H5961" s="1"/>
    </row>
    <row r="5962" spans="1:8" x14ac:dyDescent="0.35">
      <c r="A5962" s="21"/>
      <c r="B5962" t="s">
        <v>43</v>
      </c>
      <c r="C5962" t="s">
        <v>6</v>
      </c>
      <c r="D5962" t="s">
        <v>1633</v>
      </c>
      <c r="F5962" s="1">
        <v>45748</v>
      </c>
      <c r="G5962" t="str">
        <f>IF(Table3[[#This Row],[Top Parent Account]]="",Table3[[#This Row],[Account Legal Name]],Table3[[#This Row],[Top Parent Account]])</f>
        <v>Transportes Jego</v>
      </c>
      <c r="H5962" s="1"/>
    </row>
    <row r="5963" spans="1:8" x14ac:dyDescent="0.35">
      <c r="A5963" s="21"/>
      <c r="B5963" t="s">
        <v>10</v>
      </c>
      <c r="C5963" t="s">
        <v>6</v>
      </c>
      <c r="D5963" t="s">
        <v>912</v>
      </c>
      <c r="E5963" t="s">
        <v>3554</v>
      </c>
      <c r="F5963" s="1">
        <v>45748</v>
      </c>
      <c r="G5963" t="str">
        <f>IF(Table3[[#This Row],[Top Parent Account]]="",Table3[[#This Row],[Account Legal Name]],Table3[[#This Row],[Top Parent Account]])</f>
        <v>Sesajal</v>
      </c>
      <c r="H5963" s="1"/>
    </row>
    <row r="5964" spans="1:8" x14ac:dyDescent="0.35">
      <c r="A5964" s="21"/>
      <c r="B5964" t="s">
        <v>116</v>
      </c>
      <c r="C5964" t="s">
        <v>6</v>
      </c>
      <c r="D5964" t="s">
        <v>1262</v>
      </c>
      <c r="F5964" s="1">
        <v>45748</v>
      </c>
      <c r="G5964" t="str">
        <f>IF(Table3[[#This Row],[Top Parent Account]]="",Table3[[#This Row],[Account Legal Name]],Table3[[#This Row],[Top Parent Account]])</f>
        <v>Tzinapu</v>
      </c>
      <c r="H5964" s="1"/>
    </row>
    <row r="5965" spans="1:8" x14ac:dyDescent="0.35">
      <c r="A5965" s="21"/>
      <c r="B5965" t="s">
        <v>1006</v>
      </c>
      <c r="C5965" t="s">
        <v>6</v>
      </c>
      <c r="D5965" t="s">
        <v>1832</v>
      </c>
      <c r="F5965" s="1">
        <v>45748</v>
      </c>
      <c r="G5965" t="str">
        <f>IF(Table3[[#This Row],[Top Parent Account]]="",Table3[[#This Row],[Account Legal Name]],Table3[[#This Row],[Top Parent Account]])</f>
        <v>Vegetal Prims</v>
      </c>
      <c r="H5965" s="1"/>
    </row>
    <row r="5966" spans="1:8" x14ac:dyDescent="0.35">
      <c r="A5966" s="21"/>
      <c r="B5966" t="s">
        <v>925</v>
      </c>
      <c r="C5966" t="s">
        <v>6</v>
      </c>
      <c r="D5966" t="s">
        <v>1833</v>
      </c>
      <c r="F5966" s="1">
        <v>45748</v>
      </c>
      <c r="G5966" t="str">
        <f>IF(Table3[[#This Row],[Top Parent Account]]="",Table3[[#This Row],[Account Legal Name]],Table3[[#This Row],[Top Parent Account]])</f>
        <v>Style Print</v>
      </c>
      <c r="H5966" s="1"/>
    </row>
    <row r="5967" spans="1:8" x14ac:dyDescent="0.35">
      <c r="A5967" s="21"/>
      <c r="B5967" t="s">
        <v>169</v>
      </c>
      <c r="C5967" t="s">
        <v>6</v>
      </c>
      <c r="D5967" t="s">
        <v>381</v>
      </c>
      <c r="F5967" s="1">
        <v>45748</v>
      </c>
      <c r="G5967" t="str">
        <f>IF(Table3[[#This Row],[Top Parent Account]]="",Table3[[#This Row],[Account Legal Name]],Table3[[#This Row],[Top Parent Account]])</f>
        <v>Geosol</v>
      </c>
      <c r="H5967" s="1"/>
    </row>
    <row r="5968" spans="1:8" x14ac:dyDescent="0.35">
      <c r="A5968" s="21"/>
      <c r="B5968" t="s">
        <v>820</v>
      </c>
      <c r="C5968" t="s">
        <v>6</v>
      </c>
      <c r="D5968" t="s">
        <v>1111</v>
      </c>
      <c r="F5968" s="1">
        <v>45748</v>
      </c>
      <c r="G5968" t="str">
        <f>IF(Table3[[#This Row],[Top Parent Account]]="",Table3[[#This Row],[Account Legal Name]],Table3[[#This Row],[Top Parent Account]])</f>
        <v>Savare Medika</v>
      </c>
      <c r="H5968" s="1"/>
    </row>
    <row r="5969" spans="1:8" x14ac:dyDescent="0.35">
      <c r="A5969" s="21"/>
      <c r="B5969" t="s">
        <v>11</v>
      </c>
      <c r="C5969" t="s">
        <v>6</v>
      </c>
      <c r="D5969" t="s">
        <v>124</v>
      </c>
      <c r="F5969" s="1">
        <v>45748</v>
      </c>
      <c r="G5969" t="str">
        <f>IF(Table3[[#This Row],[Top Parent Account]]="",Table3[[#This Row],[Account Legal Name]],Table3[[#This Row],[Top Parent Account]])</f>
        <v>Envases Universales</v>
      </c>
      <c r="H5969" s="1"/>
    </row>
    <row r="5970" spans="1:8" x14ac:dyDescent="0.35">
      <c r="A5970" s="21"/>
      <c r="B5970" t="s">
        <v>192</v>
      </c>
      <c r="C5970" t="s">
        <v>49</v>
      </c>
      <c r="D5970" t="s">
        <v>1834</v>
      </c>
      <c r="F5970" s="1">
        <v>45748</v>
      </c>
      <c r="G5970" t="str">
        <f>IF(Table3[[#This Row],[Top Parent Account]]="",Table3[[#This Row],[Account Legal Name]],Table3[[#This Row],[Top Parent Account]])</f>
        <v>Widechem</v>
      </c>
      <c r="H5970" s="1"/>
    </row>
    <row r="5971" spans="1:8" x14ac:dyDescent="0.35">
      <c r="A5971" s="21"/>
      <c r="B5971" t="s">
        <v>12</v>
      </c>
      <c r="C5971" t="s">
        <v>6</v>
      </c>
      <c r="D5971" t="s">
        <v>1099</v>
      </c>
      <c r="F5971" s="1">
        <v>45748</v>
      </c>
      <c r="G5971" t="str">
        <f>IF(Table3[[#This Row],[Top Parent Account]]="",Table3[[#This Row],[Account Legal Name]],Table3[[#This Row],[Top Parent Account]])</f>
        <v>EMPACADORA GRUMA DEL SURESTE</v>
      </c>
      <c r="H5971" s="1"/>
    </row>
    <row r="5972" spans="1:8" x14ac:dyDescent="0.35">
      <c r="A5972" s="21"/>
      <c r="B5972" t="s">
        <v>12</v>
      </c>
      <c r="C5972" t="s">
        <v>6</v>
      </c>
      <c r="D5972" t="s">
        <v>197</v>
      </c>
      <c r="F5972" s="1">
        <v>45748</v>
      </c>
      <c r="G5972" t="str">
        <f>IF(Table3[[#This Row],[Top Parent Account]]="",Table3[[#This Row],[Account Legal Name]],Table3[[#This Row],[Top Parent Account]])</f>
        <v>Operadora Exe</v>
      </c>
      <c r="H5972" s="1"/>
    </row>
    <row r="5973" spans="1:8" x14ac:dyDescent="0.35">
      <c r="A5973" s="21"/>
      <c r="B5973" t="s">
        <v>24</v>
      </c>
      <c r="C5973" t="s">
        <v>6</v>
      </c>
      <c r="D5973" t="s">
        <v>346</v>
      </c>
      <c r="F5973" s="1">
        <v>45748</v>
      </c>
      <c r="G5973" t="str">
        <f>IF(Table3[[#This Row],[Top Parent Account]]="",Table3[[#This Row],[Account Legal Name]],Table3[[#This Row],[Top Parent Account]])</f>
        <v>Productora Pecuaria Alpera</v>
      </c>
      <c r="H5973" s="1"/>
    </row>
    <row r="5974" spans="1:8" x14ac:dyDescent="0.35">
      <c r="A5974" s="21"/>
      <c r="B5974" t="s">
        <v>43</v>
      </c>
      <c r="C5974" t="s">
        <v>6</v>
      </c>
      <c r="D5974" t="s">
        <v>1572</v>
      </c>
      <c r="E5974" t="s">
        <v>1573</v>
      </c>
      <c r="F5974" s="1">
        <v>45748</v>
      </c>
      <c r="G5974" t="str">
        <f>IF(Table3[[#This Row],[Top Parent Account]]="",Table3[[#This Row],[Account Legal Name]],Table3[[#This Row],[Top Parent Account]])</f>
        <v>Plasman Automotive</v>
      </c>
      <c r="H5974" s="1"/>
    </row>
    <row r="5975" spans="1:8" x14ac:dyDescent="0.35">
      <c r="A5975" s="21"/>
      <c r="B5975" t="s">
        <v>18</v>
      </c>
      <c r="C5975" t="s">
        <v>6</v>
      </c>
      <c r="D5975" t="s">
        <v>1835</v>
      </c>
      <c r="F5975" s="1">
        <v>45748</v>
      </c>
      <c r="G5975" t="str">
        <f>IF(Table3[[#This Row],[Top Parent Account]]="",Table3[[#This Row],[Account Legal Name]],Table3[[#This Row],[Top Parent Account]])</f>
        <v>Apícola Allende</v>
      </c>
      <c r="H5975" s="1"/>
    </row>
    <row r="5976" spans="1:8" x14ac:dyDescent="0.35">
      <c r="A5976" s="21"/>
      <c r="B5976" t="s">
        <v>1511</v>
      </c>
      <c r="C5976" t="s">
        <v>6</v>
      </c>
      <c r="D5976" t="s">
        <v>436</v>
      </c>
      <c r="F5976" s="1">
        <v>45748</v>
      </c>
      <c r="G5976" t="str">
        <f>IF(Table3[[#This Row],[Top Parent Account]]="",Table3[[#This Row],[Account Legal Name]],Table3[[#This Row],[Top Parent Account]])</f>
        <v>Plastiexports</v>
      </c>
      <c r="H5976" s="1"/>
    </row>
    <row r="5977" spans="1:8" x14ac:dyDescent="0.35">
      <c r="A5977" s="21"/>
      <c r="B5977" t="s">
        <v>208</v>
      </c>
      <c r="C5977" t="s">
        <v>6</v>
      </c>
      <c r="D5977" t="s">
        <v>545</v>
      </c>
      <c r="F5977" s="1">
        <v>45747</v>
      </c>
      <c r="G5977" t="str">
        <f>IF(Table3[[#This Row],[Top Parent Account]]="",Table3[[#This Row],[Account Legal Name]],Table3[[#This Row],[Top Parent Account]])</f>
        <v>Imaginación en Movimiento</v>
      </c>
      <c r="H5977" s="1"/>
    </row>
    <row r="5978" spans="1:8" x14ac:dyDescent="0.35">
      <c r="A5978" s="21"/>
      <c r="B5978" t="s">
        <v>11</v>
      </c>
      <c r="C5978" t="s">
        <v>6</v>
      </c>
      <c r="D5978" t="s">
        <v>397</v>
      </c>
      <c r="F5978" s="1">
        <v>45747</v>
      </c>
      <c r="G5978" t="str">
        <f>IF(Table3[[#This Row],[Top Parent Account]]="",Table3[[#This Row],[Account Legal Name]],Table3[[#This Row],[Top Parent Account]])</f>
        <v>Entex de Mexico</v>
      </c>
      <c r="H5978" s="1"/>
    </row>
    <row r="5979" spans="1:8" x14ac:dyDescent="0.35">
      <c r="A5979" s="21"/>
      <c r="B5979" t="s">
        <v>14</v>
      </c>
      <c r="C5979" t="s">
        <v>6</v>
      </c>
      <c r="D5979" t="s">
        <v>1836</v>
      </c>
      <c r="F5979" s="1">
        <v>45747</v>
      </c>
      <c r="G5979" t="str">
        <f>IF(Table3[[#This Row],[Top Parent Account]]="",Table3[[#This Row],[Account Legal Name]],Table3[[#This Row],[Top Parent Account]])</f>
        <v>FABRICA ENVASES SOCESA</v>
      </c>
      <c r="H5979" s="1"/>
    </row>
    <row r="5980" spans="1:8" x14ac:dyDescent="0.35">
      <c r="A5980" s="21"/>
      <c r="B5980" t="s">
        <v>84</v>
      </c>
      <c r="C5980" t="s">
        <v>1176</v>
      </c>
      <c r="D5980" t="s">
        <v>1837</v>
      </c>
      <c r="F5980" s="1">
        <v>45747</v>
      </c>
      <c r="G5980" t="str">
        <f>IF(Table3[[#This Row],[Top Parent Account]]="",Table3[[#This Row],[Account Legal Name]],Table3[[#This Row],[Top Parent Account]])</f>
        <v>Grupo Lomex</v>
      </c>
      <c r="H5980" s="1"/>
    </row>
    <row r="5981" spans="1:8" x14ac:dyDescent="0.35">
      <c r="A5981" s="21"/>
      <c r="B5981" t="s">
        <v>70</v>
      </c>
      <c r="C5981" t="s">
        <v>22</v>
      </c>
      <c r="D5981" t="s">
        <v>283</v>
      </c>
      <c r="F5981" s="1">
        <v>45747</v>
      </c>
      <c r="G5981" t="str">
        <f>IF(Table3[[#This Row],[Top Parent Account]]="",Table3[[#This Row],[Account Legal Name]],Table3[[#This Row],[Top Parent Account]])</f>
        <v>Tecnologia Spine</v>
      </c>
      <c r="H5981" s="1"/>
    </row>
    <row r="5982" spans="1:8" x14ac:dyDescent="0.35">
      <c r="A5982" s="21"/>
      <c r="B5982" t="s">
        <v>11</v>
      </c>
      <c r="C5982" t="s">
        <v>6</v>
      </c>
      <c r="D5982" t="s">
        <v>1126</v>
      </c>
      <c r="E5982" t="s">
        <v>399</v>
      </c>
      <c r="F5982" s="1">
        <v>45747</v>
      </c>
      <c r="G5982" t="str">
        <f>IF(Table3[[#This Row],[Top Parent Account]]="",Table3[[#This Row],[Account Legal Name]],Table3[[#This Row],[Top Parent Account]])</f>
        <v>Grupo Corporativo Papelera</v>
      </c>
      <c r="H5982" s="1"/>
    </row>
    <row r="5983" spans="1:8" x14ac:dyDescent="0.35">
      <c r="A5983" s="21"/>
      <c r="B5983" t="s">
        <v>37</v>
      </c>
      <c r="C5983" t="s">
        <v>22</v>
      </c>
      <c r="D5983" t="s">
        <v>771</v>
      </c>
      <c r="F5983" s="1">
        <v>45747</v>
      </c>
      <c r="G5983" t="str">
        <f>IF(Table3[[#This Row],[Top Parent Account]]="",Table3[[#This Row],[Account Legal Name]],Table3[[#This Row],[Top Parent Account]])</f>
        <v>Zato Construcciones</v>
      </c>
      <c r="H5983" s="1"/>
    </row>
    <row r="5984" spans="1:8" x14ac:dyDescent="0.35">
      <c r="A5984" s="21"/>
      <c r="B5984" t="s">
        <v>114</v>
      </c>
      <c r="C5984" t="s">
        <v>6</v>
      </c>
      <c r="D5984" t="s">
        <v>971</v>
      </c>
      <c r="F5984" s="1">
        <v>45747</v>
      </c>
      <c r="G5984" t="str">
        <f>IF(Table3[[#This Row],[Top Parent Account]]="",Table3[[#This Row],[Account Legal Name]],Table3[[#This Row],[Top Parent Account]])</f>
        <v>Endomédica</v>
      </c>
      <c r="H5984" s="1"/>
    </row>
    <row r="5985" spans="1:8" x14ac:dyDescent="0.35">
      <c r="A5985" s="21"/>
      <c r="B5985" t="s">
        <v>970</v>
      </c>
      <c r="C5985" t="s">
        <v>6</v>
      </c>
      <c r="D5985" t="s">
        <v>1634</v>
      </c>
      <c r="F5985" s="1">
        <v>45747</v>
      </c>
      <c r="G5985" t="str">
        <f>IF(Table3[[#This Row],[Top Parent Account]]="",Table3[[#This Row],[Account Legal Name]],Table3[[#This Row],[Top Parent Account]])</f>
        <v>Belleza y Vanidad</v>
      </c>
      <c r="H5985" s="1"/>
    </row>
    <row r="5986" spans="1:8" x14ac:dyDescent="0.35">
      <c r="A5986" s="21"/>
      <c r="B5986" t="s">
        <v>114</v>
      </c>
      <c r="C5986" t="s">
        <v>6</v>
      </c>
      <c r="D5986" t="s">
        <v>981</v>
      </c>
      <c r="F5986" s="1">
        <v>45747</v>
      </c>
      <c r="G5986" t="str">
        <f>IF(Table3[[#This Row],[Top Parent Account]]="",Table3[[#This Row],[Account Legal Name]],Table3[[#This Row],[Top Parent Account]])</f>
        <v>Medical Scope</v>
      </c>
      <c r="H5986" s="1"/>
    </row>
    <row r="5987" spans="1:8" x14ac:dyDescent="0.35">
      <c r="A5987" s="21"/>
      <c r="B5987" t="s">
        <v>70</v>
      </c>
      <c r="C5987" t="s">
        <v>6</v>
      </c>
      <c r="D5987" t="s">
        <v>1838</v>
      </c>
      <c r="F5987" s="1">
        <v>45747</v>
      </c>
      <c r="G5987" t="str">
        <f>IF(Table3[[#This Row],[Top Parent Account]]="",Table3[[#This Row],[Account Legal Name]],Table3[[#This Row],[Top Parent Account]])</f>
        <v>Hopital San Jose Moscati</v>
      </c>
      <c r="H5987" s="1"/>
    </row>
    <row r="5988" spans="1:8" x14ac:dyDescent="0.35">
      <c r="A5988" s="21"/>
      <c r="B5988" t="s">
        <v>286</v>
      </c>
      <c r="C5988" t="s">
        <v>6</v>
      </c>
      <c r="D5988" t="s">
        <v>1839</v>
      </c>
      <c r="F5988" s="1">
        <v>45747</v>
      </c>
      <c r="G5988" t="str">
        <f>IF(Table3[[#This Row],[Top Parent Account]]="",Table3[[#This Row],[Account Legal Name]],Table3[[#This Row],[Top Parent Account]])</f>
        <v>Empacadora Therbal</v>
      </c>
      <c r="H5988" s="1"/>
    </row>
    <row r="5989" spans="1:8" x14ac:dyDescent="0.35">
      <c r="A5989" s="21"/>
      <c r="B5989" t="s">
        <v>30</v>
      </c>
      <c r="C5989" t="s">
        <v>6</v>
      </c>
      <c r="D5989" t="s">
        <v>797</v>
      </c>
      <c r="F5989" s="1">
        <v>45747</v>
      </c>
      <c r="G5989" t="str">
        <f>IF(Table3[[#This Row],[Top Parent Account]]="",Table3[[#This Row],[Account Legal Name]],Table3[[#This Row],[Top Parent Account]])</f>
        <v>Chazki</v>
      </c>
      <c r="H5989" s="1"/>
    </row>
    <row r="5990" spans="1:8" x14ac:dyDescent="0.35">
      <c r="A5990" s="21"/>
      <c r="B5990" t="s">
        <v>208</v>
      </c>
      <c r="C5990" t="s">
        <v>6</v>
      </c>
      <c r="D5990" t="s">
        <v>1140</v>
      </c>
      <c r="F5990" s="1">
        <v>45747</v>
      </c>
      <c r="G5990" t="str">
        <f>IF(Table3[[#This Row],[Top Parent Account]]="",Table3[[#This Row],[Account Legal Name]],Table3[[#This Row],[Top Parent Account]])</f>
        <v>TRBL</v>
      </c>
      <c r="H5990" s="1"/>
    </row>
    <row r="5991" spans="1:8" x14ac:dyDescent="0.35">
      <c r="A5991" s="21"/>
      <c r="B5991" t="s">
        <v>11</v>
      </c>
      <c r="C5991" t="s">
        <v>6</v>
      </c>
      <c r="D5991" t="s">
        <v>1490</v>
      </c>
      <c r="F5991" s="1">
        <v>45747</v>
      </c>
      <c r="G5991" t="str">
        <f>IF(Table3[[#This Row],[Top Parent Account]]="",Table3[[#This Row],[Account Legal Name]],Table3[[#This Row],[Top Parent Account]])</f>
        <v>Transporte y Logistica Buzmyr de México</v>
      </c>
      <c r="H5991" s="1"/>
    </row>
    <row r="5992" spans="1:8" x14ac:dyDescent="0.35">
      <c r="A5992" s="21"/>
      <c r="B5992" t="s">
        <v>56</v>
      </c>
      <c r="C5992" t="s">
        <v>6</v>
      </c>
      <c r="D5992" t="s">
        <v>1840</v>
      </c>
      <c r="E5992" t="s">
        <v>368</v>
      </c>
      <c r="F5992" s="1">
        <v>45747</v>
      </c>
      <c r="G5992" t="str">
        <f>IF(Table3[[#This Row],[Top Parent Account]]="",Table3[[#This Row],[Account Legal Name]],Table3[[#This Row],[Top Parent Account]])</f>
        <v>Centro Médico De Toluca</v>
      </c>
      <c r="H5992" s="1"/>
    </row>
    <row r="5993" spans="1:8" x14ac:dyDescent="0.35">
      <c r="A5993" s="21"/>
      <c r="B5993" t="s">
        <v>78</v>
      </c>
      <c r="C5993" t="s">
        <v>6</v>
      </c>
      <c r="D5993" t="s">
        <v>265</v>
      </c>
      <c r="F5993" s="1">
        <v>45744</v>
      </c>
      <c r="G5993" t="str">
        <f>IF(Table3[[#This Row],[Top Parent Account]]="",Table3[[#This Row],[Account Legal Name]],Table3[[#This Row],[Top Parent Account]])</f>
        <v>FERNANDO SILVA MONTERROSAS</v>
      </c>
      <c r="H5993" s="1"/>
    </row>
    <row r="5994" spans="1:8" x14ac:dyDescent="0.35">
      <c r="A5994" s="21"/>
      <c r="B5994" t="s">
        <v>37</v>
      </c>
      <c r="C5994" t="s">
        <v>6</v>
      </c>
      <c r="D5994" t="s">
        <v>1629</v>
      </c>
      <c r="E5994" t="s">
        <v>1628</v>
      </c>
      <c r="F5994" s="1">
        <v>45744</v>
      </c>
      <c r="G5994" t="str">
        <f>IF(Table3[[#This Row],[Top Parent Account]]="",Table3[[#This Row],[Account Legal Name]],Table3[[#This Row],[Top Parent Account]])</f>
        <v>Maquinaria de Elevacion</v>
      </c>
      <c r="H5994" s="1"/>
    </row>
    <row r="5995" spans="1:8" x14ac:dyDescent="0.35">
      <c r="A5995" s="21"/>
      <c r="B5995" t="s">
        <v>28</v>
      </c>
      <c r="C5995" t="s">
        <v>6</v>
      </c>
      <c r="D5995" t="s">
        <v>1141</v>
      </c>
      <c r="F5995" s="1">
        <v>45744</v>
      </c>
      <c r="G5995" t="str">
        <f>IF(Table3[[#This Row],[Top Parent Account]]="",Table3[[#This Row],[Account Legal Name]],Table3[[#This Row],[Top Parent Account]])</f>
        <v>GASOLINERA Y SERVICIOS DE LA CRUZ</v>
      </c>
      <c r="H5995" s="1"/>
    </row>
    <row r="5996" spans="1:8" x14ac:dyDescent="0.35">
      <c r="A5996" s="21"/>
      <c r="B5996" t="s">
        <v>37</v>
      </c>
      <c r="C5996" t="s">
        <v>6</v>
      </c>
      <c r="D5996" t="s">
        <v>1628</v>
      </c>
      <c r="F5996" s="1">
        <v>45744</v>
      </c>
      <c r="G5996" t="str">
        <f>IF(Table3[[#This Row],[Top Parent Account]]="",Table3[[#This Row],[Account Legal Name]],Table3[[#This Row],[Top Parent Account]])</f>
        <v>Maquinaria de Elevacion</v>
      </c>
      <c r="H5996" s="1"/>
    </row>
    <row r="5997" spans="1:8" x14ac:dyDescent="0.35">
      <c r="A5997" s="21"/>
      <c r="B5997" t="s">
        <v>121</v>
      </c>
      <c r="C5997" t="s">
        <v>6</v>
      </c>
      <c r="D5997" t="s">
        <v>1081</v>
      </c>
      <c r="F5997" s="1">
        <v>45744</v>
      </c>
      <c r="G5997" t="str">
        <f>IF(Table3[[#This Row],[Top Parent Account]]="",Table3[[#This Row],[Account Legal Name]],Table3[[#This Row],[Top Parent Account]])</f>
        <v>SURTIDORA MEDICA DE OCCIDENTE</v>
      </c>
      <c r="H5997" s="1"/>
    </row>
    <row r="5998" spans="1:8" x14ac:dyDescent="0.35">
      <c r="A5998" s="21"/>
      <c r="B5998" t="s">
        <v>121</v>
      </c>
      <c r="C5998" t="s">
        <v>6</v>
      </c>
      <c r="D5998" t="s">
        <v>1212</v>
      </c>
      <c r="F5998" s="1">
        <v>45744</v>
      </c>
      <c r="G5998" t="str">
        <f>IF(Table3[[#This Row],[Top Parent Account]]="",Table3[[#This Row],[Account Legal Name]],Table3[[#This Row],[Top Parent Account]])</f>
        <v>Sazón Natural (Genaro Robles Serrano) (Persona Física)</v>
      </c>
      <c r="H5998" s="1"/>
    </row>
    <row r="5999" spans="1:8" x14ac:dyDescent="0.35">
      <c r="A5999" s="21"/>
      <c r="B5999" t="s">
        <v>121</v>
      </c>
      <c r="C5999" t="s">
        <v>6</v>
      </c>
      <c r="D5999" t="s">
        <v>574</v>
      </c>
      <c r="F5999" s="1">
        <v>45744</v>
      </c>
      <c r="G5999" t="str">
        <f>IF(Table3[[#This Row],[Top Parent Account]]="",Table3[[#This Row],[Account Legal Name]],Table3[[#This Row],[Top Parent Account]])</f>
        <v>PROMAQUILA DE COCULA</v>
      </c>
      <c r="H5999" s="1"/>
    </row>
    <row r="6000" spans="1:8" x14ac:dyDescent="0.35">
      <c r="A6000" s="21"/>
      <c r="B6000" t="s">
        <v>70</v>
      </c>
      <c r="C6000" t="s">
        <v>22</v>
      </c>
      <c r="D6000" t="s">
        <v>472</v>
      </c>
      <c r="F6000" s="1">
        <v>45744</v>
      </c>
      <c r="G6000" t="str">
        <f>IF(Table3[[#This Row],[Top Parent Account]]="",Table3[[#This Row],[Account Legal Name]],Table3[[#This Row],[Top Parent Account]])</f>
        <v>Carzor Group Hospital</v>
      </c>
      <c r="H6000" s="1"/>
    </row>
    <row r="6001" spans="1:8" x14ac:dyDescent="0.35">
      <c r="A6001" s="21"/>
      <c r="B6001" t="s">
        <v>78</v>
      </c>
      <c r="C6001" t="s">
        <v>6</v>
      </c>
      <c r="D6001" t="s">
        <v>837</v>
      </c>
      <c r="F6001" s="1">
        <v>45744</v>
      </c>
      <c r="G6001" t="str">
        <f>IF(Table3[[#This Row],[Top Parent Account]]="",Table3[[#This Row],[Account Legal Name]],Table3[[#This Row],[Top Parent Account]])</f>
        <v>Fundidos Y Componentes</v>
      </c>
      <c r="H6001" s="1"/>
    </row>
    <row r="6002" spans="1:8" x14ac:dyDescent="0.35">
      <c r="A6002" s="21"/>
      <c r="B6002" t="s">
        <v>27</v>
      </c>
      <c r="C6002" t="s">
        <v>6</v>
      </c>
      <c r="D6002" t="s">
        <v>500</v>
      </c>
      <c r="F6002" s="1">
        <v>45744</v>
      </c>
      <c r="G6002" t="str">
        <f>IF(Table3[[#This Row],[Top Parent Account]]="",Table3[[#This Row],[Account Legal Name]],Table3[[#This Row],[Top Parent Account]])</f>
        <v>Cementos del Bajio</v>
      </c>
      <c r="H6002" s="1"/>
    </row>
    <row r="6003" spans="1:8" x14ac:dyDescent="0.35">
      <c r="A6003" s="21"/>
      <c r="B6003" t="s">
        <v>258</v>
      </c>
      <c r="C6003" t="s">
        <v>6</v>
      </c>
      <c r="D6003" t="s">
        <v>1557</v>
      </c>
      <c r="F6003" s="1">
        <v>45744</v>
      </c>
      <c r="G6003" t="str">
        <f>IF(Table3[[#This Row],[Top Parent Account]]="",Table3[[#This Row],[Account Legal Name]],Table3[[#This Row],[Top Parent Account]])</f>
        <v>TRANSPORTES EMPRESARIALES MEDELLIN</v>
      </c>
      <c r="H6003" s="1"/>
    </row>
    <row r="6004" spans="1:8" x14ac:dyDescent="0.35">
      <c r="A6004" s="21"/>
      <c r="B6004" t="s">
        <v>11</v>
      </c>
      <c r="C6004" t="s">
        <v>6</v>
      </c>
      <c r="D6004" t="s">
        <v>1126</v>
      </c>
      <c r="E6004" t="s">
        <v>399</v>
      </c>
      <c r="F6004" s="1">
        <v>45744</v>
      </c>
      <c r="G6004" t="str">
        <f>IF(Table3[[#This Row],[Top Parent Account]]="",Table3[[#This Row],[Account Legal Name]],Table3[[#This Row],[Top Parent Account]])</f>
        <v>Grupo Corporativo Papelera</v>
      </c>
      <c r="H6004" s="1"/>
    </row>
    <row r="6005" spans="1:8" x14ac:dyDescent="0.35">
      <c r="A6005" s="21"/>
      <c r="B6005" t="s">
        <v>121</v>
      </c>
      <c r="C6005" t="s">
        <v>6</v>
      </c>
      <c r="D6005" t="s">
        <v>1558</v>
      </c>
      <c r="F6005" s="1">
        <v>45744</v>
      </c>
      <c r="G6005" t="str">
        <f>IF(Table3[[#This Row],[Top Parent Account]]="",Table3[[#This Row],[Account Legal Name]],Table3[[#This Row],[Top Parent Account]])</f>
        <v>ASIA MAQUINARIA DE MEXICO</v>
      </c>
      <c r="H6005" s="1"/>
    </row>
    <row r="6006" spans="1:8" x14ac:dyDescent="0.35">
      <c r="A6006" s="21"/>
      <c r="B6006" t="s">
        <v>37</v>
      </c>
      <c r="C6006" t="s">
        <v>22</v>
      </c>
      <c r="D6006" t="s">
        <v>1559</v>
      </c>
      <c r="F6006" s="1">
        <v>45744</v>
      </c>
      <c r="G6006" t="str">
        <f>IF(Table3[[#This Row],[Top Parent Account]]="",Table3[[#This Row],[Account Legal Name]],Table3[[#This Row],[Top Parent Account]])</f>
        <v>KNIGT INDUSTRIAL DE MEXICO</v>
      </c>
      <c r="H6006" s="1"/>
    </row>
    <row r="6007" spans="1:8" x14ac:dyDescent="0.35">
      <c r="A6007" s="21"/>
      <c r="B6007" t="s">
        <v>172</v>
      </c>
      <c r="C6007" t="s">
        <v>6</v>
      </c>
      <c r="D6007" t="s">
        <v>864</v>
      </c>
      <c r="E6007" t="s">
        <v>865</v>
      </c>
      <c r="F6007" s="1">
        <v>45744</v>
      </c>
      <c r="G6007" t="str">
        <f>IF(Table3[[#This Row],[Top Parent Account]]="",Table3[[#This Row],[Account Legal Name]],Table3[[#This Row],[Top Parent Account]])</f>
        <v>GRUPO SURMAN</v>
      </c>
      <c r="H6007" s="1"/>
    </row>
    <row r="6008" spans="1:8" x14ac:dyDescent="0.35">
      <c r="A6008" s="21"/>
      <c r="B6008" t="s">
        <v>258</v>
      </c>
      <c r="C6008" t="s">
        <v>6</v>
      </c>
      <c r="D6008" t="s">
        <v>1160</v>
      </c>
      <c r="F6008" s="1">
        <v>45744</v>
      </c>
      <c r="G6008" t="str">
        <f>IF(Table3[[#This Row],[Top Parent Account]]="",Table3[[#This Row],[Account Legal Name]],Table3[[#This Row],[Top Parent Account]])</f>
        <v>Gruas Alpha</v>
      </c>
      <c r="H6008" s="1"/>
    </row>
    <row r="6009" spans="1:8" x14ac:dyDescent="0.35">
      <c r="A6009" s="21"/>
      <c r="B6009" t="s">
        <v>11</v>
      </c>
      <c r="C6009" t="s">
        <v>6</v>
      </c>
      <c r="D6009" t="s">
        <v>98</v>
      </c>
      <c r="F6009" s="1">
        <v>45744</v>
      </c>
      <c r="G6009" t="str">
        <f>IF(Table3[[#This Row],[Top Parent Account]]="",Table3[[#This Row],[Account Legal Name]],Table3[[#This Row],[Top Parent Account]])</f>
        <v>Grupo Papelero Gabor</v>
      </c>
      <c r="H6009" s="1"/>
    </row>
    <row r="6010" spans="1:8" x14ac:dyDescent="0.35">
      <c r="A6010" s="21"/>
      <c r="B6010" t="s">
        <v>932</v>
      </c>
      <c r="C6010" t="s">
        <v>1560</v>
      </c>
      <c r="D6010" t="s">
        <v>1554</v>
      </c>
      <c r="F6010" s="1">
        <v>45744</v>
      </c>
      <c r="G6010" t="str">
        <f>IF(Table3[[#This Row],[Top Parent Account]]="",Table3[[#This Row],[Account Legal Name]],Table3[[#This Row],[Top Parent Account]])</f>
        <v>Alimentos De Alta Calidad El Pedregal</v>
      </c>
      <c r="H6010" s="1"/>
    </row>
    <row r="6011" spans="1:8" x14ac:dyDescent="0.35">
      <c r="A6011" s="21"/>
      <c r="B6011" t="s">
        <v>38</v>
      </c>
      <c r="C6011" t="s">
        <v>6</v>
      </c>
      <c r="D6011" t="s">
        <v>1561</v>
      </c>
      <c r="F6011" s="1">
        <v>45743</v>
      </c>
      <c r="G6011" t="str">
        <f>IF(Table3[[#This Row],[Top Parent Account]]="",Table3[[#This Row],[Account Legal Name]],Table3[[#This Row],[Top Parent Account]])</f>
        <v>Investigación y Desarrollo Médico</v>
      </c>
      <c r="H6011" s="1"/>
    </row>
    <row r="6012" spans="1:8" x14ac:dyDescent="0.35">
      <c r="A6012" s="21"/>
      <c r="B6012" t="s">
        <v>38</v>
      </c>
      <c r="C6012" t="s">
        <v>6</v>
      </c>
      <c r="D6012" t="s">
        <v>1507</v>
      </c>
      <c r="F6012" s="1">
        <v>45743</v>
      </c>
      <c r="G6012" t="str">
        <f>IF(Table3[[#This Row],[Top Parent Account]]="",Table3[[#This Row],[Account Legal Name]],Table3[[#This Row],[Top Parent Account]])</f>
        <v>Aromáticos y Químicos del Centro</v>
      </c>
      <c r="H6012" s="1"/>
    </row>
    <row r="6013" spans="1:8" x14ac:dyDescent="0.35">
      <c r="A6013" s="21"/>
      <c r="B6013" t="s">
        <v>30</v>
      </c>
      <c r="C6013" t="s">
        <v>6</v>
      </c>
      <c r="D6013" t="s">
        <v>427</v>
      </c>
      <c r="E6013" t="s">
        <v>63</v>
      </c>
      <c r="F6013" s="1">
        <v>45743</v>
      </c>
      <c r="G6013" t="str">
        <f>IF(Table3[[#This Row],[Top Parent Account]]="",Table3[[#This Row],[Account Legal Name]],Table3[[#This Row],[Top Parent Account]])</f>
        <v>General Electric México</v>
      </c>
      <c r="H6013" s="1"/>
    </row>
    <row r="6014" spans="1:8" x14ac:dyDescent="0.35">
      <c r="A6014" s="21"/>
      <c r="B6014" t="s">
        <v>37</v>
      </c>
      <c r="C6014" t="s">
        <v>6</v>
      </c>
      <c r="D6014" t="s">
        <v>547</v>
      </c>
      <c r="F6014" s="1">
        <v>45743</v>
      </c>
      <c r="G6014" t="str">
        <f>IF(Table3[[#This Row],[Top Parent Account]]="",Table3[[#This Row],[Account Legal Name]],Table3[[#This Row],[Top Parent Account]])</f>
        <v>Supplier City de Hermosillo</v>
      </c>
      <c r="H6014" s="1"/>
    </row>
    <row r="6015" spans="1:8" x14ac:dyDescent="0.35">
      <c r="A6015" s="21"/>
      <c r="B6015" t="s">
        <v>14</v>
      </c>
      <c r="C6015" t="s">
        <v>6</v>
      </c>
      <c r="D6015" t="s">
        <v>657</v>
      </c>
      <c r="F6015" s="1">
        <v>45743</v>
      </c>
      <c r="G6015" t="str">
        <f>IF(Table3[[#This Row],[Top Parent Account]]="",Table3[[#This Row],[Account Legal Name]],Table3[[#This Row],[Top Parent Account]])</f>
        <v>RICARNES BEEF</v>
      </c>
      <c r="H6015" s="1"/>
    </row>
    <row r="6016" spans="1:8" x14ac:dyDescent="0.35">
      <c r="A6016" s="21"/>
      <c r="B6016" t="s">
        <v>121</v>
      </c>
      <c r="C6016" t="s">
        <v>6</v>
      </c>
      <c r="D6016" t="s">
        <v>1405</v>
      </c>
      <c r="F6016" s="1">
        <v>45743</v>
      </c>
      <c r="G6016" t="str">
        <f>IF(Table3[[#This Row],[Top Parent Account]]="",Table3[[#This Row],[Account Legal Name]],Table3[[#This Row],[Top Parent Account]])</f>
        <v>Torrico Alimentos</v>
      </c>
      <c r="H6016" s="1"/>
    </row>
    <row r="6017" spans="1:8" x14ac:dyDescent="0.35">
      <c r="A6017" s="21"/>
      <c r="B6017" t="s">
        <v>24</v>
      </c>
      <c r="C6017" t="s">
        <v>1149</v>
      </c>
      <c r="D6017" t="s">
        <v>1508</v>
      </c>
      <c r="F6017" s="1">
        <v>45743</v>
      </c>
      <c r="G6017" t="str">
        <f>IF(Table3[[#This Row],[Top Parent Account]]="",Table3[[#This Row],[Account Legal Name]],Table3[[#This Row],[Top Parent Account]])</f>
        <v>Industrias Guacamaya</v>
      </c>
      <c r="H6017" s="1"/>
    </row>
    <row r="6018" spans="1:8" x14ac:dyDescent="0.35">
      <c r="A6018" s="21"/>
      <c r="B6018" t="s">
        <v>375</v>
      </c>
      <c r="C6018" t="s">
        <v>6</v>
      </c>
      <c r="D6018" t="s">
        <v>1084</v>
      </c>
      <c r="F6018" s="1">
        <v>45743</v>
      </c>
      <c r="G6018" t="str">
        <f>IF(Table3[[#This Row],[Top Parent Account]]="",Table3[[#This Row],[Account Legal Name]],Table3[[#This Row],[Top Parent Account]])</f>
        <v>Hi-Tec Medical</v>
      </c>
      <c r="H6018" s="1"/>
    </row>
    <row r="6019" spans="1:8" x14ac:dyDescent="0.35">
      <c r="A6019" s="21"/>
      <c r="B6019" t="s">
        <v>51</v>
      </c>
      <c r="C6019" t="s">
        <v>6</v>
      </c>
      <c r="D6019" t="s">
        <v>1509</v>
      </c>
      <c r="F6019" s="1">
        <v>45743</v>
      </c>
      <c r="G6019" t="str">
        <f>IF(Table3[[#This Row],[Top Parent Account]]="",Table3[[#This Row],[Account Legal Name]],Table3[[#This Row],[Top Parent Account]])</f>
        <v>Rafias Industriales</v>
      </c>
      <c r="H6019" s="1"/>
    </row>
    <row r="6020" spans="1:8" x14ac:dyDescent="0.35">
      <c r="A6020" s="21"/>
      <c r="B6020" t="s">
        <v>169</v>
      </c>
      <c r="C6020" t="s">
        <v>6</v>
      </c>
      <c r="D6020" t="s">
        <v>1553</v>
      </c>
      <c r="F6020" s="1">
        <v>45743</v>
      </c>
      <c r="G6020" t="str">
        <f>IF(Table3[[#This Row],[Top Parent Account]]="",Table3[[#This Row],[Account Legal Name]],Table3[[#This Row],[Top Parent Account]])</f>
        <v>Transberra</v>
      </c>
      <c r="H6020" s="1"/>
    </row>
    <row r="6021" spans="1:8" x14ac:dyDescent="0.35">
      <c r="A6021" s="21"/>
      <c r="B6021" t="s">
        <v>121</v>
      </c>
      <c r="C6021" t="s">
        <v>6</v>
      </c>
      <c r="D6021" t="s">
        <v>229</v>
      </c>
      <c r="F6021" s="1">
        <v>45743</v>
      </c>
      <c r="G6021" t="str">
        <f>IF(Table3[[#This Row],[Top Parent Account]]="",Table3[[#This Row],[Account Legal Name]],Table3[[#This Row],[Top Parent Account]])</f>
        <v>CONCRETOS DURABLES</v>
      </c>
      <c r="H6021" s="1"/>
    </row>
    <row r="6022" spans="1:8" x14ac:dyDescent="0.35">
      <c r="A6022" s="21"/>
      <c r="B6022" t="s">
        <v>280</v>
      </c>
      <c r="C6022" t="s">
        <v>6</v>
      </c>
      <c r="D6022" t="s">
        <v>1510</v>
      </c>
      <c r="F6022" s="1">
        <v>45743</v>
      </c>
      <c r="G6022" t="str">
        <f>IF(Table3[[#This Row],[Top Parent Account]]="",Table3[[#This Row],[Account Legal Name]],Table3[[#This Row],[Top Parent Account]])</f>
        <v>Sautem</v>
      </c>
      <c r="H6022" s="1"/>
    </row>
    <row r="6023" spans="1:8" x14ac:dyDescent="0.35">
      <c r="A6023" s="21"/>
      <c r="B6023" t="s">
        <v>37</v>
      </c>
      <c r="C6023" t="s">
        <v>6</v>
      </c>
      <c r="D6023" t="s">
        <v>1489</v>
      </c>
      <c r="F6023" s="1">
        <v>45743</v>
      </c>
      <c r="G6023" t="str">
        <f>IF(Table3[[#This Row],[Top Parent Account]]="",Table3[[#This Row],[Account Legal Name]],Table3[[#This Row],[Top Parent Account]])</f>
        <v>Recicladora Cypa</v>
      </c>
      <c r="H6023" s="1"/>
    </row>
    <row r="6024" spans="1:8" x14ac:dyDescent="0.35">
      <c r="A6024" s="21"/>
      <c r="B6024" t="s">
        <v>1511</v>
      </c>
      <c r="C6024" t="s">
        <v>6</v>
      </c>
      <c r="D6024" t="s">
        <v>1512</v>
      </c>
      <c r="F6024" s="1">
        <v>45743</v>
      </c>
      <c r="G6024" t="str">
        <f>IF(Table3[[#This Row],[Top Parent Account]]="",Table3[[#This Row],[Account Legal Name]],Table3[[#This Row],[Top Parent Account]])</f>
        <v>Auto Camiones Universidad</v>
      </c>
      <c r="H6024" s="1"/>
    </row>
    <row r="6025" spans="1:8" x14ac:dyDescent="0.35">
      <c r="A6025" s="21"/>
      <c r="B6025" t="s">
        <v>24</v>
      </c>
      <c r="C6025" t="s">
        <v>6</v>
      </c>
      <c r="D6025" t="s">
        <v>1513</v>
      </c>
      <c r="F6025" s="1">
        <v>45743</v>
      </c>
      <c r="G6025" t="str">
        <f>IF(Table3[[#This Row],[Top Parent Account]]="",Table3[[#This Row],[Account Legal Name]],Table3[[#This Row],[Top Parent Account]])</f>
        <v>Petroil</v>
      </c>
      <c r="H6025" s="1"/>
    </row>
    <row r="6026" spans="1:8" x14ac:dyDescent="0.35">
      <c r="A6026" s="21"/>
      <c r="B6026" t="s">
        <v>56</v>
      </c>
      <c r="C6026" t="s">
        <v>6</v>
      </c>
      <c r="D6026" t="s">
        <v>734</v>
      </c>
      <c r="E6026" t="s">
        <v>2984</v>
      </c>
      <c r="F6026" s="1">
        <v>45743</v>
      </c>
      <c r="G6026" t="str">
        <f>IF(Table3[[#This Row],[Top Parent Account]]="",Table3[[#This Row],[Account Legal Name]],Table3[[#This Row],[Top Parent Account]])</f>
        <v>Grupo Bruluart</v>
      </c>
      <c r="H6026" s="1"/>
    </row>
    <row r="6027" spans="1:8" x14ac:dyDescent="0.35">
      <c r="A6027" s="21"/>
      <c r="B6027" t="s">
        <v>51</v>
      </c>
      <c r="C6027" t="s">
        <v>6</v>
      </c>
      <c r="D6027" t="s">
        <v>1514</v>
      </c>
      <c r="F6027" s="1">
        <v>45743</v>
      </c>
      <c r="G6027" t="str">
        <f>IF(Table3[[#This Row],[Top Parent Account]]="",Table3[[#This Row],[Account Legal Name]],Table3[[#This Row],[Top Parent Account]])</f>
        <v>Motsa Industrial</v>
      </c>
      <c r="H6027" s="1"/>
    </row>
    <row r="6028" spans="1:8" x14ac:dyDescent="0.35">
      <c r="A6028" s="21"/>
      <c r="B6028" t="s">
        <v>38</v>
      </c>
      <c r="C6028" t="s">
        <v>6</v>
      </c>
      <c r="D6028" t="s">
        <v>1556</v>
      </c>
      <c r="F6028" s="1">
        <v>45743</v>
      </c>
      <c r="G6028" t="str">
        <f>IF(Table3[[#This Row],[Top Parent Account]]="",Table3[[#This Row],[Account Legal Name]],Table3[[#This Row],[Top Parent Account]])</f>
        <v>Autoediciones el Potosí</v>
      </c>
      <c r="H6028" s="1"/>
    </row>
    <row r="6029" spans="1:8" x14ac:dyDescent="0.35">
      <c r="A6029" s="21"/>
      <c r="B6029" t="s">
        <v>23</v>
      </c>
      <c r="C6029" t="s">
        <v>6</v>
      </c>
      <c r="D6029" t="s">
        <v>1515</v>
      </c>
      <c r="F6029" s="1">
        <v>45743</v>
      </c>
      <c r="G6029" t="str">
        <f>IF(Table3[[#This Row],[Top Parent Account]]="",Table3[[#This Row],[Account Legal Name]],Table3[[#This Row],[Top Parent Account]])</f>
        <v>Staubli México</v>
      </c>
      <c r="H6029" s="1"/>
    </row>
    <row r="6030" spans="1:8" x14ac:dyDescent="0.35">
      <c r="A6030" s="21"/>
      <c r="B6030" t="s">
        <v>116</v>
      </c>
      <c r="C6030" t="s">
        <v>6</v>
      </c>
      <c r="D6030" t="s">
        <v>1296</v>
      </c>
      <c r="F6030" s="1">
        <v>45743</v>
      </c>
      <c r="G6030" t="str">
        <f>IF(Table3[[#This Row],[Top Parent Account]]="",Table3[[#This Row],[Account Legal Name]],Table3[[#This Row],[Top Parent Account]])</f>
        <v>Alimentos Extruidos</v>
      </c>
      <c r="H6030" s="1"/>
    </row>
    <row r="6031" spans="1:8" x14ac:dyDescent="0.35">
      <c r="A6031" s="21"/>
      <c r="B6031" t="s">
        <v>116</v>
      </c>
      <c r="C6031" t="s">
        <v>6</v>
      </c>
      <c r="D6031" t="s">
        <v>1562</v>
      </c>
      <c r="F6031" s="1">
        <v>45743</v>
      </c>
      <c r="G6031" t="str">
        <f>IF(Table3[[#This Row],[Top Parent Account]]="",Table3[[#This Row],[Account Legal Name]],Table3[[#This Row],[Top Parent Account]])</f>
        <v>Agropecuaria El Gran Chaparral</v>
      </c>
      <c r="H6031" s="1"/>
    </row>
    <row r="6032" spans="1:8" x14ac:dyDescent="0.35">
      <c r="A6032" s="21"/>
      <c r="B6032" t="s">
        <v>121</v>
      </c>
      <c r="C6032" t="s">
        <v>6</v>
      </c>
      <c r="D6032" t="s">
        <v>1555</v>
      </c>
      <c r="E6032" t="s">
        <v>274</v>
      </c>
      <c r="F6032" s="1">
        <v>45743</v>
      </c>
      <c r="G6032" t="str">
        <f>IF(Table3[[#This Row],[Top Parent Account]]="",Table3[[#This Row],[Account Legal Name]],Table3[[#This Row],[Top Parent Account]])</f>
        <v>MA. TERESA MACIAS RAMIREZ</v>
      </c>
      <c r="H6032" s="1"/>
    </row>
    <row r="6033" spans="1:8" x14ac:dyDescent="0.35">
      <c r="A6033" s="21"/>
      <c r="B6033" t="s">
        <v>989</v>
      </c>
      <c r="C6033" t="s">
        <v>6</v>
      </c>
      <c r="D6033" t="s">
        <v>1518</v>
      </c>
      <c r="E6033" t="s">
        <v>1504</v>
      </c>
      <c r="F6033" s="1">
        <v>45743</v>
      </c>
      <c r="G6033" t="str">
        <f>IF(Table3[[#This Row],[Top Parent Account]]="",Table3[[#This Row],[Account Legal Name]],Table3[[#This Row],[Top Parent Account]])</f>
        <v>Grupo Integral Monarka</v>
      </c>
      <c r="H6033" s="1"/>
    </row>
    <row r="6034" spans="1:8" x14ac:dyDescent="0.35">
      <c r="A6034" s="21"/>
      <c r="B6034" t="s">
        <v>38</v>
      </c>
      <c r="C6034" t="s">
        <v>6</v>
      </c>
      <c r="D6034" t="s">
        <v>506</v>
      </c>
      <c r="F6034" s="1">
        <v>45743</v>
      </c>
      <c r="G6034" t="str">
        <f>IF(Table3[[#This Row],[Top Parent Account]]="",Table3[[#This Row],[Account Legal Name]],Table3[[#This Row],[Top Parent Account]])</f>
        <v>Grupo Acerero</v>
      </c>
      <c r="H6034" s="1"/>
    </row>
    <row r="6035" spans="1:8" x14ac:dyDescent="0.35">
      <c r="A6035" s="21"/>
      <c r="B6035" t="s">
        <v>11</v>
      </c>
      <c r="C6035" t="s">
        <v>6</v>
      </c>
      <c r="D6035" t="s">
        <v>964</v>
      </c>
      <c r="F6035" s="1">
        <v>45743</v>
      </c>
      <c r="G6035" t="str">
        <f>IF(Table3[[#This Row],[Top Parent Account]]="",Table3[[#This Row],[Account Legal Name]],Table3[[#This Row],[Top Parent Account]])</f>
        <v>Convergint</v>
      </c>
      <c r="H6035" s="1"/>
    </row>
    <row r="6036" spans="1:8" x14ac:dyDescent="0.35">
      <c r="A6036" s="21"/>
      <c r="B6036" t="s">
        <v>280</v>
      </c>
      <c r="C6036" t="s">
        <v>6</v>
      </c>
      <c r="D6036" t="s">
        <v>1516</v>
      </c>
      <c r="F6036" s="1">
        <v>45743</v>
      </c>
      <c r="G6036" t="str">
        <f>IF(Table3[[#This Row],[Top Parent Account]]="",Table3[[#This Row],[Account Legal Name]],Table3[[#This Row],[Top Parent Account]])</f>
        <v>Sistemas Agropecuarios Jat</v>
      </c>
      <c r="H6036" s="1"/>
    </row>
    <row r="6037" spans="1:8" x14ac:dyDescent="0.35">
      <c r="A6037" s="21"/>
      <c r="B6037" t="s">
        <v>375</v>
      </c>
      <c r="C6037" t="s">
        <v>6</v>
      </c>
      <c r="D6037" t="s">
        <v>1517</v>
      </c>
      <c r="F6037" s="1">
        <v>45743</v>
      </c>
      <c r="G6037" t="str">
        <f>IF(Table3[[#This Row],[Top Parent Account]]="",Table3[[#This Row],[Account Legal Name]],Table3[[#This Row],[Top Parent Account]])</f>
        <v>LAZOS INTERNACIONALES</v>
      </c>
      <c r="H6037" s="1"/>
    </row>
    <row r="6038" spans="1:8" x14ac:dyDescent="0.35">
      <c r="A6038" s="21"/>
      <c r="B6038" t="s">
        <v>51</v>
      </c>
      <c r="C6038" t="s">
        <v>6</v>
      </c>
      <c r="D6038" t="s">
        <v>373</v>
      </c>
      <c r="F6038" s="1">
        <v>45743</v>
      </c>
      <c r="G6038" t="str">
        <f>IF(Table3[[#This Row],[Top Parent Account]]="",Table3[[#This Row],[Account Legal Name]],Table3[[#This Row],[Top Parent Account]])</f>
        <v>Construcción De Caminos y Proyectos Interestatales</v>
      </c>
      <c r="H6038" s="1"/>
    </row>
    <row r="6039" spans="1:8" x14ac:dyDescent="0.35">
      <c r="A6039" s="21"/>
      <c r="B6039" t="s">
        <v>51</v>
      </c>
      <c r="C6039" t="s">
        <v>6</v>
      </c>
      <c r="D6039" t="s">
        <v>1519</v>
      </c>
      <c r="F6039" s="1">
        <v>45743</v>
      </c>
      <c r="G6039" t="str">
        <f>IF(Table3[[#This Row],[Top Parent Account]]="",Table3[[#This Row],[Account Legal Name]],Table3[[#This Row],[Top Parent Account]])</f>
        <v>HARINERA MONARCA</v>
      </c>
      <c r="H6039" s="1"/>
    </row>
    <row r="6040" spans="1:8" x14ac:dyDescent="0.35">
      <c r="A6040" s="21"/>
      <c r="B6040" t="s">
        <v>20</v>
      </c>
      <c r="C6040" t="s">
        <v>6</v>
      </c>
      <c r="D6040" t="s">
        <v>1520</v>
      </c>
      <c r="F6040" s="1">
        <v>45743</v>
      </c>
      <c r="G6040" t="str">
        <f>IF(Table3[[#This Row],[Top Parent Account]]="",Table3[[#This Row],[Account Legal Name]],Table3[[#This Row],[Top Parent Account]])</f>
        <v>Bebida Bui</v>
      </c>
      <c r="H6040" s="1"/>
    </row>
    <row r="6041" spans="1:8" x14ac:dyDescent="0.35">
      <c r="A6041" s="21"/>
      <c r="B6041" t="s">
        <v>25</v>
      </c>
      <c r="C6041" t="s">
        <v>6</v>
      </c>
      <c r="D6041" t="s">
        <v>586</v>
      </c>
      <c r="F6041" s="1">
        <v>45743</v>
      </c>
      <c r="G6041" t="str">
        <f>IF(Table3[[#This Row],[Top Parent Account]]="",Table3[[#This Row],[Account Legal Name]],Table3[[#This Row],[Top Parent Account]])</f>
        <v>Concretos Parma</v>
      </c>
      <c r="H6041" s="1"/>
    </row>
    <row r="6042" spans="1:8" x14ac:dyDescent="0.35">
      <c r="A6042" s="21"/>
      <c r="B6042" t="s">
        <v>25</v>
      </c>
      <c r="C6042" t="s">
        <v>6</v>
      </c>
      <c r="D6042" t="s">
        <v>202</v>
      </c>
      <c r="F6042" s="1">
        <v>45743</v>
      </c>
      <c r="G6042" t="str">
        <f>IF(Table3[[#This Row],[Top Parent Account]]="",Table3[[#This Row],[Account Legal Name]],Table3[[#This Row],[Top Parent Account]])</f>
        <v>REMOLQUES Y CARROCERIAS CRUZ</v>
      </c>
      <c r="H6042" s="1"/>
    </row>
    <row r="6043" spans="1:8" x14ac:dyDescent="0.35">
      <c r="A6043" s="21"/>
      <c r="B6043" t="s">
        <v>21</v>
      </c>
      <c r="C6043" t="s">
        <v>6</v>
      </c>
      <c r="D6043" t="s">
        <v>1635</v>
      </c>
      <c r="F6043" s="1">
        <v>45743</v>
      </c>
      <c r="G6043" t="str">
        <f>IF(Table3[[#This Row],[Top Parent Account]]="",Table3[[#This Row],[Account Legal Name]],Table3[[#This Row],[Top Parent Account]])</f>
        <v>Transportes Especializados Montellano</v>
      </c>
      <c r="H6043" s="1"/>
    </row>
    <row r="6044" spans="1:8" x14ac:dyDescent="0.35">
      <c r="A6044" s="21"/>
      <c r="B6044" t="s">
        <v>14</v>
      </c>
      <c r="C6044" t="s">
        <v>6</v>
      </c>
      <c r="D6044" t="s">
        <v>1164</v>
      </c>
      <c r="F6044" s="1">
        <v>45743</v>
      </c>
      <c r="G6044" t="str">
        <f>IF(Table3[[#This Row],[Top Parent Account]]="",Table3[[#This Row],[Account Legal Name]],Table3[[#This Row],[Top Parent Account]])</f>
        <v>Moti Digital</v>
      </c>
      <c r="H6044" s="1"/>
    </row>
    <row r="6045" spans="1:8" x14ac:dyDescent="0.35">
      <c r="A6045" s="21"/>
      <c r="B6045" t="s">
        <v>172</v>
      </c>
      <c r="C6045" t="s">
        <v>6</v>
      </c>
      <c r="D6045" t="s">
        <v>1563</v>
      </c>
      <c r="F6045" s="1">
        <v>45743</v>
      </c>
      <c r="G6045" t="str">
        <f>IF(Table3[[#This Row],[Top Parent Account]]="",Table3[[#This Row],[Account Legal Name]],Table3[[#This Row],[Top Parent Account]])</f>
        <v>Even Telecom</v>
      </c>
      <c r="H6045" s="1"/>
    </row>
    <row r="6046" spans="1:8" x14ac:dyDescent="0.35">
      <c r="A6046" s="21"/>
      <c r="B6046" t="s">
        <v>38</v>
      </c>
      <c r="C6046" t="s">
        <v>6</v>
      </c>
      <c r="D6046" t="s">
        <v>1521</v>
      </c>
      <c r="F6046" s="1">
        <v>45742</v>
      </c>
      <c r="G6046" t="str">
        <f>IF(Table3[[#This Row],[Top Parent Account]]="",Table3[[#This Row],[Account Legal Name]],Table3[[#This Row],[Top Parent Account]])</f>
        <v>Boysen Exhaust System de Mexico</v>
      </c>
      <c r="H6046" s="1"/>
    </row>
    <row r="6047" spans="1:8" x14ac:dyDescent="0.35">
      <c r="A6047" s="21"/>
      <c r="B6047" t="s">
        <v>30</v>
      </c>
      <c r="C6047" t="s">
        <v>6</v>
      </c>
      <c r="D6047" t="s">
        <v>689</v>
      </c>
      <c r="E6047" t="s">
        <v>633</v>
      </c>
      <c r="F6047" s="1">
        <v>45742</v>
      </c>
      <c r="G6047" t="str">
        <f>IF(Table3[[#This Row],[Top Parent Account]]="",Table3[[#This Row],[Account Legal Name]],Table3[[#This Row],[Top Parent Account]])</f>
        <v>Carrier Transicold De Mexico</v>
      </c>
      <c r="H6047" s="1"/>
    </row>
    <row r="6048" spans="1:8" x14ac:dyDescent="0.35">
      <c r="A6048" s="21"/>
      <c r="B6048" t="s">
        <v>258</v>
      </c>
      <c r="C6048" t="s">
        <v>6</v>
      </c>
      <c r="D6048" t="s">
        <v>1332</v>
      </c>
      <c r="F6048" s="1">
        <v>45742</v>
      </c>
      <c r="G6048" t="str">
        <f>IF(Table3[[#This Row],[Top Parent Account]]="",Table3[[#This Row],[Account Legal Name]],Table3[[#This Row],[Top Parent Account]])</f>
        <v>Mecsa Steel</v>
      </c>
      <c r="H6048" s="1"/>
    </row>
    <row r="6049" spans="1:8" x14ac:dyDescent="0.35">
      <c r="A6049" s="21"/>
      <c r="B6049" t="s">
        <v>14</v>
      </c>
      <c r="C6049" t="s">
        <v>22</v>
      </c>
      <c r="D6049" t="s">
        <v>1522</v>
      </c>
      <c r="F6049" s="1">
        <v>45742</v>
      </c>
      <c r="G6049" t="str">
        <f>IF(Table3[[#This Row],[Top Parent Account]]="",Table3[[#This Row],[Account Legal Name]],Table3[[#This Row],[Top Parent Account]])</f>
        <v>Plásticos Universales de los Altos</v>
      </c>
      <c r="H6049" s="1"/>
    </row>
    <row r="6050" spans="1:8" x14ac:dyDescent="0.35">
      <c r="A6050" s="21"/>
      <c r="B6050" t="s">
        <v>27</v>
      </c>
      <c r="C6050" t="s">
        <v>6</v>
      </c>
      <c r="D6050" t="s">
        <v>1523</v>
      </c>
      <c r="F6050" s="1">
        <v>45742</v>
      </c>
      <c r="G6050" t="str">
        <f>IF(Table3[[#This Row],[Top Parent Account]]="",Table3[[#This Row],[Account Legal Name]],Table3[[#This Row],[Top Parent Account]])</f>
        <v>Muebles Placencia</v>
      </c>
      <c r="H6050" s="1"/>
    </row>
    <row r="6051" spans="1:8" x14ac:dyDescent="0.35">
      <c r="A6051" s="21"/>
      <c r="B6051" t="s">
        <v>11</v>
      </c>
      <c r="C6051" t="s">
        <v>6</v>
      </c>
      <c r="D6051" t="s">
        <v>124</v>
      </c>
      <c r="F6051" s="1">
        <v>45742</v>
      </c>
      <c r="G6051" t="str">
        <f>IF(Table3[[#This Row],[Top Parent Account]]="",Table3[[#This Row],[Account Legal Name]],Table3[[#This Row],[Top Parent Account]])</f>
        <v>Envases Universales</v>
      </c>
      <c r="H6051" s="1"/>
    </row>
    <row r="6052" spans="1:8" x14ac:dyDescent="0.35">
      <c r="A6052" s="21"/>
      <c r="B6052" t="s">
        <v>51</v>
      </c>
      <c r="C6052" t="s">
        <v>6</v>
      </c>
      <c r="D6052" t="s">
        <v>539</v>
      </c>
      <c r="F6052" s="1">
        <v>45742</v>
      </c>
      <c r="G6052" t="str">
        <f>IF(Table3[[#This Row],[Top Parent Account]]="",Table3[[#This Row],[Account Legal Name]],Table3[[#This Row],[Top Parent Account]])</f>
        <v>Grupo Industrial Ortiz</v>
      </c>
      <c r="H6052" s="1"/>
    </row>
    <row r="6053" spans="1:8" x14ac:dyDescent="0.35">
      <c r="A6053" s="21"/>
      <c r="B6053" t="s">
        <v>30</v>
      </c>
      <c r="C6053" t="s">
        <v>6</v>
      </c>
      <c r="D6053" t="s">
        <v>93</v>
      </c>
      <c r="F6053" s="1">
        <v>45742</v>
      </c>
      <c r="G6053" t="str">
        <f>IF(Table3[[#This Row],[Top Parent Account]]="",Table3[[#This Row],[Account Legal Name]],Table3[[#This Row],[Top Parent Account]])</f>
        <v>Beta San Miguel</v>
      </c>
      <c r="H6053" s="1"/>
    </row>
    <row r="6054" spans="1:8" x14ac:dyDescent="0.35">
      <c r="A6054" s="21"/>
      <c r="B6054" t="s">
        <v>1495</v>
      </c>
      <c r="C6054" t="s">
        <v>6</v>
      </c>
      <c r="D6054" t="s">
        <v>299</v>
      </c>
      <c r="F6054" s="1">
        <v>45742</v>
      </c>
      <c r="G6054" t="str">
        <f>IF(Table3[[#This Row],[Top Parent Account]]="",Table3[[#This Row],[Account Legal Name]],Table3[[#This Row],[Top Parent Account]])</f>
        <v>Jafra Cosmetics</v>
      </c>
      <c r="H6054" s="1"/>
    </row>
    <row r="6055" spans="1:8" x14ac:dyDescent="0.35">
      <c r="A6055" s="21"/>
      <c r="B6055" t="s">
        <v>121</v>
      </c>
      <c r="C6055" t="s">
        <v>6</v>
      </c>
      <c r="D6055" t="s">
        <v>612</v>
      </c>
      <c r="F6055" s="1">
        <v>45742</v>
      </c>
      <c r="G6055" t="str">
        <f>IF(Table3[[#This Row],[Top Parent Account]]="",Table3[[#This Row],[Account Legal Name]],Table3[[#This Row],[Top Parent Account]])</f>
        <v>AQUA Exploración</v>
      </c>
      <c r="H6055" s="1"/>
    </row>
    <row r="6056" spans="1:8" x14ac:dyDescent="0.35">
      <c r="A6056" s="21"/>
      <c r="B6056" t="s">
        <v>989</v>
      </c>
      <c r="C6056" t="s">
        <v>6</v>
      </c>
      <c r="D6056" t="s">
        <v>1117</v>
      </c>
      <c r="F6056" s="1">
        <v>45742</v>
      </c>
      <c r="G6056" t="str">
        <f>IF(Table3[[#This Row],[Top Parent Account]]="",Table3[[#This Row],[Account Legal Name]],Table3[[#This Row],[Top Parent Account]])</f>
        <v>Pastas Alimenticias Laziali</v>
      </c>
      <c r="H6056" s="1"/>
    </row>
    <row r="6057" spans="1:8" x14ac:dyDescent="0.35">
      <c r="A6057" s="21"/>
      <c r="B6057" t="s">
        <v>28</v>
      </c>
      <c r="C6057" t="s">
        <v>6</v>
      </c>
      <c r="D6057" t="s">
        <v>1630</v>
      </c>
      <c r="F6057" s="1">
        <v>45742</v>
      </c>
      <c r="G6057" t="str">
        <f>IF(Table3[[#This Row],[Top Parent Account]]="",Table3[[#This Row],[Account Legal Name]],Table3[[#This Row],[Top Parent Account]])</f>
        <v>CONSTRUCCIONES FERREAS DE DURANGO</v>
      </c>
      <c r="H6057" s="1"/>
    </row>
    <row r="6058" spans="1:8" x14ac:dyDescent="0.35">
      <c r="A6058" s="21"/>
      <c r="B6058" t="s">
        <v>51</v>
      </c>
      <c r="C6058" t="s">
        <v>6</v>
      </c>
      <c r="D6058" t="s">
        <v>1524</v>
      </c>
      <c r="F6058" s="1">
        <v>45742</v>
      </c>
      <c r="G6058" t="str">
        <f>IF(Table3[[#This Row],[Top Parent Account]]="",Table3[[#This Row],[Account Legal Name]],Table3[[#This Row],[Top Parent Account]])</f>
        <v>Quattro Comercializadora Industrial y de Servicios</v>
      </c>
      <c r="H6058" s="1"/>
    </row>
    <row r="6059" spans="1:8" x14ac:dyDescent="0.35">
      <c r="A6059" s="21"/>
      <c r="B6059" t="s">
        <v>14</v>
      </c>
      <c r="C6059" t="s">
        <v>6</v>
      </c>
      <c r="D6059" t="s">
        <v>1526</v>
      </c>
      <c r="E6059" t="s">
        <v>730</v>
      </c>
      <c r="F6059" s="1">
        <v>45742</v>
      </c>
      <c r="G6059" t="str">
        <f>IF(Table3[[#This Row],[Top Parent Account]]="",Table3[[#This Row],[Account Legal Name]],Table3[[#This Row],[Top Parent Account]])</f>
        <v>Loplastic</v>
      </c>
      <c r="H6059" s="1"/>
    </row>
    <row r="6060" spans="1:8" x14ac:dyDescent="0.35">
      <c r="A6060" s="21"/>
      <c r="B6060" t="s">
        <v>925</v>
      </c>
      <c r="C6060" t="s">
        <v>6</v>
      </c>
      <c r="D6060" t="s">
        <v>1483</v>
      </c>
      <c r="F6060" s="1">
        <v>45742</v>
      </c>
      <c r="G6060" t="str">
        <f>IF(Table3[[#This Row],[Top Parent Account]]="",Table3[[#This Row],[Account Legal Name]],Table3[[#This Row],[Top Parent Account]])</f>
        <v>Ingeniería y Productos de Acero</v>
      </c>
      <c r="H6060" s="1"/>
    </row>
    <row r="6061" spans="1:8" x14ac:dyDescent="0.35">
      <c r="A6061" s="21"/>
      <c r="B6061" t="s">
        <v>207</v>
      </c>
      <c r="C6061" t="s">
        <v>6</v>
      </c>
      <c r="D6061" t="s">
        <v>1525</v>
      </c>
      <c r="F6061" s="1">
        <v>45742</v>
      </c>
      <c r="G6061" t="str">
        <f>IF(Table3[[#This Row],[Top Parent Account]]="",Table3[[#This Row],[Account Legal Name]],Table3[[#This Row],[Top Parent Account]])</f>
        <v>Eysen</v>
      </c>
      <c r="H6061" s="1"/>
    </row>
    <row r="6062" spans="1:8" x14ac:dyDescent="0.35">
      <c r="A6062" s="21"/>
      <c r="B6062" t="s">
        <v>7</v>
      </c>
      <c r="C6062" t="s">
        <v>6</v>
      </c>
      <c r="D6062" t="s">
        <v>1527</v>
      </c>
      <c r="F6062" s="1">
        <v>45742</v>
      </c>
      <c r="G6062" t="str">
        <f>IF(Table3[[#This Row],[Top Parent Account]]="",Table3[[#This Row],[Account Legal Name]],Table3[[#This Row],[Top Parent Account]])</f>
        <v>Componentes Avanzados de México</v>
      </c>
      <c r="H6062" s="1"/>
    </row>
    <row r="6063" spans="1:8" x14ac:dyDescent="0.35">
      <c r="A6063" s="21"/>
      <c r="B6063" t="s">
        <v>169</v>
      </c>
      <c r="C6063" t="s">
        <v>1529</v>
      </c>
      <c r="D6063" t="s">
        <v>616</v>
      </c>
      <c r="F6063" s="1">
        <v>45742</v>
      </c>
      <c r="G6063" t="str">
        <f>IF(Table3[[#This Row],[Top Parent Account]]="",Table3[[#This Row],[Account Legal Name]],Table3[[#This Row],[Top Parent Account]])</f>
        <v>Absara Cosmetics</v>
      </c>
      <c r="H6063" s="1"/>
    </row>
    <row r="6064" spans="1:8" x14ac:dyDescent="0.35">
      <c r="A6064" s="21"/>
      <c r="B6064" t="s">
        <v>51</v>
      </c>
      <c r="C6064" t="s">
        <v>6</v>
      </c>
      <c r="D6064" t="s">
        <v>1113</v>
      </c>
      <c r="F6064" s="1">
        <v>45742</v>
      </c>
      <c r="G6064" t="str">
        <f>IF(Table3[[#This Row],[Top Parent Account]]="",Table3[[#This Row],[Account Legal Name]],Table3[[#This Row],[Top Parent Account]])</f>
        <v>Star Médica</v>
      </c>
      <c r="H6064" s="1"/>
    </row>
    <row r="6065" spans="1:8" x14ac:dyDescent="0.35">
      <c r="A6065" s="21"/>
      <c r="B6065" t="s">
        <v>12</v>
      </c>
      <c r="C6065" t="s">
        <v>6</v>
      </c>
      <c r="D6065" t="s">
        <v>1528</v>
      </c>
      <c r="F6065" s="1">
        <v>45742</v>
      </c>
      <c r="G6065" t="str">
        <f>IF(Table3[[#This Row],[Top Parent Account]]="",Table3[[#This Row],[Account Legal Name]],Table3[[#This Row],[Top Parent Account]])</f>
        <v>Empacadora Promarmex</v>
      </c>
      <c r="H6065" s="1"/>
    </row>
    <row r="6066" spans="1:8" x14ac:dyDescent="0.35">
      <c r="A6066" s="21"/>
      <c r="B6066" t="s">
        <v>78</v>
      </c>
      <c r="C6066" t="s">
        <v>6</v>
      </c>
      <c r="D6066" t="s">
        <v>2569</v>
      </c>
      <c r="F6066" s="1">
        <v>45742</v>
      </c>
      <c r="G6066" t="str">
        <f>IF(Table3[[#This Row],[Top Parent Account]]="",Table3[[#This Row],[Account Legal Name]],Table3[[#This Row],[Top Parent Account]])</f>
        <v>Tarimas y empaques de madera luca</v>
      </c>
      <c r="H6066" s="1"/>
    </row>
    <row r="6067" spans="1:8" x14ac:dyDescent="0.35">
      <c r="A6067" s="21"/>
      <c r="B6067" t="s">
        <v>25</v>
      </c>
      <c r="C6067" t="s">
        <v>6</v>
      </c>
      <c r="D6067" t="s">
        <v>1564</v>
      </c>
      <c r="F6067" s="1">
        <v>45742</v>
      </c>
      <c r="G6067" t="str">
        <f>IF(Table3[[#This Row],[Top Parent Account]]="",Table3[[#This Row],[Account Legal Name]],Table3[[#This Row],[Top Parent Account]])</f>
        <v>Concretos y agregados obregón</v>
      </c>
      <c r="H6067" s="1"/>
    </row>
    <row r="6068" spans="1:8" x14ac:dyDescent="0.35">
      <c r="A6068" s="21"/>
      <c r="B6068" t="s">
        <v>375</v>
      </c>
      <c r="C6068" t="s">
        <v>6</v>
      </c>
      <c r="D6068" t="s">
        <v>1231</v>
      </c>
      <c r="F6068" s="1">
        <v>45742</v>
      </c>
      <c r="G6068" t="str">
        <f>IF(Table3[[#This Row],[Top Parent Account]]="",Table3[[#This Row],[Account Legal Name]],Table3[[#This Row],[Top Parent Account]])</f>
        <v>Distribuidora Springhouse</v>
      </c>
      <c r="H6068" s="1"/>
    </row>
    <row r="6069" spans="1:8" x14ac:dyDescent="0.35">
      <c r="A6069" s="21"/>
      <c r="B6069" t="s">
        <v>30</v>
      </c>
      <c r="C6069" t="s">
        <v>22</v>
      </c>
      <c r="D6069" t="s">
        <v>365</v>
      </c>
      <c r="F6069" s="1">
        <v>45742</v>
      </c>
      <c r="G6069" t="str">
        <f>IF(Table3[[#This Row],[Top Parent Account]]="",Table3[[#This Row],[Account Legal Name]],Table3[[#This Row],[Top Parent Account]])</f>
        <v>Nestlé México</v>
      </c>
      <c r="H6069" s="1"/>
    </row>
    <row r="6070" spans="1:8" x14ac:dyDescent="0.35">
      <c r="A6070" s="21"/>
      <c r="B6070" t="s">
        <v>172</v>
      </c>
      <c r="C6070" t="s">
        <v>6</v>
      </c>
      <c r="D6070" t="s">
        <v>105</v>
      </c>
      <c r="F6070" s="1">
        <v>45742</v>
      </c>
      <c r="G6070" t="str">
        <f>IF(Table3[[#This Row],[Top Parent Account]]="",Table3[[#This Row],[Account Legal Name]],Table3[[#This Row],[Top Parent Account]])</f>
        <v>NORCAST</v>
      </c>
      <c r="H6070" s="1"/>
    </row>
    <row r="6071" spans="1:8" x14ac:dyDescent="0.35">
      <c r="A6071" s="21"/>
      <c r="B6071" t="s">
        <v>1031</v>
      </c>
      <c r="C6071" t="s">
        <v>6</v>
      </c>
      <c r="D6071" t="s">
        <v>1565</v>
      </c>
      <c r="E6071" t="s">
        <v>1345</v>
      </c>
      <c r="F6071" s="1">
        <v>45742</v>
      </c>
      <c r="G6071" t="str">
        <f>IF(Table3[[#This Row],[Top Parent Account]]="",Table3[[#This Row],[Account Legal Name]],Table3[[#This Row],[Top Parent Account]])</f>
        <v>Productora y Comercializadora Internacional Mexicana</v>
      </c>
      <c r="H6071" s="1"/>
    </row>
    <row r="6072" spans="1:8" x14ac:dyDescent="0.35">
      <c r="A6072" s="21"/>
      <c r="B6072" t="s">
        <v>21</v>
      </c>
      <c r="C6072" t="s">
        <v>6</v>
      </c>
      <c r="D6072" t="s">
        <v>1530</v>
      </c>
      <c r="F6072" s="1">
        <v>45742</v>
      </c>
      <c r="G6072" t="str">
        <f>IF(Table3[[#This Row],[Top Parent Account]]="",Table3[[#This Row],[Account Legal Name]],Table3[[#This Row],[Top Parent Account]])</f>
        <v>Heavy Lift Rigging Services And Consulting Mexico</v>
      </c>
      <c r="H6072" s="1"/>
    </row>
    <row r="6073" spans="1:8" x14ac:dyDescent="0.35">
      <c r="A6073" s="21"/>
      <c r="B6073" t="s">
        <v>925</v>
      </c>
      <c r="C6073" t="s">
        <v>6</v>
      </c>
      <c r="D6073" t="s">
        <v>711</v>
      </c>
      <c r="F6073" s="1">
        <v>45742</v>
      </c>
      <c r="G6073" t="str">
        <f>IF(Table3[[#This Row],[Top Parent Account]]="",Table3[[#This Row],[Account Legal Name]],Table3[[#This Row],[Top Parent Account]])</f>
        <v>Textiles Santa Susana</v>
      </c>
      <c r="H6073" s="1"/>
    </row>
    <row r="6074" spans="1:8" x14ac:dyDescent="0.35">
      <c r="A6074" s="21"/>
      <c r="B6074" t="s">
        <v>1006</v>
      </c>
      <c r="C6074" t="s">
        <v>6</v>
      </c>
      <c r="D6074" t="s">
        <v>1007</v>
      </c>
      <c r="F6074" s="1">
        <v>45742</v>
      </c>
      <c r="G6074" t="str">
        <f>IF(Table3[[#This Row],[Top Parent Account]]="",Table3[[#This Row],[Account Legal Name]],Table3[[#This Row],[Top Parent Account]])</f>
        <v>INDAMEX Industrializadora de Alimentos Mexicanos</v>
      </c>
      <c r="H6074" s="1"/>
    </row>
    <row r="6075" spans="1:8" x14ac:dyDescent="0.35">
      <c r="A6075" s="21"/>
      <c r="B6075" t="s">
        <v>280</v>
      </c>
      <c r="C6075" t="s">
        <v>6</v>
      </c>
      <c r="D6075" t="s">
        <v>1533</v>
      </c>
      <c r="E6075" t="s">
        <v>1534</v>
      </c>
      <c r="F6075" s="1">
        <v>45742</v>
      </c>
      <c r="G6075" t="str">
        <f>IF(Table3[[#This Row],[Top Parent Account]]="",Table3[[#This Row],[Account Legal Name]],Table3[[#This Row],[Top Parent Account]])</f>
        <v>Grupo Industrial Michel</v>
      </c>
      <c r="H6075" s="1"/>
    </row>
    <row r="6076" spans="1:8" x14ac:dyDescent="0.35">
      <c r="A6076" s="21"/>
      <c r="B6076" t="s">
        <v>15</v>
      </c>
      <c r="C6076" t="s">
        <v>22</v>
      </c>
      <c r="D6076" t="s">
        <v>1566</v>
      </c>
      <c r="F6076" s="1">
        <v>45742</v>
      </c>
      <c r="G6076" t="str">
        <f>IF(Table3[[#This Row],[Top Parent Account]]="",Table3[[#This Row],[Account Legal Name]],Table3[[#This Row],[Top Parent Account]])</f>
        <v>Pintex De México</v>
      </c>
      <c r="H6076" s="1"/>
    </row>
    <row r="6077" spans="1:8" x14ac:dyDescent="0.35">
      <c r="A6077" s="21"/>
      <c r="B6077" t="s">
        <v>38</v>
      </c>
      <c r="C6077" t="s">
        <v>6</v>
      </c>
      <c r="D6077" t="s">
        <v>1337</v>
      </c>
      <c r="F6077" s="1">
        <v>45742</v>
      </c>
      <c r="G6077" t="str">
        <f>IF(Table3[[#This Row],[Top Parent Account]]="",Table3[[#This Row],[Account Legal Name]],Table3[[#This Row],[Top Parent Account]])</f>
        <v>Empaques y Envolturas</v>
      </c>
      <c r="H6077" s="1"/>
    </row>
    <row r="6078" spans="1:8" x14ac:dyDescent="0.35">
      <c r="A6078" s="21"/>
      <c r="B6078" t="s">
        <v>258</v>
      </c>
      <c r="C6078" t="s">
        <v>33</v>
      </c>
      <c r="D6078" t="s">
        <v>1146</v>
      </c>
      <c r="F6078" s="1">
        <v>45742</v>
      </c>
      <c r="G6078" t="str">
        <f>IF(Table3[[#This Row],[Top Parent Account]]="",Table3[[#This Row],[Account Legal Name]],Table3[[#This Row],[Top Parent Account]])</f>
        <v>Grupo Agropecuario Integral AGROPRO</v>
      </c>
      <c r="H6078" s="1"/>
    </row>
    <row r="6079" spans="1:8" x14ac:dyDescent="0.35">
      <c r="A6079" s="21"/>
      <c r="B6079" t="s">
        <v>172</v>
      </c>
      <c r="C6079" t="s">
        <v>6</v>
      </c>
      <c r="D6079" t="s">
        <v>457</v>
      </c>
      <c r="F6079" s="1">
        <v>45742</v>
      </c>
      <c r="G6079" t="str">
        <f>IF(Table3[[#This Row],[Top Parent Account]]="",Table3[[#This Row],[Account Legal Name]],Table3[[#This Row],[Top Parent Account]])</f>
        <v>Grupo Materias Primas de México</v>
      </c>
      <c r="H6079" s="1"/>
    </row>
    <row r="6080" spans="1:8" x14ac:dyDescent="0.35">
      <c r="A6080" s="21"/>
      <c r="B6080" t="s">
        <v>51</v>
      </c>
      <c r="C6080" t="s">
        <v>6</v>
      </c>
      <c r="D6080" t="s">
        <v>652</v>
      </c>
      <c r="F6080" s="1">
        <v>45742</v>
      </c>
      <c r="G6080" t="str">
        <f>IF(Table3[[#This Row],[Top Parent Account]]="",Table3[[#This Row],[Account Legal Name]],Table3[[#This Row],[Top Parent Account]])</f>
        <v>Republic Nail</v>
      </c>
      <c r="H6080" s="1"/>
    </row>
    <row r="6081" spans="1:8" x14ac:dyDescent="0.35">
      <c r="A6081" s="21"/>
      <c r="B6081" t="s">
        <v>11</v>
      </c>
      <c r="C6081" t="s">
        <v>6</v>
      </c>
      <c r="D6081" t="s">
        <v>1490</v>
      </c>
      <c r="F6081" s="1">
        <v>45742</v>
      </c>
      <c r="G6081" t="str">
        <f>IF(Table3[[#This Row],[Top Parent Account]]="",Table3[[#This Row],[Account Legal Name]],Table3[[#This Row],[Top Parent Account]])</f>
        <v>Transporte y Logistica Buzmyr de México</v>
      </c>
      <c r="H6081" s="1"/>
    </row>
    <row r="6082" spans="1:8" x14ac:dyDescent="0.35">
      <c r="A6082" s="21"/>
      <c r="B6082" t="s">
        <v>1495</v>
      </c>
      <c r="C6082" t="s">
        <v>6</v>
      </c>
      <c r="D6082" t="s">
        <v>1636</v>
      </c>
      <c r="F6082" s="1">
        <v>45742</v>
      </c>
      <c r="G6082" t="str">
        <f>IF(Table3[[#This Row],[Top Parent Account]]="",Table3[[#This Row],[Account Legal Name]],Table3[[#This Row],[Top Parent Account]])</f>
        <v>Kysor Warren de México</v>
      </c>
      <c r="H6082" s="1"/>
    </row>
    <row r="6083" spans="1:8" x14ac:dyDescent="0.35">
      <c r="A6083" s="21"/>
      <c r="B6083" t="s">
        <v>208</v>
      </c>
      <c r="C6083" t="s">
        <v>6</v>
      </c>
      <c r="D6083" t="s">
        <v>1531</v>
      </c>
      <c r="F6083" s="1">
        <v>45742</v>
      </c>
      <c r="G6083" t="str">
        <f>IF(Table3[[#This Row],[Top Parent Account]]="",Table3[[#This Row],[Account Legal Name]],Table3[[#This Row],[Top Parent Account]])</f>
        <v>Zinbend</v>
      </c>
      <c r="H6083" s="1"/>
    </row>
    <row r="6084" spans="1:8" x14ac:dyDescent="0.35">
      <c r="A6084" s="21"/>
      <c r="B6084" t="s">
        <v>29</v>
      </c>
      <c r="C6084" t="s">
        <v>6</v>
      </c>
      <c r="D6084" t="s">
        <v>358</v>
      </c>
      <c r="F6084" s="1">
        <v>45742</v>
      </c>
      <c r="G6084" t="str">
        <f>IF(Table3[[#This Row],[Top Parent Account]]="",Table3[[#This Row],[Account Legal Name]],Table3[[#This Row],[Top Parent Account]])</f>
        <v>Agroindustrias AG</v>
      </c>
      <c r="H6084" s="1"/>
    </row>
    <row r="6085" spans="1:8" x14ac:dyDescent="0.35">
      <c r="A6085" s="21"/>
      <c r="B6085" t="s">
        <v>84</v>
      </c>
      <c r="C6085" t="s">
        <v>193</v>
      </c>
      <c r="D6085" t="s">
        <v>1532</v>
      </c>
      <c r="F6085" s="1">
        <v>45742</v>
      </c>
      <c r="G6085" t="str">
        <f>IF(Table3[[#This Row],[Top Parent Account]]="",Table3[[#This Row],[Account Legal Name]],Table3[[#This Row],[Top Parent Account]])</f>
        <v>Abastecedora La Diligencia</v>
      </c>
      <c r="H6085" s="1"/>
    </row>
    <row r="6086" spans="1:8" x14ac:dyDescent="0.35">
      <c r="A6086" s="21"/>
      <c r="B6086" t="s">
        <v>1006</v>
      </c>
      <c r="C6086" t="s">
        <v>6</v>
      </c>
      <c r="D6086" t="s">
        <v>288</v>
      </c>
      <c r="F6086" s="1">
        <v>45742</v>
      </c>
      <c r="G6086" t="str">
        <f>IF(Table3[[#This Row],[Top Parent Account]]="",Table3[[#This Row],[Account Legal Name]],Table3[[#This Row],[Top Parent Account]])</f>
        <v>Callizo Aromas</v>
      </c>
      <c r="H6086" s="1"/>
    </row>
    <row r="6087" spans="1:8" x14ac:dyDescent="0.35">
      <c r="A6087" s="21"/>
      <c r="B6087" t="s">
        <v>880</v>
      </c>
      <c r="C6087" t="s">
        <v>1535</v>
      </c>
      <c r="D6087" t="s">
        <v>658</v>
      </c>
      <c r="F6087" s="1">
        <v>45742</v>
      </c>
      <c r="G6087" t="str">
        <f>IF(Table3[[#This Row],[Top Parent Account]]="",Table3[[#This Row],[Account Legal Name]],Table3[[#This Row],[Top Parent Account]])</f>
        <v>SUPER FLAMA</v>
      </c>
      <c r="H6087" s="1"/>
    </row>
    <row r="6088" spans="1:8" x14ac:dyDescent="0.35">
      <c r="A6088" s="21"/>
      <c r="B6088" t="s">
        <v>54</v>
      </c>
      <c r="C6088" t="s">
        <v>1535</v>
      </c>
      <c r="D6088" t="s">
        <v>658</v>
      </c>
      <c r="F6088" s="1">
        <v>45742</v>
      </c>
      <c r="G6088" t="str">
        <f>IF(Table3[[#This Row],[Top Parent Account]]="",Table3[[#This Row],[Account Legal Name]],Table3[[#This Row],[Top Parent Account]])</f>
        <v>SUPER FLAMA</v>
      </c>
      <c r="H6088" s="1"/>
    </row>
    <row r="6089" spans="1:8" x14ac:dyDescent="0.35">
      <c r="A6089" s="21"/>
      <c r="B6089" t="s">
        <v>7</v>
      </c>
      <c r="C6089" t="s">
        <v>6</v>
      </c>
      <c r="D6089" t="s">
        <v>569</v>
      </c>
      <c r="F6089" s="1">
        <v>45742</v>
      </c>
      <c r="G6089" t="str">
        <f>IF(Table3[[#This Row],[Top Parent Account]]="",Table3[[#This Row],[Account Legal Name]],Table3[[#This Row],[Top Parent Account]])</f>
        <v>Comercial de Mercancias y Servicios GERS</v>
      </c>
      <c r="H6089" s="1"/>
    </row>
    <row r="6090" spans="1:8" x14ac:dyDescent="0.35">
      <c r="A6090" s="21"/>
      <c r="B6090" t="s">
        <v>1495</v>
      </c>
      <c r="C6090" t="s">
        <v>6</v>
      </c>
      <c r="D6090" t="s">
        <v>1637</v>
      </c>
      <c r="E6090" t="s">
        <v>299</v>
      </c>
      <c r="F6090" s="1">
        <v>45742</v>
      </c>
      <c r="G6090" t="str">
        <f>IF(Table3[[#This Row],[Top Parent Account]]="",Table3[[#This Row],[Account Legal Name]],Table3[[#This Row],[Top Parent Account]])</f>
        <v>Jafra Cosmetics</v>
      </c>
      <c r="H6090" s="1"/>
    </row>
    <row r="6091" spans="1:8" x14ac:dyDescent="0.35">
      <c r="A6091" s="21"/>
      <c r="B6091" t="s">
        <v>7</v>
      </c>
      <c r="C6091" t="s">
        <v>6</v>
      </c>
      <c r="D6091" t="s">
        <v>1210</v>
      </c>
      <c r="F6091" s="1">
        <v>45741</v>
      </c>
      <c r="G6091" t="str">
        <f>IF(Table3[[#This Row],[Top Parent Account]]="",Table3[[#This Row],[Account Legal Name]],Table3[[#This Row],[Top Parent Account]])</f>
        <v>Constructodo de Juárez</v>
      </c>
      <c r="H6091" s="1"/>
    </row>
    <row r="6092" spans="1:8" x14ac:dyDescent="0.35">
      <c r="A6092" s="21"/>
      <c r="B6092" t="s">
        <v>27</v>
      </c>
      <c r="C6092" t="s">
        <v>1536</v>
      </c>
      <c r="D6092" t="s">
        <v>1287</v>
      </c>
      <c r="F6092" s="1">
        <v>45741</v>
      </c>
      <c r="G6092" t="str">
        <f>IF(Table3[[#This Row],[Top Parent Account]]="",Table3[[#This Row],[Account Legal Name]],Table3[[#This Row],[Top Parent Account]])</f>
        <v>Grupo Industrial Vida</v>
      </c>
      <c r="H6092" s="1"/>
    </row>
    <row r="6093" spans="1:8" x14ac:dyDescent="0.35">
      <c r="A6093" s="21"/>
      <c r="B6093" t="s">
        <v>739</v>
      </c>
      <c r="C6093" t="s">
        <v>33</v>
      </c>
      <c r="D6093" t="s">
        <v>1537</v>
      </c>
      <c r="F6093" s="1">
        <v>45741</v>
      </c>
      <c r="G6093" t="str">
        <f>IF(Table3[[#This Row],[Top Parent Account]]="",Table3[[#This Row],[Account Legal Name]],Table3[[#This Row],[Top Parent Account]])</f>
        <v>PERFORADORA TRIPLE P</v>
      </c>
      <c r="H6093" s="1"/>
    </row>
    <row r="6094" spans="1:8" x14ac:dyDescent="0.35">
      <c r="A6094" s="21"/>
      <c r="B6094" t="s">
        <v>121</v>
      </c>
      <c r="C6094" t="s">
        <v>6</v>
      </c>
      <c r="D6094" t="s">
        <v>1567</v>
      </c>
      <c r="F6094" s="1">
        <v>45741</v>
      </c>
      <c r="G6094" t="str">
        <f>IF(Table3[[#This Row],[Top Parent Account]]="",Table3[[#This Row],[Account Legal Name]],Table3[[#This Row],[Top Parent Account]])</f>
        <v>Laboratorios Quiver</v>
      </c>
      <c r="H6094" s="1"/>
    </row>
    <row r="6095" spans="1:8" x14ac:dyDescent="0.35">
      <c r="A6095" s="21"/>
      <c r="B6095" t="s">
        <v>23</v>
      </c>
      <c r="C6095" t="s">
        <v>6</v>
      </c>
      <c r="D6095" t="s">
        <v>617</v>
      </c>
      <c r="F6095" s="1">
        <v>45741</v>
      </c>
      <c r="G6095" t="str">
        <f>IF(Table3[[#This Row],[Top Parent Account]]="",Table3[[#This Row],[Account Legal Name]],Table3[[#This Row],[Top Parent Account]])</f>
        <v>Procesos Industriales Rymsa</v>
      </c>
      <c r="H6095" s="1"/>
    </row>
    <row r="6096" spans="1:8" x14ac:dyDescent="0.35">
      <c r="A6096" s="21"/>
      <c r="B6096" t="s">
        <v>88</v>
      </c>
      <c r="C6096" t="s">
        <v>6</v>
      </c>
      <c r="D6096" t="s">
        <v>1538</v>
      </c>
      <c r="F6096" s="1">
        <v>45741</v>
      </c>
      <c r="G6096" t="str">
        <f>IF(Table3[[#This Row],[Top Parent Account]]="",Table3[[#This Row],[Account Legal Name]],Table3[[#This Row],[Top Parent Account]])</f>
        <v>Fusión Electrica Global</v>
      </c>
      <c r="H6096" s="1"/>
    </row>
    <row r="6097" spans="1:8" x14ac:dyDescent="0.35">
      <c r="A6097" s="21"/>
      <c r="B6097" t="s">
        <v>7</v>
      </c>
      <c r="C6097" t="s">
        <v>6</v>
      </c>
      <c r="D6097" t="s">
        <v>1540</v>
      </c>
      <c r="F6097" s="1">
        <v>45741</v>
      </c>
      <c r="G6097" t="str">
        <f>IF(Table3[[#This Row],[Top Parent Account]]="",Table3[[#This Row],[Account Legal Name]],Table3[[#This Row],[Top Parent Account]])</f>
        <v>Queseria Dos Lagunas</v>
      </c>
      <c r="H6097" s="1"/>
    </row>
    <row r="6098" spans="1:8" x14ac:dyDescent="0.35">
      <c r="A6098" s="21"/>
      <c r="B6098" t="s">
        <v>7</v>
      </c>
      <c r="C6098" t="s">
        <v>6</v>
      </c>
      <c r="D6098" t="s">
        <v>1541</v>
      </c>
      <c r="F6098" s="1">
        <v>45741</v>
      </c>
      <c r="G6098" t="str">
        <f>IF(Table3[[#This Row],[Top Parent Account]]="",Table3[[#This Row],[Account Legal Name]],Table3[[#This Row],[Top Parent Account]])</f>
        <v>Diseño Manufactura e integración</v>
      </c>
      <c r="H6098" s="1"/>
    </row>
    <row r="6099" spans="1:8" x14ac:dyDescent="0.35">
      <c r="A6099" s="21"/>
      <c r="B6099" t="s">
        <v>925</v>
      </c>
      <c r="C6099" t="s">
        <v>6</v>
      </c>
      <c r="D6099" t="s">
        <v>1539</v>
      </c>
      <c r="F6099" s="1">
        <v>45741</v>
      </c>
      <c r="G6099" t="str">
        <f>IF(Table3[[#This Row],[Top Parent Account]]="",Table3[[#This Row],[Account Legal Name]],Table3[[#This Row],[Top Parent Account]])</f>
        <v>IMAGCHINE</v>
      </c>
      <c r="H6099" s="1"/>
    </row>
    <row r="6100" spans="1:8" x14ac:dyDescent="0.35">
      <c r="A6100" s="21"/>
      <c r="B6100" t="s">
        <v>121</v>
      </c>
      <c r="C6100" t="s">
        <v>6</v>
      </c>
      <c r="D6100" t="s">
        <v>1568</v>
      </c>
      <c r="F6100" s="1">
        <v>45741</v>
      </c>
      <c r="G6100" t="str">
        <f>IF(Table3[[#This Row],[Top Parent Account]]="",Table3[[#This Row],[Account Legal Name]],Table3[[#This Row],[Top Parent Account]])</f>
        <v>Maquinaria cames</v>
      </c>
      <c r="H6100" s="1"/>
    </row>
    <row r="6101" spans="1:8" x14ac:dyDescent="0.35">
      <c r="A6101" s="21"/>
      <c r="B6101" t="s">
        <v>43</v>
      </c>
      <c r="C6101" t="s">
        <v>6</v>
      </c>
      <c r="D6101" t="s">
        <v>788</v>
      </c>
      <c r="F6101" s="1">
        <v>45741</v>
      </c>
      <c r="G6101" t="str">
        <f>IF(Table3[[#This Row],[Top Parent Account]]="",Table3[[#This Row],[Account Legal Name]],Table3[[#This Row],[Top Parent Account]])</f>
        <v>Zion &amp; Ebenezer Technologies</v>
      </c>
      <c r="H6101" s="1"/>
    </row>
    <row r="6102" spans="1:8" x14ac:dyDescent="0.35">
      <c r="A6102" s="21"/>
      <c r="B6102" t="s">
        <v>7</v>
      </c>
      <c r="C6102" t="s">
        <v>1542</v>
      </c>
      <c r="D6102" t="s">
        <v>1543</v>
      </c>
      <c r="F6102" s="1">
        <v>45741</v>
      </c>
      <c r="G6102" t="str">
        <f>IF(Table3[[#This Row],[Top Parent Account]]="",Table3[[#This Row],[Account Legal Name]],Table3[[#This Row],[Top Parent Account]])</f>
        <v>Agua purificada Cimazul</v>
      </c>
      <c r="H6102" s="1"/>
    </row>
    <row r="6103" spans="1:8" x14ac:dyDescent="0.35">
      <c r="A6103" s="21"/>
      <c r="B6103" t="s">
        <v>121</v>
      </c>
      <c r="C6103" t="s">
        <v>6</v>
      </c>
      <c r="D6103" t="s">
        <v>894</v>
      </c>
      <c r="F6103" s="1">
        <v>45741</v>
      </c>
      <c r="G6103" t="str">
        <f>IF(Table3[[#This Row],[Top Parent Account]]="",Table3[[#This Row],[Account Legal Name]],Table3[[#This Row],[Top Parent Account]])</f>
        <v>ARMAMPET</v>
      </c>
      <c r="H6103" s="1"/>
    </row>
    <row r="6104" spans="1:8" x14ac:dyDescent="0.35">
      <c r="A6104" s="21"/>
      <c r="B6104" t="s">
        <v>28</v>
      </c>
      <c r="C6104" t="s">
        <v>6</v>
      </c>
      <c r="D6104" t="s">
        <v>1631</v>
      </c>
      <c r="F6104" s="1">
        <v>45741</v>
      </c>
      <c r="G6104" t="str">
        <f>IF(Table3[[#This Row],[Top Parent Account]]="",Table3[[#This Row],[Account Legal Name]],Table3[[#This Row],[Top Parent Account]])</f>
        <v>Argento De Torreon</v>
      </c>
      <c r="H6104" s="1"/>
    </row>
    <row r="6105" spans="1:8" x14ac:dyDescent="0.35">
      <c r="A6105" s="21"/>
      <c r="B6105" t="s">
        <v>7</v>
      </c>
      <c r="C6105" t="s">
        <v>6</v>
      </c>
      <c r="D6105" t="s">
        <v>1544</v>
      </c>
      <c r="F6105" s="1">
        <v>45741</v>
      </c>
      <c r="G6105" t="str">
        <f>IF(Table3[[#This Row],[Top Parent Account]]="",Table3[[#This Row],[Account Legal Name]],Table3[[#This Row],[Top Parent Account]])</f>
        <v>COMERCIALIZADORA AUTOMOTRIZ DE CUAUHTEMOC</v>
      </c>
      <c r="H6105" s="1"/>
    </row>
    <row r="6106" spans="1:8" x14ac:dyDescent="0.35">
      <c r="A6106" s="21"/>
      <c r="B6106" t="s">
        <v>54</v>
      </c>
      <c r="C6106" t="s">
        <v>1546</v>
      </c>
      <c r="D6106" t="s">
        <v>200</v>
      </c>
      <c r="F6106" s="1">
        <v>45741</v>
      </c>
      <c r="G6106" t="str">
        <f>IF(Table3[[#This Row],[Top Parent Account]]="",Table3[[#This Row],[Account Legal Name]],Table3[[#This Row],[Top Parent Account]])</f>
        <v>Grupo Industrial Summa</v>
      </c>
      <c r="H6106" s="1"/>
    </row>
    <row r="6107" spans="1:8" x14ac:dyDescent="0.35">
      <c r="A6107" s="21"/>
      <c r="B6107" t="s">
        <v>1006</v>
      </c>
      <c r="C6107" t="s">
        <v>6</v>
      </c>
      <c r="D6107" t="s">
        <v>1491</v>
      </c>
      <c r="F6107" s="1">
        <v>45741</v>
      </c>
      <c r="G6107" t="str">
        <f>IF(Table3[[#This Row],[Top Parent Account]]="",Table3[[#This Row],[Account Legal Name]],Table3[[#This Row],[Top Parent Account]])</f>
        <v>GRUPO MOC</v>
      </c>
      <c r="H6107" s="1"/>
    </row>
    <row r="6108" spans="1:8" x14ac:dyDescent="0.35">
      <c r="A6108" s="21"/>
      <c r="B6108" t="s">
        <v>7</v>
      </c>
      <c r="C6108" t="s">
        <v>6</v>
      </c>
      <c r="D6108" t="s">
        <v>1545</v>
      </c>
      <c r="F6108" s="1">
        <v>45741</v>
      </c>
      <c r="G6108" t="str">
        <f>IF(Table3[[#This Row],[Top Parent Account]]="",Table3[[#This Row],[Account Legal Name]],Table3[[#This Row],[Top Parent Account]])</f>
        <v>WALL COMPUTER SOLUTIONS</v>
      </c>
      <c r="H6108" s="1"/>
    </row>
    <row r="6109" spans="1:8" x14ac:dyDescent="0.35">
      <c r="A6109" s="21"/>
      <c r="B6109" t="s">
        <v>969</v>
      </c>
      <c r="C6109" t="s">
        <v>6</v>
      </c>
      <c r="D6109" t="s">
        <v>882</v>
      </c>
      <c r="F6109" s="1">
        <v>45741</v>
      </c>
      <c r="G6109" t="str">
        <f>IF(Table3[[#This Row],[Top Parent Account]]="",Table3[[#This Row],[Account Legal Name]],Table3[[#This Row],[Top Parent Account]])</f>
        <v>Adhesivos San Cruz</v>
      </c>
      <c r="H6109" s="1"/>
    </row>
    <row r="6110" spans="1:8" x14ac:dyDescent="0.35">
      <c r="A6110" s="21"/>
      <c r="B6110" t="s">
        <v>7</v>
      </c>
      <c r="C6110" t="s">
        <v>6</v>
      </c>
      <c r="D6110" t="s">
        <v>1549</v>
      </c>
      <c r="F6110" s="1">
        <v>45741</v>
      </c>
      <c r="G6110" t="str">
        <f>IF(Table3[[#This Row],[Top Parent Account]]="",Table3[[#This Row],[Account Legal Name]],Table3[[#This Row],[Top Parent Account]])</f>
        <v>Comercializadora de Neumáticos Tarahumara</v>
      </c>
      <c r="H6110" s="1"/>
    </row>
    <row r="6111" spans="1:8" x14ac:dyDescent="0.35">
      <c r="A6111" s="21"/>
      <c r="B6111" t="s">
        <v>39</v>
      </c>
      <c r="C6111" t="s">
        <v>1550</v>
      </c>
      <c r="D6111" t="s">
        <v>1486</v>
      </c>
      <c r="F6111" s="1">
        <v>45741</v>
      </c>
      <c r="G6111" t="str">
        <f>IF(Table3[[#This Row],[Top Parent Account]]="",Table3[[#This Row],[Account Legal Name]],Table3[[#This Row],[Top Parent Account]])</f>
        <v>Agrocir</v>
      </c>
      <c r="H6111" s="1"/>
    </row>
    <row r="6112" spans="1:8" x14ac:dyDescent="0.35">
      <c r="A6112" s="21"/>
      <c r="B6112" t="s">
        <v>286</v>
      </c>
      <c r="C6112" t="s">
        <v>6</v>
      </c>
      <c r="D6112" t="s">
        <v>1547</v>
      </c>
      <c r="F6112" s="1">
        <v>45741</v>
      </c>
      <c r="G6112" t="str">
        <f>IF(Table3[[#This Row],[Top Parent Account]]="",Table3[[#This Row],[Account Legal Name]],Table3[[#This Row],[Top Parent Account]])</f>
        <v>GVA Maquinaria</v>
      </c>
      <c r="H6112" s="1"/>
    </row>
    <row r="6113" spans="1:8" x14ac:dyDescent="0.35">
      <c r="A6113" s="21"/>
      <c r="B6113" t="s">
        <v>258</v>
      </c>
      <c r="C6113" t="s">
        <v>6</v>
      </c>
      <c r="D6113" t="s">
        <v>1548</v>
      </c>
      <c r="F6113" s="1">
        <v>45741</v>
      </c>
      <c r="G6113" t="str">
        <f>IF(Table3[[#This Row],[Top Parent Account]]="",Table3[[#This Row],[Account Legal Name]],Table3[[#This Row],[Top Parent Account]])</f>
        <v>WIT TRANSPORT</v>
      </c>
      <c r="H6113" s="1"/>
    </row>
    <row r="6114" spans="1:8" x14ac:dyDescent="0.35">
      <c r="A6114" s="21"/>
      <c r="B6114" t="s">
        <v>169</v>
      </c>
      <c r="C6114" t="s">
        <v>6</v>
      </c>
      <c r="D6114" t="s">
        <v>686</v>
      </c>
      <c r="F6114" s="1">
        <v>45741</v>
      </c>
      <c r="G6114" t="str">
        <f>IF(Table3[[#This Row],[Top Parent Account]]="",Table3[[#This Row],[Account Legal Name]],Table3[[#This Row],[Top Parent Account]])</f>
        <v>PRODUCTOS CARNICOS MI GRANJITA</v>
      </c>
      <c r="H6114" s="1"/>
    </row>
    <row r="6115" spans="1:8" x14ac:dyDescent="0.35">
      <c r="A6115" s="21"/>
      <c r="B6115" t="s">
        <v>121</v>
      </c>
      <c r="C6115" t="s">
        <v>6</v>
      </c>
      <c r="D6115" t="s">
        <v>344</v>
      </c>
      <c r="F6115" s="1">
        <v>45741</v>
      </c>
      <c r="G6115" t="str">
        <f>IF(Table3[[#This Row],[Top Parent Account]]="",Table3[[#This Row],[Account Legal Name]],Table3[[#This Row],[Top Parent Account]])</f>
        <v>Organicos milenarios.</v>
      </c>
      <c r="H6115" s="1"/>
    </row>
    <row r="6116" spans="1:8" x14ac:dyDescent="0.35">
      <c r="A6116" s="21"/>
      <c r="B6116" t="s">
        <v>70</v>
      </c>
      <c r="C6116" t="s">
        <v>22</v>
      </c>
      <c r="D6116" t="s">
        <v>460</v>
      </c>
      <c r="F6116" s="1">
        <v>45741</v>
      </c>
      <c r="G6116" t="str">
        <f>IF(Table3[[#This Row],[Top Parent Account]]="",Table3[[#This Row],[Account Legal Name]],Table3[[#This Row],[Top Parent Account]])</f>
        <v>PROTEINAS KOTT</v>
      </c>
      <c r="H6116" s="1"/>
    </row>
    <row r="6117" spans="1:8" x14ac:dyDescent="0.35">
      <c r="A6117" s="21"/>
      <c r="B6117" t="s">
        <v>880</v>
      </c>
      <c r="C6117" t="s">
        <v>1551</v>
      </c>
      <c r="D6117" t="s">
        <v>598</v>
      </c>
      <c r="F6117" s="1">
        <v>45740</v>
      </c>
      <c r="G6117" t="str">
        <f>IF(Table3[[#This Row],[Top Parent Account]]="",Table3[[#This Row],[Account Legal Name]],Table3[[#This Row],[Top Parent Account]])</f>
        <v>Transportes Mexamerik</v>
      </c>
      <c r="H6117" s="1"/>
    </row>
    <row r="6118" spans="1:8" x14ac:dyDescent="0.35">
      <c r="A6118" s="21"/>
      <c r="B6118" t="s">
        <v>54</v>
      </c>
      <c r="C6118" t="s">
        <v>1551</v>
      </c>
      <c r="D6118" t="s">
        <v>598</v>
      </c>
      <c r="F6118" s="1">
        <v>45740</v>
      </c>
      <c r="G6118" t="str">
        <f>IF(Table3[[#This Row],[Top Parent Account]]="",Table3[[#This Row],[Account Legal Name]],Table3[[#This Row],[Top Parent Account]])</f>
        <v>Transportes Mexamerik</v>
      </c>
      <c r="H6118" s="1"/>
    </row>
    <row r="6119" spans="1:8" x14ac:dyDescent="0.35">
      <c r="A6119" s="21"/>
      <c r="B6119" t="s">
        <v>970</v>
      </c>
      <c r="C6119" t="s">
        <v>6</v>
      </c>
      <c r="D6119" t="s">
        <v>307</v>
      </c>
      <c r="F6119" s="1">
        <v>45740</v>
      </c>
      <c r="G6119" t="str">
        <f>IF(Table3[[#This Row],[Top Parent Account]]="",Table3[[#This Row],[Account Legal Name]],Table3[[#This Row],[Top Parent Account]])</f>
        <v>Thor Urbana</v>
      </c>
      <c r="H6119" s="1"/>
    </row>
    <row r="6120" spans="1:8" x14ac:dyDescent="0.35">
      <c r="A6120" s="21"/>
      <c r="B6120" t="s">
        <v>121</v>
      </c>
      <c r="C6120" t="s">
        <v>6</v>
      </c>
      <c r="D6120" t="s">
        <v>835</v>
      </c>
      <c r="F6120" s="1">
        <v>45740</v>
      </c>
      <c r="G6120" t="str">
        <f>IF(Table3[[#This Row],[Top Parent Account]]="",Table3[[#This Row],[Account Legal Name]],Table3[[#This Row],[Top Parent Account]])</f>
        <v>Desarrolladora de Energía Global</v>
      </c>
      <c r="H6120" s="1"/>
    </row>
    <row r="6121" spans="1:8" x14ac:dyDescent="0.35">
      <c r="A6121" s="21"/>
      <c r="B6121" t="s">
        <v>970</v>
      </c>
      <c r="C6121" t="s">
        <v>6</v>
      </c>
      <c r="D6121" t="s">
        <v>659</v>
      </c>
      <c r="F6121" s="1">
        <v>45740</v>
      </c>
      <c r="G6121" t="str">
        <f>IF(Table3[[#This Row],[Top Parent Account]]="",Table3[[#This Row],[Account Legal Name]],Table3[[#This Row],[Top Parent Account]])</f>
        <v>Landsteiner Scientific de México</v>
      </c>
      <c r="H6121" s="1"/>
    </row>
    <row r="6122" spans="1:8" x14ac:dyDescent="0.35">
      <c r="A6122" s="21"/>
      <c r="B6122" t="s">
        <v>121</v>
      </c>
      <c r="C6122" t="s">
        <v>6</v>
      </c>
      <c r="D6122" t="s">
        <v>947</v>
      </c>
      <c r="F6122" s="1">
        <v>45740</v>
      </c>
      <c r="G6122" t="str">
        <f>IF(Table3[[#This Row],[Top Parent Account]]="",Table3[[#This Row],[Account Legal Name]],Table3[[#This Row],[Top Parent Account]])</f>
        <v>Old School Spirits</v>
      </c>
      <c r="H6122" s="1"/>
    </row>
    <row r="6123" spans="1:8" x14ac:dyDescent="0.35">
      <c r="A6123" s="21"/>
      <c r="B6123" t="s">
        <v>820</v>
      </c>
      <c r="C6123" t="s">
        <v>6</v>
      </c>
      <c r="D6123" t="s">
        <v>119</v>
      </c>
      <c r="F6123" s="1">
        <v>45740</v>
      </c>
      <c r="G6123" t="str">
        <f>IF(Table3[[#This Row],[Top Parent Account]]="",Table3[[#This Row],[Account Legal Name]],Table3[[#This Row],[Top Parent Account]])</f>
        <v>Grupo Pinturerias</v>
      </c>
      <c r="H6123" s="1"/>
    </row>
    <row r="6124" spans="1:8" x14ac:dyDescent="0.35">
      <c r="A6124" s="21"/>
      <c r="B6124" t="s">
        <v>28</v>
      </c>
      <c r="C6124" t="s">
        <v>6</v>
      </c>
      <c r="D6124" t="s">
        <v>1638</v>
      </c>
      <c r="F6124" s="1">
        <v>45737</v>
      </c>
      <c r="G6124" t="str">
        <f>IF(Table3[[#This Row],[Top Parent Account]]="",Table3[[#This Row],[Account Legal Name]],Table3[[#This Row],[Top Parent Account]])</f>
        <v>Grupo Venti</v>
      </c>
      <c r="H6124" s="1"/>
    </row>
    <row r="6125" spans="1:8" x14ac:dyDescent="0.35">
      <c r="A6125" s="21"/>
      <c r="B6125" t="s">
        <v>192</v>
      </c>
      <c r="C6125" t="s">
        <v>6</v>
      </c>
      <c r="D6125" t="s">
        <v>1569</v>
      </c>
      <c r="F6125" s="1">
        <v>45737</v>
      </c>
      <c r="G6125" t="str">
        <f>IF(Table3[[#This Row],[Top Parent Account]]="",Table3[[#This Row],[Account Legal Name]],Table3[[#This Row],[Top Parent Account]])</f>
        <v>AGENCIA ADUANAL PASCAL</v>
      </c>
      <c r="H6125" s="1"/>
    </row>
    <row r="6126" spans="1:8" x14ac:dyDescent="0.35">
      <c r="A6126" s="21"/>
      <c r="B6126" t="s">
        <v>28</v>
      </c>
      <c r="C6126" t="s">
        <v>6</v>
      </c>
      <c r="D6126" t="s">
        <v>1570</v>
      </c>
      <c r="E6126" t="s">
        <v>1571</v>
      </c>
      <c r="F6126" s="1">
        <v>45737</v>
      </c>
      <c r="G6126" t="str">
        <f>IF(Table3[[#This Row],[Top Parent Account]]="",Table3[[#This Row],[Account Legal Name]],Table3[[#This Row],[Top Parent Account]])</f>
        <v>CONSTRUACERO DEL NORTE</v>
      </c>
      <c r="H6126" s="1"/>
    </row>
    <row r="6127" spans="1:8" x14ac:dyDescent="0.35">
      <c r="A6127" s="21"/>
      <c r="B6127" t="s">
        <v>15</v>
      </c>
      <c r="C6127" t="s">
        <v>6</v>
      </c>
      <c r="D6127" t="s">
        <v>956</v>
      </c>
      <c r="F6127" s="1">
        <v>45737</v>
      </c>
      <c r="G6127" t="str">
        <f>IF(Table3[[#This Row],[Top Parent Account]]="",Table3[[#This Row],[Account Legal Name]],Table3[[#This Row],[Top Parent Account]])</f>
        <v>Ecoshell</v>
      </c>
      <c r="H6127" s="1"/>
    </row>
    <row r="6128" spans="1:8" x14ac:dyDescent="0.35">
      <c r="A6128" s="21"/>
      <c r="B6128" t="s">
        <v>43</v>
      </c>
      <c r="C6128" t="s">
        <v>6</v>
      </c>
      <c r="D6128" t="s">
        <v>1572</v>
      </c>
      <c r="E6128" t="s">
        <v>1573</v>
      </c>
      <c r="F6128" s="1">
        <v>45737</v>
      </c>
      <c r="G6128" t="str">
        <f>IF(Table3[[#This Row],[Top Parent Account]]="",Table3[[#This Row],[Account Legal Name]],Table3[[#This Row],[Top Parent Account]])</f>
        <v>Plasman Automotive</v>
      </c>
      <c r="H6128" s="1"/>
    </row>
    <row r="6129" spans="1:8" x14ac:dyDescent="0.35">
      <c r="A6129" s="21"/>
      <c r="B6129" t="s">
        <v>32</v>
      </c>
      <c r="C6129" t="s">
        <v>6</v>
      </c>
      <c r="D6129" t="s">
        <v>1505</v>
      </c>
      <c r="F6129" s="1">
        <v>45737</v>
      </c>
      <c r="G6129" t="str">
        <f>IF(Table3[[#This Row],[Top Parent Account]]="",Table3[[#This Row],[Account Legal Name]],Table3[[#This Row],[Top Parent Account]])</f>
        <v>Construcciones Industriales y Civiles el puente</v>
      </c>
      <c r="H6129" s="1"/>
    </row>
    <row r="6130" spans="1:8" x14ac:dyDescent="0.35">
      <c r="A6130" s="21"/>
      <c r="B6130" t="s">
        <v>739</v>
      </c>
      <c r="C6130" t="s">
        <v>6</v>
      </c>
      <c r="D6130" t="s">
        <v>1225</v>
      </c>
      <c r="F6130" s="1">
        <v>45737</v>
      </c>
      <c r="G6130" t="str">
        <f>IF(Table3[[#This Row],[Top Parent Account]]="",Table3[[#This Row],[Account Legal Name]],Table3[[#This Row],[Top Parent Account]])</f>
        <v>COMERCIALIZADORA MAYORISTA DEL GOLFO</v>
      </c>
      <c r="H6130" s="1"/>
    </row>
    <row r="6131" spans="1:8" x14ac:dyDescent="0.35">
      <c r="A6131" s="21"/>
      <c r="B6131" t="s">
        <v>208</v>
      </c>
      <c r="C6131" t="s">
        <v>6</v>
      </c>
      <c r="D6131" t="s">
        <v>796</v>
      </c>
      <c r="F6131" s="1">
        <v>45737</v>
      </c>
      <c r="G6131" t="str">
        <f>IF(Table3[[#This Row],[Top Parent Account]]="",Table3[[#This Row],[Account Legal Name]],Table3[[#This Row],[Top Parent Account]])</f>
        <v>COMAPLE México</v>
      </c>
      <c r="H6131" s="1"/>
    </row>
    <row r="6132" spans="1:8" x14ac:dyDescent="0.35">
      <c r="A6132" s="21"/>
      <c r="B6132" t="s">
        <v>121</v>
      </c>
      <c r="C6132" t="s">
        <v>6</v>
      </c>
      <c r="D6132" t="s">
        <v>4194</v>
      </c>
      <c r="F6132" s="1">
        <v>45737</v>
      </c>
      <c r="G6132" t="str">
        <f>IF(Table3[[#This Row],[Top Parent Account]]="",Table3[[#This Row],[Account Legal Name]],Table3[[#This Row],[Top Parent Account]])</f>
        <v>Decisiones Inteligentes de Transporte</v>
      </c>
      <c r="H6132" s="1"/>
    </row>
    <row r="6133" spans="1:8" x14ac:dyDescent="0.35">
      <c r="A6133" s="21"/>
      <c r="B6133" t="s">
        <v>23</v>
      </c>
      <c r="C6133" t="s">
        <v>6</v>
      </c>
      <c r="D6133" t="s">
        <v>1574</v>
      </c>
      <c r="F6133" s="1">
        <v>45737</v>
      </c>
      <c r="G6133" t="str">
        <f>IF(Table3[[#This Row],[Top Parent Account]]="",Table3[[#This Row],[Account Legal Name]],Table3[[#This Row],[Top Parent Account]])</f>
        <v>COMERCIALIZADORA METALICA DEL CENTRO</v>
      </c>
      <c r="H6133" s="1"/>
    </row>
    <row r="6134" spans="1:8" x14ac:dyDescent="0.35">
      <c r="A6134" s="21"/>
      <c r="B6134" t="s">
        <v>15</v>
      </c>
      <c r="C6134" t="s">
        <v>6</v>
      </c>
      <c r="D6134" t="s">
        <v>1506</v>
      </c>
      <c r="F6134" s="1">
        <v>45737</v>
      </c>
      <c r="G6134" t="str">
        <f>IF(Table3[[#This Row],[Top Parent Account]]="",Table3[[#This Row],[Account Legal Name]],Table3[[#This Row],[Top Parent Account]])</f>
        <v>CGI Logistics</v>
      </c>
      <c r="H6134" s="1"/>
    </row>
    <row r="6135" spans="1:8" x14ac:dyDescent="0.35">
      <c r="A6135" s="21"/>
      <c r="B6135" t="s">
        <v>375</v>
      </c>
      <c r="C6135" t="s">
        <v>6</v>
      </c>
      <c r="D6135" t="s">
        <v>387</v>
      </c>
      <c r="F6135" s="1">
        <v>45737</v>
      </c>
      <c r="G6135" t="str">
        <f>IF(Table3[[#This Row],[Top Parent Account]]="",Table3[[#This Row],[Account Legal Name]],Table3[[#This Row],[Top Parent Account]])</f>
        <v>Multillantas y Servicios Grimaldi</v>
      </c>
      <c r="H6135" s="1"/>
    </row>
    <row r="6136" spans="1:8" x14ac:dyDescent="0.35">
      <c r="A6136" s="21"/>
      <c r="B6136" t="s">
        <v>989</v>
      </c>
      <c r="C6136" t="s">
        <v>6</v>
      </c>
      <c r="D6136" t="s">
        <v>1575</v>
      </c>
      <c r="F6136" s="1">
        <v>45737</v>
      </c>
      <c r="G6136" t="str">
        <f>IF(Table3[[#This Row],[Top Parent Account]]="",Table3[[#This Row],[Account Legal Name]],Table3[[#This Row],[Top Parent Account]])</f>
        <v>Solfium</v>
      </c>
      <c r="H6136" s="1"/>
    </row>
    <row r="6137" spans="1:8" x14ac:dyDescent="0.35">
      <c r="A6137" s="21"/>
      <c r="B6137" t="s">
        <v>989</v>
      </c>
      <c r="C6137" t="s">
        <v>6</v>
      </c>
      <c r="D6137" t="s">
        <v>1504</v>
      </c>
      <c r="F6137" s="1">
        <v>45737</v>
      </c>
      <c r="G6137" t="str">
        <f>IF(Table3[[#This Row],[Top Parent Account]]="",Table3[[#This Row],[Account Legal Name]],Table3[[#This Row],[Top Parent Account]])</f>
        <v>Grupo Integral Monarka</v>
      </c>
      <c r="H6137" s="1"/>
    </row>
    <row r="6138" spans="1:8" x14ac:dyDescent="0.35">
      <c r="A6138" s="21"/>
      <c r="B6138" t="s">
        <v>121</v>
      </c>
      <c r="C6138" t="s">
        <v>6</v>
      </c>
      <c r="D6138" t="s">
        <v>682</v>
      </c>
      <c r="E6138" t="s">
        <v>805</v>
      </c>
      <c r="F6138" s="1">
        <v>45737</v>
      </c>
      <c r="G6138" t="str">
        <f>IF(Table3[[#This Row],[Top Parent Account]]="",Table3[[#This Row],[Account Legal Name]],Table3[[#This Row],[Top Parent Account]])</f>
        <v>Embalajes Industriales del pino</v>
      </c>
      <c r="H6138" s="1"/>
    </row>
    <row r="6139" spans="1:8" x14ac:dyDescent="0.35">
      <c r="A6139" s="21"/>
      <c r="B6139" t="s">
        <v>286</v>
      </c>
      <c r="C6139" t="s">
        <v>6</v>
      </c>
      <c r="D6139" t="s">
        <v>1499</v>
      </c>
      <c r="F6139" s="1">
        <v>45737</v>
      </c>
      <c r="G6139" t="str">
        <f>IF(Table3[[#This Row],[Top Parent Account]]="",Table3[[#This Row],[Account Legal Name]],Table3[[#This Row],[Top Parent Account]])</f>
        <v>Dmarque Corp Global</v>
      </c>
      <c r="H6139" s="1"/>
    </row>
    <row r="6140" spans="1:8" x14ac:dyDescent="0.35">
      <c r="A6140" s="21"/>
      <c r="B6140" t="s">
        <v>30</v>
      </c>
      <c r="C6140" t="s">
        <v>6</v>
      </c>
      <c r="D6140" t="s">
        <v>988</v>
      </c>
      <c r="F6140" s="1">
        <v>45737</v>
      </c>
      <c r="G6140" t="str">
        <f>IF(Table3[[#This Row],[Top Parent Account]]="",Table3[[#This Row],[Account Legal Name]],Table3[[#This Row],[Top Parent Account]])</f>
        <v>Edyen</v>
      </c>
      <c r="H6140" s="1"/>
    </row>
    <row r="6141" spans="1:8" x14ac:dyDescent="0.35">
      <c r="A6141" s="21"/>
      <c r="B6141" t="s">
        <v>589</v>
      </c>
      <c r="C6141" t="s">
        <v>6</v>
      </c>
      <c r="D6141" t="s">
        <v>1576</v>
      </c>
      <c r="F6141" s="1">
        <v>45737</v>
      </c>
      <c r="G6141" t="str">
        <f>IF(Table3[[#This Row],[Top Parent Account]]="",Table3[[#This Row],[Account Legal Name]],Table3[[#This Row],[Top Parent Account]])</f>
        <v>Viveros del valle del norte</v>
      </c>
      <c r="H6141" s="1"/>
    </row>
    <row r="6142" spans="1:8" x14ac:dyDescent="0.35">
      <c r="A6142" s="21"/>
      <c r="B6142" t="s">
        <v>12</v>
      </c>
      <c r="C6142" t="s">
        <v>6</v>
      </c>
      <c r="D6142" t="s">
        <v>1577</v>
      </c>
      <c r="F6142" s="1">
        <v>45737</v>
      </c>
      <c r="G6142" t="str">
        <f>IF(Table3[[#This Row],[Top Parent Account]]="",Table3[[#This Row],[Account Legal Name]],Table3[[#This Row],[Top Parent Account]])</f>
        <v>Grupo Aduanero Peninsular</v>
      </c>
      <c r="H6142" s="1"/>
    </row>
    <row r="6143" spans="1:8" x14ac:dyDescent="0.35">
      <c r="A6143" s="21"/>
      <c r="B6143" t="s">
        <v>70</v>
      </c>
      <c r="C6143" t="s">
        <v>33</v>
      </c>
      <c r="D6143" t="s">
        <v>1500</v>
      </c>
      <c r="F6143" s="1">
        <v>45737</v>
      </c>
      <c r="G6143" t="str">
        <f>IF(Table3[[#This Row],[Top Parent Account]]="",Table3[[#This Row],[Account Legal Name]],Table3[[#This Row],[Top Parent Account]])</f>
        <v>Sanatorio Oftalmologico Merida</v>
      </c>
      <c r="H6143" s="1"/>
    </row>
    <row r="6144" spans="1:8" x14ac:dyDescent="0.35">
      <c r="A6144" s="21"/>
      <c r="B6144" t="s">
        <v>32</v>
      </c>
      <c r="C6144" t="s">
        <v>6</v>
      </c>
      <c r="D6144" t="s">
        <v>770</v>
      </c>
      <c r="F6144" s="1">
        <v>45736</v>
      </c>
      <c r="G6144" t="str">
        <f>IF(Table3[[#This Row],[Top Parent Account]]="",Table3[[#This Row],[Account Legal Name]],Table3[[#This Row],[Top Parent Account]])</f>
        <v>Samsung Electronics México</v>
      </c>
      <c r="H6144" s="1"/>
    </row>
    <row r="6145" spans="1:8" x14ac:dyDescent="0.35">
      <c r="A6145" s="21"/>
      <c r="B6145" t="s">
        <v>14</v>
      </c>
      <c r="C6145" t="s">
        <v>6</v>
      </c>
      <c r="D6145" t="s">
        <v>386</v>
      </c>
      <c r="F6145" s="1">
        <v>45736</v>
      </c>
      <c r="G6145" t="str">
        <f>IF(Table3[[#This Row],[Top Parent Account]]="",Table3[[#This Row],[Account Legal Name]],Table3[[#This Row],[Top Parent Account]])</f>
        <v>Transportes Famego</v>
      </c>
      <c r="H6145" s="1"/>
    </row>
    <row r="6146" spans="1:8" x14ac:dyDescent="0.35">
      <c r="A6146" s="21"/>
      <c r="B6146" t="s">
        <v>989</v>
      </c>
      <c r="C6146" t="s">
        <v>6</v>
      </c>
      <c r="D6146" t="s">
        <v>1123</v>
      </c>
      <c r="F6146" s="1">
        <v>45736</v>
      </c>
      <c r="G6146" t="str">
        <f>IF(Table3[[#This Row],[Top Parent Account]]="",Table3[[#This Row],[Account Legal Name]],Table3[[#This Row],[Top Parent Account]])</f>
        <v>Exel Servigrafica</v>
      </c>
      <c r="H6146" s="1"/>
    </row>
    <row r="6147" spans="1:8" x14ac:dyDescent="0.35">
      <c r="A6147" s="21"/>
      <c r="B6147" t="s">
        <v>11</v>
      </c>
      <c r="C6147" t="s">
        <v>6</v>
      </c>
      <c r="D6147" t="s">
        <v>124</v>
      </c>
      <c r="F6147" s="1">
        <v>45736</v>
      </c>
      <c r="G6147" t="str">
        <f>IF(Table3[[#This Row],[Top Parent Account]]="",Table3[[#This Row],[Account Legal Name]],Table3[[#This Row],[Top Parent Account]])</f>
        <v>Envases Universales</v>
      </c>
      <c r="H6147" s="1"/>
    </row>
    <row r="6148" spans="1:8" x14ac:dyDescent="0.35">
      <c r="A6148" s="21"/>
      <c r="B6148" t="s">
        <v>28</v>
      </c>
      <c r="C6148" t="s">
        <v>6</v>
      </c>
      <c r="D6148" t="s">
        <v>1106</v>
      </c>
      <c r="F6148" s="1">
        <v>45736</v>
      </c>
      <c r="G6148" t="str">
        <f>IF(Table3[[#This Row],[Top Parent Account]]="",Table3[[#This Row],[Account Legal Name]],Table3[[#This Row],[Top Parent Account]])</f>
        <v>Proin Laguna</v>
      </c>
      <c r="H6148" s="1"/>
    </row>
    <row r="6149" spans="1:8" x14ac:dyDescent="0.35">
      <c r="A6149" s="21"/>
      <c r="B6149" t="s">
        <v>12</v>
      </c>
      <c r="C6149" t="s">
        <v>6</v>
      </c>
      <c r="D6149" t="s">
        <v>1578</v>
      </c>
      <c r="F6149" s="1">
        <v>45736</v>
      </c>
      <c r="G6149" t="str">
        <f>IF(Table3[[#This Row],[Top Parent Account]]="",Table3[[#This Row],[Account Legal Name]],Table3[[#This Row],[Top Parent Account]])</f>
        <v>Movii Rent a Car</v>
      </c>
      <c r="H6149" s="1"/>
    </row>
    <row r="6150" spans="1:8" x14ac:dyDescent="0.35">
      <c r="A6150" s="21"/>
      <c r="B6150" t="s">
        <v>23</v>
      </c>
      <c r="C6150" t="s">
        <v>6</v>
      </c>
      <c r="D6150" t="s">
        <v>1579</v>
      </c>
      <c r="F6150" s="1">
        <v>45736</v>
      </c>
      <c r="G6150" t="str">
        <f>IF(Table3[[#This Row],[Top Parent Account]]="",Table3[[#This Row],[Account Legal Name]],Table3[[#This Row],[Top Parent Account]])</f>
        <v>Empaques y Corrugados del Bajío</v>
      </c>
      <c r="H6150" s="1"/>
    </row>
    <row r="6151" spans="1:8" x14ac:dyDescent="0.35">
      <c r="A6151" s="21"/>
      <c r="B6151" t="s">
        <v>30</v>
      </c>
      <c r="C6151" t="s">
        <v>6</v>
      </c>
      <c r="D6151" t="s">
        <v>419</v>
      </c>
      <c r="F6151" s="1">
        <v>45736</v>
      </c>
      <c r="G6151" t="str">
        <f>IF(Table3[[#This Row],[Top Parent Account]]="",Table3[[#This Row],[Account Legal Name]],Table3[[#This Row],[Top Parent Account]])</f>
        <v>Adidas de México</v>
      </c>
      <c r="H6151" s="1"/>
    </row>
    <row r="6152" spans="1:8" x14ac:dyDescent="0.35">
      <c r="A6152" s="21"/>
      <c r="B6152" t="s">
        <v>208</v>
      </c>
      <c r="C6152" t="s">
        <v>6</v>
      </c>
      <c r="D6152" t="s">
        <v>396</v>
      </c>
      <c r="F6152" s="1">
        <v>45736</v>
      </c>
      <c r="G6152" t="str">
        <f>IF(Table3[[#This Row],[Top Parent Account]]="",Table3[[#This Row],[Account Legal Name]],Table3[[#This Row],[Top Parent Account]])</f>
        <v>Fletes y Transportes Ruiz</v>
      </c>
      <c r="H6152" s="1"/>
    </row>
    <row r="6153" spans="1:8" x14ac:dyDescent="0.35">
      <c r="A6153" s="21"/>
      <c r="B6153" t="s">
        <v>28</v>
      </c>
      <c r="C6153" t="s">
        <v>6</v>
      </c>
      <c r="D6153" t="s">
        <v>1580</v>
      </c>
      <c r="F6153" s="1">
        <v>45736</v>
      </c>
      <c r="G6153" t="str">
        <f>IF(Table3[[#This Row],[Top Parent Account]]="",Table3[[#This Row],[Account Legal Name]],Table3[[#This Row],[Top Parent Account]])</f>
        <v>MINERIA Y CONSTRUCCION XCALIVUR</v>
      </c>
      <c r="H6153" s="1"/>
    </row>
    <row r="6154" spans="1:8" x14ac:dyDescent="0.35">
      <c r="A6154" s="21"/>
      <c r="B6154" t="s">
        <v>18</v>
      </c>
      <c r="C6154" t="s">
        <v>6</v>
      </c>
      <c r="D6154" t="s">
        <v>1581</v>
      </c>
      <c r="F6154" s="1">
        <v>45736</v>
      </c>
      <c r="G6154" t="str">
        <f>IF(Table3[[#This Row],[Top Parent Account]]="",Table3[[#This Row],[Account Legal Name]],Table3[[#This Row],[Top Parent Account]])</f>
        <v>Reciclados y Servicios del Noroeste</v>
      </c>
      <c r="H6154" s="1"/>
    </row>
    <row r="6155" spans="1:8" x14ac:dyDescent="0.35">
      <c r="A6155" s="21"/>
      <c r="B6155" t="s">
        <v>88</v>
      </c>
      <c r="C6155" t="s">
        <v>6</v>
      </c>
      <c r="D6155" t="s">
        <v>1582</v>
      </c>
      <c r="F6155" s="1">
        <v>45736</v>
      </c>
      <c r="G6155" t="str">
        <f>IF(Table3[[#This Row],[Top Parent Account]]="",Table3[[#This Row],[Account Legal Name]],Table3[[#This Row],[Top Parent Account]])</f>
        <v>Viscosificantes Mexicanos</v>
      </c>
      <c r="H6155" s="1"/>
    </row>
    <row r="6156" spans="1:8" x14ac:dyDescent="0.35">
      <c r="A6156" s="21"/>
      <c r="B6156" t="s">
        <v>37</v>
      </c>
      <c r="C6156" t="s">
        <v>6</v>
      </c>
      <c r="D6156" t="s">
        <v>1502</v>
      </c>
      <c r="F6156" s="1">
        <v>45736</v>
      </c>
      <c r="G6156" t="str">
        <f>IF(Table3[[#This Row],[Top Parent Account]]="",Table3[[#This Row],[Account Legal Name]],Table3[[#This Row],[Top Parent Account]])</f>
        <v>GRAN KINO SINALOENSE</v>
      </c>
      <c r="H6156" s="1"/>
    </row>
    <row r="6157" spans="1:8" x14ac:dyDescent="0.35">
      <c r="A6157" s="21"/>
      <c r="B6157" t="s">
        <v>375</v>
      </c>
      <c r="C6157" t="s">
        <v>6</v>
      </c>
      <c r="D6157" t="s">
        <v>1231</v>
      </c>
      <c r="F6157" s="1">
        <v>45736</v>
      </c>
      <c r="G6157" t="str">
        <f>IF(Table3[[#This Row],[Top Parent Account]]="",Table3[[#This Row],[Account Legal Name]],Table3[[#This Row],[Top Parent Account]])</f>
        <v>Distribuidora Springhouse</v>
      </c>
      <c r="H6157" s="1"/>
    </row>
    <row r="6158" spans="1:8" x14ac:dyDescent="0.35">
      <c r="A6158" s="21"/>
      <c r="B6158" t="s">
        <v>192</v>
      </c>
      <c r="C6158" t="s">
        <v>49</v>
      </c>
      <c r="D6158" t="s">
        <v>1583</v>
      </c>
      <c r="F6158" s="1">
        <v>45736</v>
      </c>
      <c r="G6158" t="str">
        <f>IF(Table3[[#This Row],[Top Parent Account]]="",Table3[[#This Row],[Account Legal Name]],Table3[[#This Row],[Top Parent Account]])</f>
        <v>Flexi?Vel</v>
      </c>
      <c r="H6158" s="1"/>
    </row>
    <row r="6159" spans="1:8" x14ac:dyDescent="0.35">
      <c r="A6159" s="21"/>
      <c r="B6159" t="s">
        <v>286</v>
      </c>
      <c r="C6159" t="s">
        <v>6</v>
      </c>
      <c r="D6159" t="s">
        <v>1501</v>
      </c>
      <c r="F6159" s="1">
        <v>45736</v>
      </c>
      <c r="G6159" t="str">
        <f>IF(Table3[[#This Row],[Top Parent Account]]="",Table3[[#This Row],[Account Legal Name]],Table3[[#This Row],[Top Parent Account]])</f>
        <v>AC Logistics México</v>
      </c>
      <c r="H6159" s="1"/>
    </row>
    <row r="6160" spans="1:8" x14ac:dyDescent="0.35">
      <c r="A6160" s="21"/>
      <c r="B6160" t="s">
        <v>54</v>
      </c>
      <c r="C6160" t="s">
        <v>1585</v>
      </c>
      <c r="D6160" t="s">
        <v>235</v>
      </c>
      <c r="F6160" s="1">
        <v>45736</v>
      </c>
      <c r="G6160" t="str">
        <f>IF(Table3[[#This Row],[Top Parent Account]]="",Table3[[#This Row],[Account Legal Name]],Table3[[#This Row],[Top Parent Account]])</f>
        <v>Hospital Amerimed</v>
      </c>
      <c r="H6160" s="1"/>
    </row>
    <row r="6161" spans="1:8" x14ac:dyDescent="0.35">
      <c r="A6161" s="21"/>
      <c r="B6161" t="s">
        <v>26</v>
      </c>
      <c r="C6161" t="s">
        <v>6</v>
      </c>
      <c r="D6161" t="s">
        <v>1484</v>
      </c>
      <c r="F6161" s="1">
        <v>45736</v>
      </c>
      <c r="G6161" t="str">
        <f>IF(Table3[[#This Row],[Top Parent Account]]="",Table3[[#This Row],[Account Legal Name]],Table3[[#This Row],[Top Parent Account]])</f>
        <v>Trans Neyno</v>
      </c>
      <c r="H6161" s="1"/>
    </row>
    <row r="6162" spans="1:8" x14ac:dyDescent="0.35">
      <c r="A6162" s="21"/>
      <c r="B6162" t="s">
        <v>18</v>
      </c>
      <c r="C6162" t="s">
        <v>6</v>
      </c>
      <c r="D6162" t="s">
        <v>1584</v>
      </c>
      <c r="F6162" s="1">
        <v>45736</v>
      </c>
      <c r="G6162" t="str">
        <f>IF(Table3[[#This Row],[Top Parent Account]]="",Table3[[#This Row],[Account Legal Name]],Table3[[#This Row],[Top Parent Account]])</f>
        <v>Sun Grain Comercial</v>
      </c>
      <c r="H6162" s="1"/>
    </row>
    <row r="6163" spans="1:8" x14ac:dyDescent="0.35">
      <c r="A6163" s="21"/>
      <c r="B6163" t="s">
        <v>14</v>
      </c>
      <c r="C6163" t="s">
        <v>6</v>
      </c>
      <c r="D6163" t="s">
        <v>1497</v>
      </c>
      <c r="F6163" s="1">
        <v>45736</v>
      </c>
      <c r="G6163" t="str">
        <f>IF(Table3[[#This Row],[Top Parent Account]]="",Table3[[#This Row],[Account Legal Name]],Table3[[#This Row],[Top Parent Account]])</f>
        <v>Grupo Frio</v>
      </c>
      <c r="H6163" s="1"/>
    </row>
    <row r="6164" spans="1:8" x14ac:dyDescent="0.35">
      <c r="A6164" s="21"/>
      <c r="B6164" t="s">
        <v>18</v>
      </c>
      <c r="C6164" t="s">
        <v>6</v>
      </c>
      <c r="D6164" t="s">
        <v>1586</v>
      </c>
      <c r="F6164" s="1">
        <v>45736</v>
      </c>
      <c r="G6164" t="str">
        <f>IF(Table3[[#This Row],[Top Parent Account]]="",Table3[[#This Row],[Account Legal Name]],Table3[[#This Row],[Top Parent Account]])</f>
        <v>Instituto San Roberto</v>
      </c>
      <c r="H6164" s="1"/>
    </row>
    <row r="6165" spans="1:8" x14ac:dyDescent="0.35">
      <c r="A6165" s="21"/>
      <c r="B6165" t="s">
        <v>70</v>
      </c>
      <c r="C6165" t="s">
        <v>6</v>
      </c>
      <c r="D6165" t="s">
        <v>1428</v>
      </c>
      <c r="F6165" s="1">
        <v>45736</v>
      </c>
      <c r="G6165" t="str">
        <f>IF(Table3[[#This Row],[Top Parent Account]]="",Table3[[#This Row],[Account Legal Name]],Table3[[#This Row],[Top Parent Account]])</f>
        <v>Il Diagnostics</v>
      </c>
      <c r="H6165" s="1"/>
    </row>
    <row r="6166" spans="1:8" x14ac:dyDescent="0.35">
      <c r="A6166" s="21"/>
      <c r="B6166" t="s">
        <v>14</v>
      </c>
      <c r="C6166" t="s">
        <v>6</v>
      </c>
      <c r="D6166" t="s">
        <v>625</v>
      </c>
      <c r="F6166" s="1">
        <v>45736</v>
      </c>
      <c r="G6166" t="str">
        <f>IF(Table3[[#This Row],[Top Parent Account]]="",Table3[[#This Row],[Account Legal Name]],Table3[[#This Row],[Top Parent Account]])</f>
        <v>Transportes Especializados Navarro</v>
      </c>
      <c r="H6166" s="1"/>
    </row>
    <row r="6167" spans="1:8" x14ac:dyDescent="0.35">
      <c r="A6167" s="21"/>
      <c r="B6167" t="s">
        <v>1006</v>
      </c>
      <c r="C6167" t="s">
        <v>6</v>
      </c>
      <c r="D6167" t="s">
        <v>1552</v>
      </c>
      <c r="F6167" s="1">
        <v>45736</v>
      </c>
      <c r="G6167" t="str">
        <f>IF(Table3[[#This Row],[Top Parent Account]]="",Table3[[#This Row],[Account Legal Name]],Table3[[#This Row],[Top Parent Account]])</f>
        <v>SERVICIOS INTEGRALES MARITIMOS Y PORTUARIOS</v>
      </c>
      <c r="H6167" s="1"/>
    </row>
    <row r="6168" spans="1:8" x14ac:dyDescent="0.35">
      <c r="A6168" s="21"/>
      <c r="B6168" t="s">
        <v>29</v>
      </c>
      <c r="C6168" t="s">
        <v>6</v>
      </c>
      <c r="D6168" t="s">
        <v>1588</v>
      </c>
      <c r="F6168" s="1">
        <v>45736</v>
      </c>
      <c r="G6168" t="str">
        <f>IF(Table3[[#This Row],[Top Parent Account]]="",Table3[[#This Row],[Account Legal Name]],Table3[[#This Row],[Top Parent Account]])</f>
        <v>Resortes Monticello De México</v>
      </c>
      <c r="H6168" s="1"/>
    </row>
    <row r="6169" spans="1:8" x14ac:dyDescent="0.35">
      <c r="A6169" s="21"/>
      <c r="B6169" t="s">
        <v>116</v>
      </c>
      <c r="C6169" t="s">
        <v>6</v>
      </c>
      <c r="D6169" t="s">
        <v>1034</v>
      </c>
      <c r="F6169" s="1">
        <v>45736</v>
      </c>
      <c r="G6169" t="str">
        <f>IF(Table3[[#This Row],[Top Parent Account]]="",Table3[[#This Row],[Account Legal Name]],Table3[[#This Row],[Top Parent Account]])</f>
        <v>Grupo Quimisor</v>
      </c>
      <c r="H6169" s="1"/>
    </row>
    <row r="6170" spans="1:8" x14ac:dyDescent="0.35">
      <c r="A6170" s="21"/>
      <c r="B6170" t="s">
        <v>590</v>
      </c>
      <c r="C6170" t="s">
        <v>6</v>
      </c>
      <c r="D6170" t="s">
        <v>1587</v>
      </c>
      <c r="F6170" s="1">
        <v>45736</v>
      </c>
      <c r="G6170" t="str">
        <f>IF(Table3[[#This Row],[Top Parent Account]]="",Table3[[#This Row],[Account Legal Name]],Table3[[#This Row],[Top Parent Account]])</f>
        <v>Zubex Industrial</v>
      </c>
      <c r="H6170" s="1"/>
    </row>
    <row r="6171" spans="1:8" x14ac:dyDescent="0.35">
      <c r="A6171" s="21"/>
      <c r="B6171" t="s">
        <v>121</v>
      </c>
      <c r="C6171" t="s">
        <v>6</v>
      </c>
      <c r="D6171" t="s">
        <v>887</v>
      </c>
      <c r="F6171" s="1">
        <v>45736</v>
      </c>
      <c r="G6171" t="str">
        <f>IF(Table3[[#This Row],[Top Parent Account]]="",Table3[[#This Row],[Account Legal Name]],Table3[[#This Row],[Top Parent Account]])</f>
        <v>Pescados Envasados de Sinaloa</v>
      </c>
      <c r="H6171" s="1"/>
    </row>
    <row r="6172" spans="1:8" x14ac:dyDescent="0.35">
      <c r="A6172" s="21"/>
      <c r="B6172" t="s">
        <v>896</v>
      </c>
      <c r="C6172" t="s">
        <v>6</v>
      </c>
      <c r="D6172" t="s">
        <v>1589</v>
      </c>
      <c r="F6172" s="1">
        <v>45736</v>
      </c>
      <c r="G6172" t="str">
        <f>IF(Table3[[#This Row],[Top Parent Account]]="",Table3[[#This Row],[Account Legal Name]],Table3[[#This Row],[Top Parent Account]])</f>
        <v>Icomsa Ingenieria</v>
      </c>
      <c r="H6172" s="1"/>
    </row>
    <row r="6173" spans="1:8" x14ac:dyDescent="0.35">
      <c r="A6173" s="21"/>
      <c r="B6173" t="s">
        <v>11</v>
      </c>
      <c r="C6173" t="s">
        <v>6</v>
      </c>
      <c r="D6173" t="s">
        <v>1490</v>
      </c>
      <c r="F6173" s="1">
        <v>45736</v>
      </c>
      <c r="G6173" t="str">
        <f>IF(Table3[[#This Row],[Top Parent Account]]="",Table3[[#This Row],[Account Legal Name]],Table3[[#This Row],[Top Parent Account]])</f>
        <v>Transporte y Logistica Buzmyr de México</v>
      </c>
      <c r="H6173" s="1"/>
    </row>
    <row r="6174" spans="1:8" x14ac:dyDescent="0.35">
      <c r="A6174" s="21"/>
      <c r="B6174" t="s">
        <v>30</v>
      </c>
      <c r="C6174" t="s">
        <v>6</v>
      </c>
      <c r="D6174" t="s">
        <v>573</v>
      </c>
      <c r="F6174" s="1">
        <v>45736</v>
      </c>
      <c r="G6174" t="str">
        <f>IF(Table3[[#This Row],[Top Parent Account]]="",Table3[[#This Row],[Account Legal Name]],Table3[[#This Row],[Top Parent Account]])</f>
        <v>Lvmh Perfumes y Cosmeticos de México</v>
      </c>
      <c r="H6174" s="1"/>
    </row>
    <row r="6175" spans="1:8" x14ac:dyDescent="0.35">
      <c r="A6175" s="21"/>
      <c r="B6175" t="s">
        <v>21</v>
      </c>
      <c r="C6175" t="s">
        <v>6</v>
      </c>
      <c r="D6175" t="s">
        <v>1591</v>
      </c>
      <c r="F6175" s="1">
        <v>45736</v>
      </c>
      <c r="G6175" t="str">
        <f>IF(Table3[[#This Row],[Top Parent Account]]="",Table3[[#This Row],[Account Legal Name]],Table3[[#This Row],[Top Parent Account]])</f>
        <v>Técnicos Especializados de Chiapas</v>
      </c>
      <c r="H6175" s="1"/>
    </row>
    <row r="6176" spans="1:8" x14ac:dyDescent="0.35">
      <c r="A6176" s="21"/>
      <c r="B6176" t="s">
        <v>26</v>
      </c>
      <c r="C6176" t="s">
        <v>6</v>
      </c>
      <c r="D6176" t="s">
        <v>1487</v>
      </c>
      <c r="F6176" s="1">
        <v>45736</v>
      </c>
      <c r="G6176" t="str">
        <f>IF(Table3[[#This Row],[Top Parent Account]]="",Table3[[#This Row],[Account Legal Name]],Table3[[#This Row],[Top Parent Account]])</f>
        <v>Leonali</v>
      </c>
      <c r="H6176" s="1"/>
    </row>
    <row r="6177" spans="1:8" x14ac:dyDescent="0.35">
      <c r="A6177" s="21"/>
      <c r="B6177" t="s">
        <v>26</v>
      </c>
      <c r="C6177" t="s">
        <v>6</v>
      </c>
      <c r="D6177" t="s">
        <v>1199</v>
      </c>
      <c r="F6177" s="1">
        <v>45736</v>
      </c>
      <c r="G6177" t="str">
        <f>IF(Table3[[#This Row],[Top Parent Account]]="",Table3[[#This Row],[Account Legal Name]],Table3[[#This Row],[Top Parent Account]])</f>
        <v>Soluciones de Movilidad Terreste</v>
      </c>
      <c r="H6177" s="1"/>
    </row>
    <row r="6178" spans="1:8" x14ac:dyDescent="0.35">
      <c r="A6178" s="21"/>
      <c r="B6178" t="s">
        <v>114</v>
      </c>
      <c r="C6178" t="s">
        <v>6</v>
      </c>
      <c r="D6178" t="s">
        <v>1590</v>
      </c>
      <c r="F6178" s="1">
        <v>45736</v>
      </c>
      <c r="G6178" t="str">
        <f>IF(Table3[[#This Row],[Top Parent Account]]="",Table3[[#This Row],[Account Legal Name]],Table3[[#This Row],[Top Parent Account]])</f>
        <v>Corporación de Productos Industriales</v>
      </c>
      <c r="H6178" s="1"/>
    </row>
    <row r="6179" spans="1:8" x14ac:dyDescent="0.35">
      <c r="A6179" s="21"/>
      <c r="B6179" t="s">
        <v>1006</v>
      </c>
      <c r="C6179" t="s">
        <v>6</v>
      </c>
      <c r="D6179" t="s">
        <v>1491</v>
      </c>
      <c r="F6179" s="1">
        <v>45736</v>
      </c>
      <c r="G6179" t="str">
        <f>IF(Table3[[#This Row],[Top Parent Account]]="",Table3[[#This Row],[Account Legal Name]],Table3[[#This Row],[Top Parent Account]])</f>
        <v>GRUPO MOC</v>
      </c>
      <c r="H6179" s="1"/>
    </row>
    <row r="6180" spans="1:8" x14ac:dyDescent="0.35">
      <c r="A6180" s="21"/>
      <c r="B6180" t="s">
        <v>29</v>
      </c>
      <c r="C6180" t="s">
        <v>6</v>
      </c>
      <c r="D6180" t="s">
        <v>1592</v>
      </c>
      <c r="F6180" s="1">
        <v>45736</v>
      </c>
      <c r="G6180" t="str">
        <f>IF(Table3[[#This Row],[Top Parent Account]]="",Table3[[#This Row],[Account Legal Name]],Table3[[#This Row],[Top Parent Account]])</f>
        <v>Auto Express Perla</v>
      </c>
      <c r="H6180" s="1"/>
    </row>
    <row r="6181" spans="1:8" x14ac:dyDescent="0.35">
      <c r="A6181" s="21"/>
      <c r="B6181" t="s">
        <v>121</v>
      </c>
      <c r="C6181" t="s">
        <v>6</v>
      </c>
      <c r="D6181" t="s">
        <v>232</v>
      </c>
      <c r="F6181" s="1">
        <v>45736</v>
      </c>
      <c r="G6181" t="str">
        <f>IF(Table3[[#This Row],[Top Parent Account]]="",Table3[[#This Row],[Account Legal Name]],Table3[[#This Row],[Top Parent Account]])</f>
        <v>Aro Asfaltos y Riegos de Occidente</v>
      </c>
      <c r="H6181" s="1"/>
    </row>
    <row r="6182" spans="1:8" x14ac:dyDescent="0.35">
      <c r="A6182" s="21"/>
      <c r="B6182" t="s">
        <v>208</v>
      </c>
      <c r="C6182" t="s">
        <v>6</v>
      </c>
      <c r="D6182" t="s">
        <v>1140</v>
      </c>
      <c r="F6182" s="1">
        <v>45736</v>
      </c>
      <c r="G6182" t="str">
        <f>IF(Table3[[#This Row],[Top Parent Account]]="",Table3[[#This Row],[Account Legal Name]],Table3[[#This Row],[Top Parent Account]])</f>
        <v>TRBL</v>
      </c>
      <c r="H6182" s="1"/>
    </row>
    <row r="6183" spans="1:8" x14ac:dyDescent="0.35">
      <c r="A6183" s="21"/>
      <c r="B6183" t="s">
        <v>11</v>
      </c>
      <c r="C6183" t="s">
        <v>6</v>
      </c>
      <c r="D6183" t="s">
        <v>391</v>
      </c>
      <c r="F6183" s="1">
        <v>45736</v>
      </c>
      <c r="G6183" t="str">
        <f>IF(Table3[[#This Row],[Top Parent Account]]="",Table3[[#This Row],[Account Legal Name]],Table3[[#This Row],[Top Parent Account]])</f>
        <v>Comarket</v>
      </c>
      <c r="H6183" s="1"/>
    </row>
    <row r="6184" spans="1:8" x14ac:dyDescent="0.35">
      <c r="A6184" s="21"/>
      <c r="B6184" t="s">
        <v>77</v>
      </c>
      <c r="C6184" t="s">
        <v>6</v>
      </c>
      <c r="D6184" t="s">
        <v>696</v>
      </c>
      <c r="F6184" s="1">
        <v>45735</v>
      </c>
      <c r="G6184" t="str">
        <f>IF(Table3[[#This Row],[Top Parent Account]]="",Table3[[#This Row],[Account Legal Name]],Table3[[#This Row],[Top Parent Account]])</f>
        <v>Rancho Pecana Products</v>
      </c>
      <c r="H6184" s="1"/>
    </row>
    <row r="6185" spans="1:8" x14ac:dyDescent="0.35">
      <c r="A6185" s="21"/>
      <c r="B6185" t="s">
        <v>38</v>
      </c>
      <c r="C6185" t="s">
        <v>6</v>
      </c>
      <c r="D6185" t="s">
        <v>1593</v>
      </c>
      <c r="F6185" s="1">
        <v>45735</v>
      </c>
      <c r="G6185" t="str">
        <f>IF(Table3[[#This Row],[Top Parent Account]]="",Table3[[#This Row],[Account Legal Name]],Table3[[#This Row],[Top Parent Account]])</f>
        <v>Ht Foods</v>
      </c>
      <c r="H6185" s="1"/>
    </row>
    <row r="6186" spans="1:8" x14ac:dyDescent="0.35">
      <c r="A6186" s="21"/>
      <c r="B6186" t="s">
        <v>30</v>
      </c>
      <c r="C6186" t="s">
        <v>6</v>
      </c>
      <c r="D6186" t="s">
        <v>466</v>
      </c>
      <c r="F6186" s="1">
        <v>45735</v>
      </c>
      <c r="G6186" t="str">
        <f>IF(Table3[[#This Row],[Top Parent Account]]="",Table3[[#This Row],[Account Legal Name]],Table3[[#This Row],[Top Parent Account]])</f>
        <v>Polyone de México</v>
      </c>
      <c r="H6186" s="1"/>
    </row>
    <row r="6187" spans="1:8" x14ac:dyDescent="0.35">
      <c r="A6187" s="21"/>
      <c r="B6187" t="s">
        <v>970</v>
      </c>
      <c r="C6187" t="s">
        <v>6</v>
      </c>
      <c r="D6187" t="s">
        <v>814</v>
      </c>
      <c r="F6187" s="1">
        <v>45735</v>
      </c>
      <c r="G6187" t="str">
        <f>IF(Table3[[#This Row],[Top Parent Account]]="",Table3[[#This Row],[Account Legal Name]],Table3[[#This Row],[Top Parent Account]])</f>
        <v>Peri Cimbras y Andamios</v>
      </c>
      <c r="H6187" s="1"/>
    </row>
    <row r="6188" spans="1:8" x14ac:dyDescent="0.35">
      <c r="A6188" s="21"/>
      <c r="B6188" t="s">
        <v>70</v>
      </c>
      <c r="C6188" t="s">
        <v>6</v>
      </c>
      <c r="D6188" t="s">
        <v>568</v>
      </c>
      <c r="F6188" s="1">
        <v>45735</v>
      </c>
      <c r="G6188" t="str">
        <f>IF(Table3[[#This Row],[Top Parent Account]]="",Table3[[#This Row],[Account Legal Name]],Table3[[#This Row],[Top Parent Account]])</f>
        <v>COI Centro Oncológico Internacional</v>
      </c>
      <c r="H6188" s="1"/>
    </row>
    <row r="6189" spans="1:8" x14ac:dyDescent="0.35">
      <c r="A6189" s="21"/>
      <c r="B6189" t="s">
        <v>258</v>
      </c>
      <c r="C6189" t="s">
        <v>6</v>
      </c>
      <c r="D6189" t="s">
        <v>1332</v>
      </c>
      <c r="F6189" s="1">
        <v>45735</v>
      </c>
      <c r="G6189" t="str">
        <f>IF(Table3[[#This Row],[Top Parent Account]]="",Table3[[#This Row],[Account Legal Name]],Table3[[#This Row],[Top Parent Account]])</f>
        <v>Mecsa Steel</v>
      </c>
      <c r="H6189" s="1"/>
    </row>
    <row r="6190" spans="1:8" x14ac:dyDescent="0.35">
      <c r="A6190" s="21"/>
      <c r="B6190" t="s">
        <v>39</v>
      </c>
      <c r="C6190" t="s">
        <v>1594</v>
      </c>
      <c r="D6190" t="s">
        <v>1486</v>
      </c>
      <c r="F6190" s="1">
        <v>45735</v>
      </c>
      <c r="G6190" t="str">
        <f>IF(Table3[[#This Row],[Top Parent Account]]="",Table3[[#This Row],[Account Legal Name]],Table3[[#This Row],[Top Parent Account]])</f>
        <v>Agrocir</v>
      </c>
      <c r="H6190" s="1"/>
    </row>
    <row r="6191" spans="1:8" x14ac:dyDescent="0.35">
      <c r="A6191" s="21"/>
      <c r="B6191" t="s">
        <v>24</v>
      </c>
      <c r="C6191" t="s">
        <v>6</v>
      </c>
      <c r="D6191" t="s">
        <v>1596</v>
      </c>
      <c r="F6191" s="1">
        <v>45735</v>
      </c>
      <c r="G6191" t="str">
        <f>IF(Table3[[#This Row],[Top Parent Account]]="",Table3[[#This Row],[Account Legal Name]],Table3[[#This Row],[Top Parent Account]])</f>
        <v>Castilla Estructuras</v>
      </c>
      <c r="H6191" s="1"/>
    </row>
    <row r="6192" spans="1:8" x14ac:dyDescent="0.35">
      <c r="A6192" s="21"/>
      <c r="B6192" t="s">
        <v>27</v>
      </c>
      <c r="C6192" t="s">
        <v>6</v>
      </c>
      <c r="D6192" t="s">
        <v>1300</v>
      </c>
      <c r="F6192" s="1">
        <v>45735</v>
      </c>
      <c r="G6192" t="str">
        <f>IF(Table3[[#This Row],[Top Parent Account]]="",Table3[[#This Row],[Account Legal Name]],Table3[[#This Row],[Top Parent Account]])</f>
        <v>Jardin Aleman</v>
      </c>
      <c r="H6192" s="1"/>
    </row>
    <row r="6193" spans="1:8" x14ac:dyDescent="0.35">
      <c r="A6193" s="21"/>
      <c r="B6193" t="s">
        <v>77</v>
      </c>
      <c r="C6193" t="s">
        <v>6</v>
      </c>
      <c r="D6193" t="s">
        <v>175</v>
      </c>
      <c r="F6193" s="1">
        <v>45735</v>
      </c>
      <c r="G6193" t="str">
        <f>IF(Table3[[#This Row],[Top Parent Account]]="",Table3[[#This Row],[Account Legal Name]],Table3[[#This Row],[Top Parent Account]])</f>
        <v>NORSTAR TRAILERS MEXICO</v>
      </c>
      <c r="H6193" s="1"/>
    </row>
    <row r="6194" spans="1:8" x14ac:dyDescent="0.35">
      <c r="A6194" s="21"/>
      <c r="B6194" t="s">
        <v>989</v>
      </c>
      <c r="C6194" t="s">
        <v>6</v>
      </c>
      <c r="D6194" t="s">
        <v>1498</v>
      </c>
      <c r="F6194" s="1">
        <v>45735</v>
      </c>
      <c r="G6194" t="str">
        <f>IF(Table3[[#This Row],[Top Parent Account]]="",Table3[[#This Row],[Account Legal Name]],Table3[[#This Row],[Top Parent Account]])</f>
        <v>Grupo Canutarra</v>
      </c>
      <c r="H6194" s="1"/>
    </row>
    <row r="6195" spans="1:8" x14ac:dyDescent="0.35">
      <c r="A6195" s="21"/>
      <c r="B6195" t="s">
        <v>10</v>
      </c>
      <c r="C6195" t="s">
        <v>6</v>
      </c>
      <c r="D6195" t="s">
        <v>1595</v>
      </c>
      <c r="F6195" s="1">
        <v>45735</v>
      </c>
      <c r="G6195" t="str">
        <f>IF(Table3[[#This Row],[Top Parent Account]]="",Table3[[#This Row],[Account Legal Name]],Table3[[#This Row],[Top Parent Account]])</f>
        <v>Transportes Refrigerados Martínez</v>
      </c>
      <c r="H6195" s="1"/>
    </row>
    <row r="6196" spans="1:8" x14ac:dyDescent="0.35">
      <c r="A6196" s="21"/>
      <c r="B6196" t="s">
        <v>739</v>
      </c>
      <c r="C6196" t="s">
        <v>6</v>
      </c>
      <c r="D6196" t="s">
        <v>1598</v>
      </c>
      <c r="E6196" t="s">
        <v>237</v>
      </c>
      <c r="F6196" s="1">
        <v>45735</v>
      </c>
      <c r="G6196" t="str">
        <f>IF(Table3[[#This Row],[Top Parent Account]]="",Table3[[#This Row],[Account Legal Name]],Table3[[#This Row],[Top Parent Account]])</f>
        <v>Premium Restaurant Brands</v>
      </c>
      <c r="H6196" s="1"/>
    </row>
    <row r="6197" spans="1:8" x14ac:dyDescent="0.35">
      <c r="A6197" s="21"/>
      <c r="B6197" t="s">
        <v>21</v>
      </c>
      <c r="C6197" t="s">
        <v>6</v>
      </c>
      <c r="D6197" t="s">
        <v>1597</v>
      </c>
      <c r="F6197" s="1">
        <v>45735</v>
      </c>
      <c r="G6197" t="str">
        <f>IF(Table3[[#This Row],[Top Parent Account]]="",Table3[[#This Row],[Account Legal Name]],Table3[[#This Row],[Top Parent Account]])</f>
        <v>Baco Transportes</v>
      </c>
      <c r="H6197" s="1"/>
    </row>
    <row r="6198" spans="1:8" x14ac:dyDescent="0.35">
      <c r="A6198" s="21"/>
      <c r="B6198" t="s">
        <v>27</v>
      </c>
      <c r="C6198" t="s">
        <v>6</v>
      </c>
      <c r="D6198" t="s">
        <v>1397</v>
      </c>
      <c r="F6198" s="1">
        <v>45735</v>
      </c>
      <c r="G6198" t="str">
        <f>IF(Table3[[#This Row],[Top Parent Account]]="",Table3[[#This Row],[Account Legal Name]],Table3[[#This Row],[Top Parent Account]])</f>
        <v>Hospital Aranda de la Parra</v>
      </c>
      <c r="H6198" s="1"/>
    </row>
    <row r="6199" spans="1:8" x14ac:dyDescent="0.35">
      <c r="A6199" s="21"/>
      <c r="B6199" t="s">
        <v>51</v>
      </c>
      <c r="C6199" t="s">
        <v>6</v>
      </c>
      <c r="D6199" t="s">
        <v>821</v>
      </c>
      <c r="F6199" s="1">
        <v>45735</v>
      </c>
      <c r="G6199" t="str">
        <f>IF(Table3[[#This Row],[Top Parent Account]]="",Table3[[#This Row],[Account Legal Name]],Table3[[#This Row],[Top Parent Account]])</f>
        <v>DIBAR NUTRICIONAL</v>
      </c>
      <c r="H6199" s="1"/>
    </row>
    <row r="6200" spans="1:8" x14ac:dyDescent="0.35">
      <c r="A6200" s="21"/>
      <c r="B6200" t="s">
        <v>1006</v>
      </c>
      <c r="C6200" t="s">
        <v>6</v>
      </c>
      <c r="D6200" t="s">
        <v>824</v>
      </c>
      <c r="E6200" t="s">
        <v>817</v>
      </c>
      <c r="F6200" s="1">
        <v>45735</v>
      </c>
      <c r="G6200" t="str">
        <f>IF(Table3[[#This Row],[Top Parent Account]]="",Table3[[#This Row],[Account Legal Name]],Table3[[#This Row],[Top Parent Account]])</f>
        <v>GRUPO CIMA</v>
      </c>
      <c r="H6200" s="1"/>
    </row>
    <row r="6201" spans="1:8" x14ac:dyDescent="0.35">
      <c r="A6201" s="21"/>
      <c r="B6201" t="s">
        <v>280</v>
      </c>
      <c r="C6201" t="s">
        <v>6</v>
      </c>
      <c r="D6201" t="s">
        <v>1599</v>
      </c>
      <c r="F6201" s="1">
        <v>45735</v>
      </c>
      <c r="G6201" t="str">
        <f>IF(Table3[[#This Row],[Top Parent Account]]="",Table3[[#This Row],[Account Legal Name]],Table3[[#This Row],[Top Parent Account]])</f>
        <v>HI-WAY TRANSPORT</v>
      </c>
      <c r="H6201" s="1"/>
    </row>
    <row r="6202" spans="1:8" x14ac:dyDescent="0.35">
      <c r="A6202" s="21"/>
      <c r="B6202" t="s">
        <v>932</v>
      </c>
      <c r="C6202" t="s">
        <v>1601</v>
      </c>
      <c r="D6202" t="s">
        <v>1602</v>
      </c>
      <c r="F6202" s="1">
        <v>45735</v>
      </c>
      <c r="G6202" t="str">
        <f>IF(Table3[[#This Row],[Top Parent Account]]="",Table3[[#This Row],[Account Legal Name]],Table3[[#This Row],[Top Parent Account]])</f>
        <v>GRAFICAS DEL MIERA</v>
      </c>
      <c r="H6202" s="1"/>
    </row>
    <row r="6203" spans="1:8" x14ac:dyDescent="0.35">
      <c r="A6203" s="21"/>
      <c r="B6203" t="s">
        <v>26</v>
      </c>
      <c r="C6203" t="s">
        <v>6</v>
      </c>
      <c r="D6203" t="s">
        <v>363</v>
      </c>
      <c r="F6203" s="1">
        <v>45735</v>
      </c>
      <c r="G6203" t="str">
        <f>IF(Table3[[#This Row],[Top Parent Account]]="",Table3[[#This Row],[Account Legal Name]],Table3[[#This Row],[Top Parent Account]])</f>
        <v>Productos Agropecuarios Beristaín</v>
      </c>
      <c r="H6203" s="1"/>
    </row>
    <row r="6204" spans="1:8" x14ac:dyDescent="0.35">
      <c r="A6204" s="21"/>
      <c r="B6204" t="s">
        <v>258</v>
      </c>
      <c r="C6204" t="s">
        <v>6</v>
      </c>
      <c r="D6204" t="s">
        <v>1492</v>
      </c>
      <c r="F6204" s="1">
        <v>45735</v>
      </c>
      <c r="G6204" t="str">
        <f>IF(Table3[[#This Row],[Top Parent Account]]="",Table3[[#This Row],[Account Legal Name]],Table3[[#This Row],[Top Parent Account]])</f>
        <v>Omega Aleaciones</v>
      </c>
      <c r="H6204" s="1"/>
    </row>
    <row r="6205" spans="1:8" x14ac:dyDescent="0.35">
      <c r="A6205" s="21"/>
      <c r="B6205" t="s">
        <v>43</v>
      </c>
      <c r="C6205" t="s">
        <v>6</v>
      </c>
      <c r="D6205" t="s">
        <v>1600</v>
      </c>
      <c r="F6205" s="1">
        <v>45735</v>
      </c>
      <c r="G6205" t="str">
        <f>IF(Table3[[#This Row],[Top Parent Account]]="",Table3[[#This Row],[Account Legal Name]],Table3[[#This Row],[Top Parent Account]])</f>
        <v>Acrilicos Sablon</v>
      </c>
      <c r="H6205" s="1"/>
    </row>
    <row r="6206" spans="1:8" x14ac:dyDescent="0.35">
      <c r="A6206" s="21"/>
      <c r="B6206" t="s">
        <v>169</v>
      </c>
      <c r="C6206" t="s">
        <v>6</v>
      </c>
      <c r="D6206" t="s">
        <v>987</v>
      </c>
      <c r="F6206" s="1">
        <v>45735</v>
      </c>
      <c r="G6206" t="str">
        <f>IF(Table3[[#This Row],[Top Parent Account]]="",Table3[[#This Row],[Account Legal Name]],Table3[[#This Row],[Top Parent Account]])</f>
        <v>Elaboradora De Alimentos Pachuca</v>
      </c>
      <c r="H6206" s="1"/>
    </row>
    <row r="6207" spans="1:8" x14ac:dyDescent="0.35">
      <c r="A6207" s="21"/>
      <c r="B6207" t="s">
        <v>54</v>
      </c>
      <c r="C6207" t="s">
        <v>22</v>
      </c>
      <c r="D6207" t="s">
        <v>3443</v>
      </c>
      <c r="E6207" t="s">
        <v>83</v>
      </c>
      <c r="F6207" s="1">
        <v>45735</v>
      </c>
      <c r="G6207" t="str">
        <f>IF(Table3[[#This Row],[Top Parent Account]]="",Table3[[#This Row],[Account Legal Name]],Table3[[#This Row],[Top Parent Account]])</f>
        <v>Industrias Tamer</v>
      </c>
      <c r="H6207" s="1"/>
    </row>
    <row r="6208" spans="1:8" x14ac:dyDescent="0.35">
      <c r="A6208" s="21"/>
      <c r="B6208" t="s">
        <v>10</v>
      </c>
      <c r="C6208" t="s">
        <v>6</v>
      </c>
      <c r="D6208" t="s">
        <v>79</v>
      </c>
      <c r="F6208" s="1">
        <v>45735</v>
      </c>
      <c r="G6208" t="str">
        <f>IF(Table3[[#This Row],[Top Parent Account]]="",Table3[[#This Row],[Account Legal Name]],Table3[[#This Row],[Top Parent Account]])</f>
        <v>Cereales y Pastas</v>
      </c>
      <c r="H6208" s="1"/>
    </row>
    <row r="6209" spans="1:8" x14ac:dyDescent="0.35">
      <c r="A6209" s="21"/>
      <c r="B6209" t="s">
        <v>27</v>
      </c>
      <c r="C6209" t="s">
        <v>6</v>
      </c>
      <c r="D6209" t="s">
        <v>1294</v>
      </c>
      <c r="F6209" s="1">
        <v>45735</v>
      </c>
      <c r="G6209" t="str">
        <f>IF(Table3[[#This Row],[Top Parent Account]]="",Table3[[#This Row],[Account Legal Name]],Table3[[#This Row],[Top Parent Account]])</f>
        <v>Mar Bran</v>
      </c>
      <c r="H6209" s="1"/>
    </row>
    <row r="6210" spans="1:8" x14ac:dyDescent="0.35">
      <c r="A6210" s="21"/>
      <c r="B6210" t="s">
        <v>989</v>
      </c>
      <c r="C6210" t="s">
        <v>6</v>
      </c>
      <c r="D6210" t="s">
        <v>1230</v>
      </c>
      <c r="F6210" s="1">
        <v>45735</v>
      </c>
      <c r="G6210" t="str">
        <f>IF(Table3[[#This Row],[Top Parent Account]]="",Table3[[#This Row],[Account Legal Name]],Table3[[#This Row],[Top Parent Account]])</f>
        <v>Kante Industries</v>
      </c>
      <c r="H6210" s="1"/>
    </row>
    <row r="6211" spans="1:8" x14ac:dyDescent="0.35">
      <c r="A6211" s="21"/>
      <c r="B6211" t="s">
        <v>25</v>
      </c>
      <c r="C6211" t="s">
        <v>6</v>
      </c>
      <c r="D6211" t="s">
        <v>1603</v>
      </c>
      <c r="F6211" s="1">
        <v>45735</v>
      </c>
      <c r="G6211" t="str">
        <f>IF(Table3[[#This Row],[Top Parent Account]]="",Table3[[#This Row],[Account Legal Name]],Table3[[#This Row],[Top Parent Account]])</f>
        <v>PQ Integradora Logística</v>
      </c>
      <c r="H6211" s="1"/>
    </row>
    <row r="6212" spans="1:8" x14ac:dyDescent="0.35">
      <c r="A6212" s="21"/>
      <c r="B6212" t="s">
        <v>78</v>
      </c>
      <c r="C6212" t="s">
        <v>6</v>
      </c>
      <c r="D6212" t="s">
        <v>1604</v>
      </c>
      <c r="F6212" s="1">
        <v>45735</v>
      </c>
      <c r="G6212" t="str">
        <f>IF(Table3[[#This Row],[Top Parent Account]]="",Table3[[#This Row],[Account Legal Name]],Table3[[#This Row],[Top Parent Account]])</f>
        <v>Arva Laboratorio De Analisis Industriales</v>
      </c>
      <c r="H6212" s="1"/>
    </row>
    <row r="6213" spans="1:8" x14ac:dyDescent="0.35">
      <c r="A6213" s="21"/>
      <c r="B6213" t="s">
        <v>10</v>
      </c>
      <c r="C6213" t="s">
        <v>6</v>
      </c>
      <c r="D6213" t="s">
        <v>296</v>
      </c>
      <c r="F6213" s="1">
        <v>45735</v>
      </c>
      <c r="G6213" t="str">
        <f>IF(Table3[[#This Row],[Top Parent Account]]="",Table3[[#This Row],[Account Legal Name]],Table3[[#This Row],[Top Parent Account]])</f>
        <v>Express Mg</v>
      </c>
      <c r="H6213" s="1"/>
    </row>
    <row r="6214" spans="1:8" x14ac:dyDescent="0.35">
      <c r="A6214" s="21"/>
      <c r="B6214" t="s">
        <v>20</v>
      </c>
      <c r="C6214" t="s">
        <v>6</v>
      </c>
      <c r="D6214" t="s">
        <v>1608</v>
      </c>
      <c r="E6214" t="s">
        <v>1609</v>
      </c>
      <c r="F6214" s="1">
        <v>45735</v>
      </c>
      <c r="G6214" t="str">
        <f>IF(Table3[[#This Row],[Top Parent Account]]="",Table3[[#This Row],[Account Legal Name]],Table3[[#This Row],[Top Parent Account]])</f>
        <v>INGENIERIA APLICADA EN CORRUGADO</v>
      </c>
      <c r="H6214" s="1"/>
    </row>
    <row r="6215" spans="1:8" x14ac:dyDescent="0.35">
      <c r="A6215" s="21"/>
      <c r="B6215" t="s">
        <v>14</v>
      </c>
      <c r="C6215" t="s">
        <v>6</v>
      </c>
      <c r="D6215" t="s">
        <v>1605</v>
      </c>
      <c r="F6215" s="1">
        <v>45735</v>
      </c>
      <c r="G6215" t="str">
        <f>IF(Table3[[#This Row],[Top Parent Account]]="",Table3[[#This Row],[Account Legal Name]],Table3[[#This Row],[Top Parent Account]])</f>
        <v>Carnes Selectas el Jalisciense</v>
      </c>
      <c r="H6215" s="1"/>
    </row>
    <row r="6216" spans="1:8" x14ac:dyDescent="0.35">
      <c r="A6216" s="21"/>
      <c r="B6216" t="s">
        <v>21</v>
      </c>
      <c r="C6216" t="s">
        <v>6</v>
      </c>
      <c r="D6216" t="s">
        <v>1606</v>
      </c>
      <c r="F6216" s="1">
        <v>45735</v>
      </c>
      <c r="G6216" t="str">
        <f>IF(Table3[[#This Row],[Top Parent Account]]="",Table3[[#This Row],[Account Legal Name]],Table3[[#This Row],[Top Parent Account]])</f>
        <v>Omnigreen</v>
      </c>
      <c r="H6216" s="1"/>
    </row>
    <row r="6217" spans="1:8" x14ac:dyDescent="0.35">
      <c r="A6217" s="21"/>
      <c r="B6217" t="s">
        <v>208</v>
      </c>
      <c r="C6217" t="s">
        <v>6</v>
      </c>
      <c r="D6217" t="s">
        <v>1607</v>
      </c>
      <c r="F6217" s="1">
        <v>45735</v>
      </c>
      <c r="G6217" t="str">
        <f>IF(Table3[[#This Row],[Top Parent Account]]="",Table3[[#This Row],[Account Legal Name]],Table3[[#This Row],[Top Parent Account]])</f>
        <v>Ferranico</v>
      </c>
      <c r="H6217" s="1"/>
    </row>
    <row r="6218" spans="1:8" x14ac:dyDescent="0.35">
      <c r="A6218" s="21"/>
      <c r="B6218" t="s">
        <v>78</v>
      </c>
      <c r="C6218" t="s">
        <v>6</v>
      </c>
      <c r="D6218" t="s">
        <v>1493</v>
      </c>
      <c r="F6218" s="1">
        <v>45735</v>
      </c>
      <c r="G6218" t="str">
        <f>IF(Table3[[#This Row],[Top Parent Account]]="",Table3[[#This Row],[Account Legal Name]],Table3[[#This Row],[Top Parent Account]])</f>
        <v>Fastek de México</v>
      </c>
      <c r="H6218" s="1"/>
    </row>
    <row r="6219" spans="1:8" x14ac:dyDescent="0.35">
      <c r="A6219" s="21"/>
      <c r="B6219" t="s">
        <v>970</v>
      </c>
      <c r="C6219" t="s">
        <v>6</v>
      </c>
      <c r="D6219" t="s">
        <v>1049</v>
      </c>
      <c r="F6219" s="1">
        <v>45735</v>
      </c>
      <c r="G6219" t="str">
        <f>IF(Table3[[#This Row],[Top Parent Account]]="",Table3[[#This Row],[Account Legal Name]],Table3[[#This Row],[Top Parent Account]])</f>
        <v>Bruker Mexicana</v>
      </c>
      <c r="H6219" s="1"/>
    </row>
    <row r="6220" spans="1:8" x14ac:dyDescent="0.35">
      <c r="A6220" s="21"/>
      <c r="B6220" t="s">
        <v>207</v>
      </c>
      <c r="C6220" t="s">
        <v>6</v>
      </c>
      <c r="D6220" t="s">
        <v>1610</v>
      </c>
      <c r="F6220" s="1">
        <v>45735</v>
      </c>
      <c r="G6220" t="str">
        <f>IF(Table3[[#This Row],[Top Parent Account]]="",Table3[[#This Row],[Account Legal Name]],Table3[[#This Row],[Top Parent Account]])</f>
        <v>Calza Sider</v>
      </c>
      <c r="H6220" s="1"/>
    </row>
    <row r="6221" spans="1:8" x14ac:dyDescent="0.35">
      <c r="A6221" s="21"/>
      <c r="B6221" t="s">
        <v>51</v>
      </c>
      <c r="C6221" t="s">
        <v>6</v>
      </c>
      <c r="D6221" t="s">
        <v>1611</v>
      </c>
      <c r="F6221" s="1">
        <v>45735</v>
      </c>
      <c r="G6221" t="str">
        <f>IF(Table3[[#This Row],[Top Parent Account]]="",Table3[[#This Row],[Account Legal Name]],Table3[[#This Row],[Top Parent Account]])</f>
        <v>Extrusiones de los Altos</v>
      </c>
      <c r="H6221" s="1"/>
    </row>
    <row r="6222" spans="1:8" x14ac:dyDescent="0.35">
      <c r="A6222" s="21"/>
      <c r="B6222" t="s">
        <v>169</v>
      </c>
      <c r="C6222" t="s">
        <v>6</v>
      </c>
      <c r="D6222" t="s">
        <v>1612</v>
      </c>
      <c r="F6222" s="1">
        <v>45735</v>
      </c>
      <c r="G6222" t="str">
        <f>IF(Table3[[#This Row],[Top Parent Account]]="",Table3[[#This Row],[Account Legal Name]],Table3[[#This Row],[Top Parent Account]])</f>
        <v>Handling Healthcare</v>
      </c>
      <c r="H6222" s="1"/>
    </row>
    <row r="6223" spans="1:8" x14ac:dyDescent="0.35">
      <c r="A6223" s="21"/>
      <c r="B6223" t="s">
        <v>30</v>
      </c>
      <c r="C6223" t="s">
        <v>6</v>
      </c>
      <c r="D6223" t="s">
        <v>469</v>
      </c>
      <c r="F6223" s="1">
        <v>45735</v>
      </c>
      <c r="G6223" t="str">
        <f>IF(Table3[[#This Row],[Top Parent Account]]="",Table3[[#This Row],[Account Legal Name]],Table3[[#This Row],[Top Parent Account]])</f>
        <v>Dicipa</v>
      </c>
      <c r="H6223" s="1"/>
    </row>
    <row r="6224" spans="1:8" x14ac:dyDescent="0.35">
      <c r="A6224" s="21"/>
      <c r="B6224" t="s">
        <v>114</v>
      </c>
      <c r="C6224" t="s">
        <v>6</v>
      </c>
      <c r="D6224" t="s">
        <v>448</v>
      </c>
      <c r="F6224" s="1">
        <v>45735</v>
      </c>
      <c r="G6224" t="str">
        <f>IF(Table3[[#This Row],[Top Parent Account]]="",Table3[[#This Row],[Account Legal Name]],Table3[[#This Row],[Top Parent Account]])</f>
        <v>Osteomedica</v>
      </c>
      <c r="H6224" s="1"/>
    </row>
    <row r="6225" spans="1:8" x14ac:dyDescent="0.35">
      <c r="A6225" s="21"/>
      <c r="B6225" t="s">
        <v>70</v>
      </c>
      <c r="C6225" t="s">
        <v>6</v>
      </c>
      <c r="D6225" t="s">
        <v>667</v>
      </c>
      <c r="F6225" s="1">
        <v>45735</v>
      </c>
      <c r="G6225" t="str">
        <f>IF(Table3[[#This Row],[Top Parent Account]]="",Table3[[#This Row],[Account Legal Name]],Table3[[#This Row],[Top Parent Account]])</f>
        <v>Medica Sur</v>
      </c>
      <c r="H6225" s="1"/>
    </row>
    <row r="6226" spans="1:8" x14ac:dyDescent="0.35">
      <c r="A6226" s="21"/>
      <c r="B6226" t="s">
        <v>258</v>
      </c>
      <c r="C6226" t="s">
        <v>6</v>
      </c>
      <c r="D6226" t="s">
        <v>1613</v>
      </c>
      <c r="F6226" s="1">
        <v>45735</v>
      </c>
      <c r="G6226" t="str">
        <f>IF(Table3[[#This Row],[Top Parent Account]]="",Table3[[#This Row],[Account Legal Name]],Table3[[#This Row],[Top Parent Account]])</f>
        <v>Travel and Live</v>
      </c>
      <c r="H6226" s="1"/>
    </row>
    <row r="6227" spans="1:8" x14ac:dyDescent="0.35">
      <c r="A6227" s="21"/>
      <c r="B6227" t="s">
        <v>925</v>
      </c>
      <c r="C6227" t="s">
        <v>6</v>
      </c>
      <c r="D6227" t="s">
        <v>1483</v>
      </c>
      <c r="F6227" s="1">
        <v>45735</v>
      </c>
      <c r="G6227" t="str">
        <f>IF(Table3[[#This Row],[Top Parent Account]]="",Table3[[#This Row],[Account Legal Name]],Table3[[#This Row],[Top Parent Account]])</f>
        <v>Ingeniería y Productos de Acero</v>
      </c>
      <c r="H6227" s="1"/>
    </row>
    <row r="6228" spans="1:8" x14ac:dyDescent="0.35">
      <c r="A6228" s="21"/>
      <c r="B6228" t="s">
        <v>30</v>
      </c>
      <c r="C6228" t="s">
        <v>6</v>
      </c>
      <c r="D6228" t="s">
        <v>414</v>
      </c>
      <c r="F6228" s="1">
        <v>45734</v>
      </c>
      <c r="G6228" t="str">
        <f>IF(Table3[[#This Row],[Top Parent Account]]="",Table3[[#This Row],[Account Legal Name]],Table3[[#This Row],[Top Parent Account]])</f>
        <v>MONTACARGAS GROUP SUPPLIES</v>
      </c>
      <c r="H6228" s="1"/>
    </row>
    <row r="6229" spans="1:8" x14ac:dyDescent="0.35">
      <c r="A6229" s="21"/>
      <c r="B6229" t="s">
        <v>77</v>
      </c>
      <c r="C6229" t="s">
        <v>6</v>
      </c>
      <c r="D6229" t="s">
        <v>1614</v>
      </c>
      <c r="E6229" t="s">
        <v>282</v>
      </c>
      <c r="F6229" s="1">
        <v>45734</v>
      </c>
      <c r="G6229" t="str">
        <f>IF(Table3[[#This Row],[Top Parent Account]]="",Table3[[#This Row],[Account Legal Name]],Table3[[#This Row],[Top Parent Account]])</f>
        <v>RAM PACKAGING DE MEXICO</v>
      </c>
      <c r="H6229" s="1"/>
    </row>
    <row r="6230" spans="1:8" x14ac:dyDescent="0.35">
      <c r="A6230" s="21"/>
      <c r="B6230" t="s">
        <v>88</v>
      </c>
      <c r="C6230" t="s">
        <v>6</v>
      </c>
      <c r="D6230" t="s">
        <v>1615</v>
      </c>
      <c r="F6230" s="1">
        <v>45734</v>
      </c>
      <c r="G6230" t="str">
        <f>IF(Table3[[#This Row],[Top Parent Account]]="",Table3[[#This Row],[Account Legal Name]],Table3[[#This Row],[Top Parent Account]])</f>
        <v>LOGISTICA 3 GUERRERAS</v>
      </c>
      <c r="H6230" s="1"/>
    </row>
    <row r="6231" spans="1:8" x14ac:dyDescent="0.35">
      <c r="A6231" s="21"/>
      <c r="B6231" t="s">
        <v>207</v>
      </c>
      <c r="C6231" t="s">
        <v>6</v>
      </c>
      <c r="D6231" t="s">
        <v>1616</v>
      </c>
      <c r="F6231" s="1">
        <v>45734</v>
      </c>
      <c r="G6231" t="str">
        <f>IF(Table3[[#This Row],[Top Parent Account]]="",Table3[[#This Row],[Account Legal Name]],Table3[[#This Row],[Top Parent Account]])</f>
        <v>Grupo Soindyco</v>
      </c>
      <c r="H6231" s="1"/>
    </row>
    <row r="6232" spans="1:8" x14ac:dyDescent="0.35">
      <c r="A6232" s="21"/>
      <c r="B6232" t="s">
        <v>70</v>
      </c>
      <c r="C6232" t="s">
        <v>22</v>
      </c>
      <c r="D6232" t="s">
        <v>434</v>
      </c>
      <c r="F6232" s="1">
        <v>45734</v>
      </c>
      <c r="G6232" t="str">
        <f>IF(Table3[[#This Row],[Top Parent Account]]="",Table3[[#This Row],[Account Legal Name]],Table3[[#This Row],[Top Parent Account]])</f>
        <v>Electrónica y Medicina</v>
      </c>
      <c r="H6232" s="1"/>
    </row>
    <row r="6233" spans="1:8" x14ac:dyDescent="0.35">
      <c r="A6233" s="21"/>
      <c r="B6233" t="s">
        <v>88</v>
      </c>
      <c r="C6233" t="s">
        <v>6</v>
      </c>
      <c r="D6233" t="s">
        <v>1617</v>
      </c>
      <c r="F6233" s="1">
        <v>45734</v>
      </c>
      <c r="G6233" t="str">
        <f>IF(Table3[[#This Row],[Top Parent Account]]="",Table3[[#This Row],[Account Legal Name]],Table3[[#This Row],[Top Parent Account]])</f>
        <v>INNOVACION EN ETIQUETAS Y REVISTAS DE TOLUCA</v>
      </c>
      <c r="H6233" s="1"/>
    </row>
    <row r="6234" spans="1:8" x14ac:dyDescent="0.35">
      <c r="A6234" s="21"/>
      <c r="B6234" t="s">
        <v>30</v>
      </c>
      <c r="C6234" t="s">
        <v>6</v>
      </c>
      <c r="D6234" t="s">
        <v>468</v>
      </c>
      <c r="F6234" s="1">
        <v>45734</v>
      </c>
      <c r="G6234" t="str">
        <f>IF(Table3[[#This Row],[Top Parent Account]]="",Table3[[#This Row],[Account Legal Name]],Table3[[#This Row],[Top Parent Account]])</f>
        <v>Multibolsas Plasticas</v>
      </c>
      <c r="H6234" s="1"/>
    </row>
    <row r="6235" spans="1:8" x14ac:dyDescent="0.35">
      <c r="A6235" s="21"/>
      <c r="B6235" t="s">
        <v>10</v>
      </c>
      <c r="C6235" t="s">
        <v>6</v>
      </c>
      <c r="D6235" t="s">
        <v>514</v>
      </c>
      <c r="F6235" s="1">
        <v>45734</v>
      </c>
      <c r="G6235" t="str">
        <f>IF(Table3[[#This Row],[Top Parent Account]]="",Table3[[#This Row],[Account Legal Name]],Table3[[#This Row],[Top Parent Account]])</f>
        <v>Templados del Centro</v>
      </c>
      <c r="H6235" s="1"/>
    </row>
    <row r="6236" spans="1:8" x14ac:dyDescent="0.35">
      <c r="A6236" s="21"/>
      <c r="B6236" t="s">
        <v>121</v>
      </c>
      <c r="C6236" t="s">
        <v>6</v>
      </c>
      <c r="D6236" t="s">
        <v>1618</v>
      </c>
      <c r="F6236" s="1">
        <v>45734</v>
      </c>
      <c r="G6236" t="str">
        <f>IF(Table3[[#This Row],[Top Parent Account]]="",Table3[[#This Row],[Account Legal Name]],Table3[[#This Row],[Top Parent Account]])</f>
        <v>Nutriesence</v>
      </c>
      <c r="H6236" s="1"/>
    </row>
    <row r="6237" spans="1:8" x14ac:dyDescent="0.35">
      <c r="A6237" s="21"/>
      <c r="B6237" t="s">
        <v>32</v>
      </c>
      <c r="C6237" t="s">
        <v>6</v>
      </c>
      <c r="D6237" t="s">
        <v>355</v>
      </c>
      <c r="F6237" s="1">
        <v>45734</v>
      </c>
      <c r="G6237" t="str">
        <f>IF(Table3[[#This Row],[Top Parent Account]]="",Table3[[#This Row],[Account Legal Name]],Table3[[#This Row],[Top Parent Account]])</f>
        <v>Foli de México</v>
      </c>
      <c r="H6237" s="1"/>
    </row>
    <row r="6238" spans="1:8" x14ac:dyDescent="0.35">
      <c r="A6238" s="21"/>
      <c r="B6238" t="s">
        <v>20</v>
      </c>
      <c r="C6238" t="s">
        <v>6</v>
      </c>
      <c r="D6238" t="s">
        <v>1619</v>
      </c>
      <c r="F6238" s="1">
        <v>45734</v>
      </c>
      <c r="G6238" t="str">
        <f>IF(Table3[[#This Row],[Top Parent Account]]="",Table3[[#This Row],[Account Legal Name]],Table3[[#This Row],[Top Parent Account]])</f>
        <v>Sociedad Cooperativa De Transporte De Segunda Clase Ometochtli</v>
      </c>
      <c r="H6238" s="1"/>
    </row>
    <row r="6239" spans="1:8" x14ac:dyDescent="0.35">
      <c r="A6239" s="21"/>
      <c r="B6239" t="s">
        <v>30</v>
      </c>
      <c r="C6239" t="s">
        <v>6</v>
      </c>
      <c r="D6239" t="s">
        <v>61</v>
      </c>
      <c r="F6239" s="1">
        <v>45734</v>
      </c>
      <c r="G6239" t="str">
        <f>IF(Table3[[#This Row],[Top Parent Account]]="",Table3[[#This Row],[Account Legal Name]],Table3[[#This Row],[Top Parent Account]])</f>
        <v>Arabela</v>
      </c>
      <c r="H6239" s="1"/>
    </row>
    <row r="6240" spans="1:8" x14ac:dyDescent="0.35">
      <c r="A6240" s="21"/>
      <c r="B6240" t="s">
        <v>969</v>
      </c>
      <c r="C6240" t="s">
        <v>6</v>
      </c>
      <c r="D6240" t="s">
        <v>732</v>
      </c>
      <c r="F6240" s="1">
        <v>45734</v>
      </c>
      <c r="G6240" t="str">
        <f>IF(Table3[[#This Row],[Top Parent Account]]="",Table3[[#This Row],[Account Legal Name]],Table3[[#This Row],[Top Parent Account]])</f>
        <v>Aura Proyectos Sustentables</v>
      </c>
      <c r="H6240" s="1"/>
    </row>
    <row r="6241" spans="1:8" x14ac:dyDescent="0.35">
      <c r="A6241" s="21"/>
      <c r="B6241" t="s">
        <v>258</v>
      </c>
      <c r="C6241" t="s">
        <v>6</v>
      </c>
      <c r="D6241" t="s">
        <v>1620</v>
      </c>
      <c r="F6241" s="1">
        <v>45734</v>
      </c>
      <c r="G6241" t="str">
        <f>IF(Table3[[#This Row],[Top Parent Account]]="",Table3[[#This Row],[Account Legal Name]],Table3[[#This Row],[Top Parent Account]])</f>
        <v>Estructuras Metalicas Argo</v>
      </c>
      <c r="H6241" s="1"/>
    </row>
    <row r="6242" spans="1:8" x14ac:dyDescent="0.35">
      <c r="A6242" s="21"/>
      <c r="B6242" t="s">
        <v>169</v>
      </c>
      <c r="C6242" t="s">
        <v>6</v>
      </c>
      <c r="D6242" t="s">
        <v>213</v>
      </c>
      <c r="F6242" s="1">
        <v>45734</v>
      </c>
      <c r="G6242" t="str">
        <f>IF(Table3[[#This Row],[Top Parent Account]]="",Table3[[#This Row],[Account Legal Name]],Table3[[#This Row],[Top Parent Account]])</f>
        <v>Fabrica de Dulces Miguelito</v>
      </c>
      <c r="H6242" s="1"/>
    </row>
    <row r="6243" spans="1:8" x14ac:dyDescent="0.35">
      <c r="A6243" s="21"/>
      <c r="B6243" t="s">
        <v>1006</v>
      </c>
      <c r="C6243" t="s">
        <v>6</v>
      </c>
      <c r="D6243" t="s">
        <v>1621</v>
      </c>
      <c r="F6243" s="1">
        <v>45734</v>
      </c>
      <c r="G6243" t="str">
        <f>IF(Table3[[#This Row],[Top Parent Account]]="",Table3[[#This Row],[Account Legal Name]],Table3[[#This Row],[Top Parent Account]])</f>
        <v>TRANSPORTES ESPECIALIZADOS LT</v>
      </c>
      <c r="H6243" s="1"/>
    </row>
    <row r="6244" spans="1:8" x14ac:dyDescent="0.35">
      <c r="A6244" s="21"/>
      <c r="B6244" t="s">
        <v>51</v>
      </c>
      <c r="C6244" t="s">
        <v>6</v>
      </c>
      <c r="D6244" t="s">
        <v>454</v>
      </c>
      <c r="F6244" s="1">
        <v>45734</v>
      </c>
      <c r="G6244" t="str">
        <f>IF(Table3[[#This Row],[Top Parent Account]]="",Table3[[#This Row],[Account Legal Name]],Table3[[#This Row],[Top Parent Account]])</f>
        <v>T Maquinaria</v>
      </c>
      <c r="H6244" s="1"/>
    </row>
    <row r="6245" spans="1:8" x14ac:dyDescent="0.35">
      <c r="A6245" s="21"/>
      <c r="B6245" t="s">
        <v>26</v>
      </c>
      <c r="C6245" t="s">
        <v>6</v>
      </c>
      <c r="D6245" t="s">
        <v>459</v>
      </c>
      <c r="E6245" t="s">
        <v>34</v>
      </c>
      <c r="F6245" s="1">
        <v>45734</v>
      </c>
      <c r="G6245" t="str">
        <f>IF(Table3[[#This Row],[Top Parent Account]]="",Table3[[#This Row],[Account Legal Name]],Table3[[#This Row],[Top Parent Account]])</f>
        <v>Haas Machine Tools</v>
      </c>
      <c r="H6245" s="1"/>
    </row>
    <row r="6246" spans="1:8" x14ac:dyDescent="0.35">
      <c r="A6246" s="21"/>
      <c r="B6246" t="s">
        <v>286</v>
      </c>
      <c r="C6246" t="s">
        <v>6</v>
      </c>
      <c r="D6246" t="s">
        <v>378</v>
      </c>
      <c r="F6246" s="1">
        <v>45734</v>
      </c>
      <c r="G6246" t="str">
        <f>IF(Table3[[#This Row],[Top Parent Account]]="",Table3[[#This Row],[Account Legal Name]],Table3[[#This Row],[Top Parent Account]])</f>
        <v>Industrias Memper</v>
      </c>
      <c r="H6246" s="1"/>
    </row>
    <row r="6247" spans="1:8" x14ac:dyDescent="0.35">
      <c r="A6247" s="21"/>
      <c r="B6247" t="s">
        <v>88</v>
      </c>
      <c r="C6247" t="s">
        <v>22</v>
      </c>
      <c r="D6247" t="s">
        <v>588</v>
      </c>
      <c r="F6247" s="1">
        <v>45734</v>
      </c>
      <c r="G6247" t="str">
        <f>IF(Table3[[#This Row],[Top Parent Account]]="",Table3[[#This Row],[Account Legal Name]],Table3[[#This Row],[Top Parent Account]])</f>
        <v>PACKLAB</v>
      </c>
      <c r="H6247" s="1"/>
    </row>
    <row r="6248" spans="1:8" x14ac:dyDescent="0.35">
      <c r="A6248" s="21"/>
      <c r="B6248" t="s">
        <v>70</v>
      </c>
      <c r="C6248" t="s">
        <v>22</v>
      </c>
      <c r="D6248" t="s">
        <v>203</v>
      </c>
      <c r="F6248" s="1">
        <v>45734</v>
      </c>
      <c r="G6248" t="str">
        <f>IF(Table3[[#This Row],[Top Parent Account]]="",Table3[[#This Row],[Account Legal Name]],Table3[[#This Row],[Top Parent Account]])</f>
        <v>Fundación De Asistencia Privada Conde De Valenciana</v>
      </c>
      <c r="H6248" s="1"/>
    </row>
    <row r="6249" spans="1:8" x14ac:dyDescent="0.35">
      <c r="A6249" s="21"/>
      <c r="B6249" t="s">
        <v>4581</v>
      </c>
      <c r="C6249" t="s">
        <v>1622</v>
      </c>
      <c r="D6249" t="s">
        <v>240</v>
      </c>
      <c r="F6249" s="1">
        <v>45734</v>
      </c>
      <c r="G6249" t="str">
        <f>IF(Table3[[#This Row],[Top Parent Account]]="",Table3[[#This Row],[Account Legal Name]],Table3[[#This Row],[Top Parent Account]])</f>
        <v>Sigpack</v>
      </c>
      <c r="H6249" s="1"/>
    </row>
    <row r="6250" spans="1:8" x14ac:dyDescent="0.35">
      <c r="A6250" s="21"/>
      <c r="B6250" t="s">
        <v>880</v>
      </c>
      <c r="C6250" t="s">
        <v>1622</v>
      </c>
      <c r="D6250" t="s">
        <v>240</v>
      </c>
      <c r="F6250" s="1">
        <v>45734</v>
      </c>
      <c r="G6250" t="str">
        <f>IF(Table3[[#This Row],[Top Parent Account]]="",Table3[[#This Row],[Account Legal Name]],Table3[[#This Row],[Top Parent Account]])</f>
        <v>Sigpack</v>
      </c>
      <c r="H6250" s="1"/>
    </row>
    <row r="6251" spans="1:8" x14ac:dyDescent="0.35">
      <c r="A6251" s="21"/>
      <c r="B6251" t="s">
        <v>54</v>
      </c>
      <c r="C6251" t="s">
        <v>1622</v>
      </c>
      <c r="D6251" t="s">
        <v>240</v>
      </c>
      <c r="F6251" s="1">
        <v>45734</v>
      </c>
      <c r="G6251" t="str">
        <f>IF(Table3[[#This Row],[Top Parent Account]]="",Table3[[#This Row],[Account Legal Name]],Table3[[#This Row],[Top Parent Account]])</f>
        <v>Sigpack</v>
      </c>
      <c r="H6251" s="1"/>
    </row>
    <row r="6252" spans="1:8" x14ac:dyDescent="0.35">
      <c r="A6252" s="21"/>
      <c r="B6252" t="s">
        <v>1031</v>
      </c>
      <c r="C6252" t="s">
        <v>6</v>
      </c>
      <c r="D6252" t="s">
        <v>1624</v>
      </c>
      <c r="F6252" s="1">
        <v>45734</v>
      </c>
      <c r="G6252" t="str">
        <f>IF(Table3[[#This Row],[Top Parent Account]]="",Table3[[#This Row],[Account Legal Name]],Table3[[#This Row],[Top Parent Account]])</f>
        <v>RH Urban Developers</v>
      </c>
      <c r="H6252" s="1"/>
    </row>
    <row r="6253" spans="1:8" x14ac:dyDescent="0.35">
      <c r="A6253" s="21"/>
      <c r="B6253" t="s">
        <v>932</v>
      </c>
      <c r="C6253" t="s">
        <v>1623</v>
      </c>
      <c r="D6253" t="s">
        <v>1488</v>
      </c>
      <c r="F6253" s="1">
        <v>45734</v>
      </c>
      <c r="G6253" t="str">
        <f>IF(Table3[[#This Row],[Top Parent Account]]="",Table3[[#This Row],[Account Legal Name]],Table3[[#This Row],[Top Parent Account]])</f>
        <v>Troquelados Modulares</v>
      </c>
      <c r="H6253" s="1"/>
    </row>
    <row r="6254" spans="1:8" x14ac:dyDescent="0.35">
      <c r="A6254" s="21"/>
      <c r="B6254" t="s">
        <v>258</v>
      </c>
      <c r="C6254" t="s">
        <v>6</v>
      </c>
      <c r="D6254" t="s">
        <v>1492</v>
      </c>
      <c r="F6254" s="1">
        <v>45734</v>
      </c>
      <c r="G6254" t="str">
        <f>IF(Table3[[#This Row],[Top Parent Account]]="",Table3[[#This Row],[Account Legal Name]],Table3[[#This Row],[Top Parent Account]])</f>
        <v>Omega Aleaciones</v>
      </c>
      <c r="H6254" s="1"/>
    </row>
    <row r="6255" spans="1:8" x14ac:dyDescent="0.35">
      <c r="A6255" s="21"/>
      <c r="B6255" t="s">
        <v>77</v>
      </c>
      <c r="C6255" t="s">
        <v>6</v>
      </c>
      <c r="D6255" t="s">
        <v>766</v>
      </c>
      <c r="F6255" s="1">
        <v>45734</v>
      </c>
      <c r="G6255" t="str">
        <f>IF(Table3[[#This Row],[Top Parent Account]]="",Table3[[#This Row],[Account Legal Name]],Table3[[#This Row],[Top Parent Account]])</f>
        <v>Aditivos y Recubrimientos Técnicos</v>
      </c>
      <c r="H6255" s="1"/>
    </row>
    <row r="6256" spans="1:8" x14ac:dyDescent="0.35">
      <c r="A6256" s="21"/>
      <c r="B6256" t="s">
        <v>30</v>
      </c>
      <c r="C6256" t="s">
        <v>6</v>
      </c>
      <c r="D6256" t="s">
        <v>1177</v>
      </c>
      <c r="F6256" s="1">
        <v>45734</v>
      </c>
      <c r="G6256" t="str">
        <f>IF(Table3[[#This Row],[Top Parent Account]]="",Table3[[#This Row],[Account Legal Name]],Table3[[#This Row],[Top Parent Account]])</f>
        <v>Plásticos Alica</v>
      </c>
      <c r="H6256" s="1"/>
    </row>
    <row r="6257" spans="1:8" x14ac:dyDescent="0.35">
      <c r="A6257" s="21"/>
      <c r="B6257" t="s">
        <v>207</v>
      </c>
      <c r="C6257" t="s">
        <v>6</v>
      </c>
      <c r="D6257" t="s">
        <v>1625</v>
      </c>
      <c r="F6257" s="1">
        <v>45734</v>
      </c>
      <c r="G6257" t="str">
        <f>IF(Table3[[#This Row],[Top Parent Account]]="",Table3[[#This Row],[Account Legal Name]],Table3[[#This Row],[Top Parent Account]])</f>
        <v>Itolsa Agricola</v>
      </c>
      <c r="H6257" s="1"/>
    </row>
    <row r="6258" spans="1:8" x14ac:dyDescent="0.35">
      <c r="A6258" s="21"/>
      <c r="B6258" t="s">
        <v>84</v>
      </c>
      <c r="C6258" t="s">
        <v>218</v>
      </c>
      <c r="D6258" t="s">
        <v>118</v>
      </c>
      <c r="F6258" s="1">
        <v>45734</v>
      </c>
      <c r="G6258" t="str">
        <f>IF(Table3[[#This Row],[Top Parent Account]]="",Table3[[#This Row],[Account Legal Name]],Table3[[#This Row],[Top Parent Account]])</f>
        <v>Logística y Soluciones Roan</v>
      </c>
      <c r="H6258" s="1"/>
    </row>
    <row r="6259" spans="1:8" x14ac:dyDescent="0.35">
      <c r="A6259" s="21"/>
      <c r="B6259" t="s">
        <v>10</v>
      </c>
      <c r="C6259" t="s">
        <v>6</v>
      </c>
      <c r="D6259" t="s">
        <v>1503</v>
      </c>
      <c r="F6259" s="1">
        <v>45734</v>
      </c>
      <c r="G6259" t="str">
        <f>IF(Table3[[#This Row],[Top Parent Account]]="",Table3[[#This Row],[Account Legal Name]],Table3[[#This Row],[Top Parent Account]])</f>
        <v>Metalfrio Solutions México</v>
      </c>
      <c r="H6259" s="1"/>
    </row>
    <row r="6260" spans="1:8" x14ac:dyDescent="0.35">
      <c r="A6260" s="21"/>
      <c r="B6260" t="s">
        <v>192</v>
      </c>
      <c r="C6260" t="s">
        <v>49</v>
      </c>
      <c r="D6260" t="s">
        <v>1346</v>
      </c>
      <c r="F6260" s="1">
        <v>45734</v>
      </c>
      <c r="G6260" t="str">
        <f>IF(Table3[[#This Row],[Top Parent Account]]="",Table3[[#This Row],[Account Legal Name]],Table3[[#This Row],[Top Parent Account]])</f>
        <v>361 Grados Logística P.O.P.</v>
      </c>
      <c r="H6260" s="1"/>
    </row>
    <row r="6261" spans="1:8" x14ac:dyDescent="0.35">
      <c r="A6261" s="21"/>
      <c r="B6261" t="s">
        <v>258</v>
      </c>
      <c r="C6261" t="s">
        <v>6</v>
      </c>
      <c r="D6261" t="s">
        <v>1626</v>
      </c>
      <c r="F6261" s="1">
        <v>45734</v>
      </c>
      <c r="G6261" t="str">
        <f>IF(Table3[[#This Row],[Top Parent Account]]="",Table3[[#This Row],[Account Legal Name]],Table3[[#This Row],[Top Parent Account]])</f>
        <v>MATERIALES DE RECICLAJE RAMIREZ</v>
      </c>
      <c r="H6261" s="1"/>
    </row>
    <row r="6262" spans="1:8" x14ac:dyDescent="0.35">
      <c r="A6262" s="21"/>
      <c r="B6262" t="s">
        <v>32</v>
      </c>
      <c r="C6262" t="s">
        <v>6</v>
      </c>
      <c r="D6262" t="s">
        <v>326</v>
      </c>
      <c r="F6262" s="1">
        <v>45733</v>
      </c>
      <c r="G6262" t="str">
        <f>IF(Table3[[#This Row],[Top Parent Account]]="",Table3[[#This Row],[Account Legal Name]],Table3[[#This Row],[Top Parent Account]])</f>
        <v>Grupo Azucarero del Tropico</v>
      </c>
      <c r="H6262" s="1"/>
    </row>
    <row r="6263" spans="1:8" x14ac:dyDescent="0.35">
      <c r="A6263" s="21"/>
      <c r="B6263" t="s">
        <v>18</v>
      </c>
      <c r="C6263" t="s">
        <v>6</v>
      </c>
      <c r="D6263" t="s">
        <v>1469</v>
      </c>
      <c r="E6263" t="s">
        <v>4192</v>
      </c>
      <c r="F6263" s="1">
        <v>45730</v>
      </c>
      <c r="G6263" t="str">
        <f>IF(Table3[[#This Row],[Top Parent Account]]="",Table3[[#This Row],[Account Legal Name]],Table3[[#This Row],[Top Parent Account]])</f>
        <v>Border Freight</v>
      </c>
      <c r="H6263" s="1"/>
    </row>
    <row r="6264" spans="1:8" x14ac:dyDescent="0.35">
      <c r="A6264" s="21"/>
      <c r="B6264" t="s">
        <v>10</v>
      </c>
      <c r="C6264" t="s">
        <v>6</v>
      </c>
      <c r="D6264" t="s">
        <v>445</v>
      </c>
      <c r="F6264" s="1">
        <v>45730</v>
      </c>
      <c r="G6264" t="str">
        <f>IF(Table3[[#This Row],[Top Parent Account]]="",Table3[[#This Row],[Account Legal Name]],Table3[[#This Row],[Top Parent Account]])</f>
        <v>GRUPO CASA MAZATLAN</v>
      </c>
      <c r="H6264" s="1"/>
    </row>
    <row r="6265" spans="1:8" x14ac:dyDescent="0.35">
      <c r="A6265" s="21"/>
      <c r="B6265" t="s">
        <v>30</v>
      </c>
      <c r="C6265" t="s">
        <v>6</v>
      </c>
      <c r="D6265" t="s">
        <v>515</v>
      </c>
      <c r="F6265" s="1">
        <v>45730</v>
      </c>
      <c r="G6265" t="str">
        <f>IF(Table3[[#This Row],[Top Parent Account]]="",Table3[[#This Row],[Account Legal Name]],Table3[[#This Row],[Top Parent Account]])</f>
        <v>Grupo Empresarial BSV</v>
      </c>
      <c r="H6265" s="1"/>
    </row>
    <row r="6266" spans="1:8" x14ac:dyDescent="0.35">
      <c r="A6266" s="21"/>
      <c r="B6266" t="s">
        <v>21</v>
      </c>
      <c r="C6266" t="s">
        <v>6</v>
      </c>
      <c r="D6266" t="s">
        <v>1470</v>
      </c>
      <c r="F6266" s="1">
        <v>45730</v>
      </c>
      <c r="G6266" t="str">
        <f>IF(Table3[[#This Row],[Top Parent Account]]="",Table3[[#This Row],[Account Legal Name]],Table3[[#This Row],[Top Parent Account]])</f>
        <v>Evolutia Construcciones e Infraestructura</v>
      </c>
      <c r="H6266" s="1"/>
    </row>
    <row r="6267" spans="1:8" x14ac:dyDescent="0.35">
      <c r="A6267" s="21"/>
      <c r="B6267" t="s">
        <v>12</v>
      </c>
      <c r="C6267" t="s">
        <v>6</v>
      </c>
      <c r="D6267" t="s">
        <v>557</v>
      </c>
      <c r="F6267" s="1">
        <v>45730</v>
      </c>
      <c r="G6267" t="str">
        <f>IF(Table3[[#This Row],[Top Parent Account]]="",Table3[[#This Row],[Account Legal Name]],Table3[[#This Row],[Top Parent Account]])</f>
        <v>Celulares y Accesorios del Sureste S.A.</v>
      </c>
      <c r="H6267" s="1"/>
    </row>
    <row r="6268" spans="1:8" x14ac:dyDescent="0.35">
      <c r="A6268" s="21"/>
      <c r="B6268" t="s">
        <v>37</v>
      </c>
      <c r="C6268" t="s">
        <v>6</v>
      </c>
      <c r="D6268" t="s">
        <v>877</v>
      </c>
      <c r="F6268" s="1">
        <v>45730</v>
      </c>
      <c r="G6268" t="str">
        <f>IF(Table3[[#This Row],[Top Parent Account]]="",Table3[[#This Row],[Account Legal Name]],Table3[[#This Row],[Top Parent Account]])</f>
        <v>La Azteca Construcciones y Urbanizaciones</v>
      </c>
      <c r="H6268" s="1"/>
    </row>
    <row r="6269" spans="1:8" x14ac:dyDescent="0.35">
      <c r="A6269" s="21"/>
      <c r="B6269" t="s">
        <v>28</v>
      </c>
      <c r="C6269" t="s">
        <v>6</v>
      </c>
      <c r="D6269" t="s">
        <v>911</v>
      </c>
      <c r="F6269" s="1">
        <v>45730</v>
      </c>
      <c r="G6269" t="str">
        <f>IF(Table3[[#This Row],[Top Parent Account]]="",Table3[[#This Row],[Account Legal Name]],Table3[[#This Row],[Top Parent Account]])</f>
        <v>Industrias Proacero Monterrey</v>
      </c>
      <c r="H6269" s="1"/>
    </row>
    <row r="6270" spans="1:8" x14ac:dyDescent="0.35">
      <c r="A6270" s="21"/>
      <c r="B6270" t="s">
        <v>1031</v>
      </c>
      <c r="C6270" t="s">
        <v>6</v>
      </c>
      <c r="D6270" t="s">
        <v>1446</v>
      </c>
      <c r="F6270" s="1">
        <v>45730</v>
      </c>
      <c r="G6270" t="str">
        <f>IF(Table3[[#This Row],[Top Parent Account]]="",Table3[[#This Row],[Account Legal Name]],Table3[[#This Row],[Top Parent Account]])</f>
        <v>GDI Grupo Diamante Internacional</v>
      </c>
      <c r="H6270" s="1"/>
    </row>
    <row r="6271" spans="1:8" x14ac:dyDescent="0.35">
      <c r="A6271" s="21"/>
      <c r="B6271" t="s">
        <v>28</v>
      </c>
      <c r="C6271" t="s">
        <v>6</v>
      </c>
      <c r="D6271" t="s">
        <v>1471</v>
      </c>
      <c r="F6271" s="1">
        <v>45730</v>
      </c>
      <c r="G6271" t="str">
        <f>IF(Table3[[#This Row],[Top Parent Account]]="",Table3[[#This Row],[Account Legal Name]],Table3[[#This Row],[Top Parent Account]])</f>
        <v>GERARDO ABRAHAM CABALLERO VALADEZ</v>
      </c>
      <c r="H6271" s="1"/>
    </row>
    <row r="6272" spans="1:8" x14ac:dyDescent="0.35">
      <c r="A6272" s="21"/>
      <c r="B6272" t="s">
        <v>37</v>
      </c>
      <c r="C6272" t="s">
        <v>6</v>
      </c>
      <c r="D6272" t="s">
        <v>1447</v>
      </c>
      <c r="F6272" s="1">
        <v>45730</v>
      </c>
      <c r="G6272" t="str">
        <f>IF(Table3[[#This Row],[Top Parent Account]]="",Table3[[#This Row],[Account Legal Name]],Table3[[#This Row],[Top Parent Account]])</f>
        <v>Hieleria Veracruz</v>
      </c>
      <c r="H6272" s="1"/>
    </row>
    <row r="6273" spans="1:8" x14ac:dyDescent="0.35">
      <c r="A6273" s="21"/>
      <c r="B6273" t="s">
        <v>589</v>
      </c>
      <c r="C6273" t="s">
        <v>6</v>
      </c>
      <c r="D6273" t="s">
        <v>1448</v>
      </c>
      <c r="F6273" s="1">
        <v>45730</v>
      </c>
      <c r="G6273" t="str">
        <f>IF(Table3[[#This Row],[Top Parent Account]]="",Table3[[#This Row],[Account Legal Name]],Table3[[#This Row],[Top Parent Account]])</f>
        <v>ALEJANDRO VALEDES</v>
      </c>
      <c r="H6273" s="1"/>
    </row>
    <row r="6274" spans="1:8" x14ac:dyDescent="0.35">
      <c r="A6274" s="21"/>
      <c r="B6274" t="s">
        <v>12</v>
      </c>
      <c r="C6274" t="s">
        <v>6</v>
      </c>
      <c r="D6274" t="s">
        <v>1449</v>
      </c>
      <c r="F6274" s="1">
        <v>45730</v>
      </c>
      <c r="G6274" t="str">
        <f>IF(Table3[[#This Row],[Top Parent Account]]="",Table3[[#This Row],[Account Legal Name]],Table3[[#This Row],[Top Parent Account]])</f>
        <v>medicina electricidad y construccion</v>
      </c>
      <c r="H6274" s="1"/>
    </row>
    <row r="6275" spans="1:8" x14ac:dyDescent="0.35">
      <c r="A6275" s="21"/>
      <c r="B6275" t="s">
        <v>589</v>
      </c>
      <c r="C6275" t="s">
        <v>6</v>
      </c>
      <c r="D6275" t="s">
        <v>1450</v>
      </c>
      <c r="F6275" s="1">
        <v>45730</v>
      </c>
      <c r="G6275" t="str">
        <f>IF(Table3[[#This Row],[Top Parent Account]]="",Table3[[#This Row],[Account Legal Name]],Table3[[#This Row],[Top Parent Account]])</f>
        <v>Materiales Sta Fe</v>
      </c>
      <c r="H6275" s="1"/>
    </row>
    <row r="6276" spans="1:8" x14ac:dyDescent="0.35">
      <c r="A6276" s="21"/>
      <c r="B6276" t="s">
        <v>30</v>
      </c>
      <c r="C6276" t="s">
        <v>6</v>
      </c>
      <c r="D6276" t="s">
        <v>494</v>
      </c>
      <c r="F6276" s="1">
        <v>45730</v>
      </c>
      <c r="G6276" t="str">
        <f>IF(Table3[[#This Row],[Top Parent Account]]="",Table3[[#This Row],[Account Legal Name]],Table3[[#This Row],[Top Parent Account]])</f>
        <v>ISL TRANSPORTES</v>
      </c>
      <c r="H6276" s="1"/>
    </row>
    <row r="6277" spans="1:8" x14ac:dyDescent="0.35">
      <c r="A6277" s="21"/>
      <c r="B6277" t="s">
        <v>10</v>
      </c>
      <c r="C6277" t="s">
        <v>6</v>
      </c>
      <c r="D6277" t="s">
        <v>451</v>
      </c>
      <c r="F6277" s="1">
        <v>45730</v>
      </c>
      <c r="G6277" t="str">
        <f>IF(Table3[[#This Row],[Top Parent Account]]="",Table3[[#This Row],[Account Legal Name]],Table3[[#This Row],[Top Parent Account]])</f>
        <v>Distribuidora y Comercializadora Dcc</v>
      </c>
      <c r="H6277" s="1"/>
    </row>
    <row r="6278" spans="1:8" x14ac:dyDescent="0.35">
      <c r="A6278" s="21"/>
      <c r="B6278" t="s">
        <v>26</v>
      </c>
      <c r="C6278" t="s">
        <v>6</v>
      </c>
      <c r="D6278" t="s">
        <v>483</v>
      </c>
      <c r="F6278" s="1">
        <v>45730</v>
      </c>
      <c r="G6278" t="str">
        <f>IF(Table3[[#This Row],[Top Parent Account]]="",Table3[[#This Row],[Account Legal Name]],Table3[[#This Row],[Top Parent Account]])</f>
        <v>Entretelas Brinco</v>
      </c>
      <c r="H6278" s="1"/>
    </row>
    <row r="6279" spans="1:8" x14ac:dyDescent="0.35">
      <c r="A6279" s="21"/>
      <c r="B6279" t="s">
        <v>590</v>
      </c>
      <c r="C6279" t="s">
        <v>6</v>
      </c>
      <c r="D6279" t="s">
        <v>1451</v>
      </c>
      <c r="F6279" s="1">
        <v>45730</v>
      </c>
      <c r="G6279" t="str">
        <f>IF(Table3[[#This Row],[Top Parent Account]]="",Table3[[#This Row],[Account Legal Name]],Table3[[#This Row],[Top Parent Account]])</f>
        <v>Tostadas y Botanas Premium</v>
      </c>
      <c r="H6279" s="1"/>
    </row>
    <row r="6280" spans="1:8" x14ac:dyDescent="0.35">
      <c r="A6280" s="21"/>
      <c r="B6280" t="s">
        <v>38</v>
      </c>
      <c r="C6280" t="s">
        <v>6</v>
      </c>
      <c r="D6280" t="s">
        <v>506</v>
      </c>
      <c r="F6280" s="1">
        <v>45730</v>
      </c>
      <c r="G6280" t="str">
        <f>IF(Table3[[#This Row],[Top Parent Account]]="",Table3[[#This Row],[Account Legal Name]],Table3[[#This Row],[Top Parent Account]])</f>
        <v>Grupo Acerero</v>
      </c>
      <c r="H6280" s="1"/>
    </row>
    <row r="6281" spans="1:8" x14ac:dyDescent="0.35">
      <c r="A6281" s="21"/>
      <c r="B6281" t="s">
        <v>925</v>
      </c>
      <c r="C6281" t="s">
        <v>6</v>
      </c>
      <c r="D6281" t="s">
        <v>1426</v>
      </c>
      <c r="F6281" s="1">
        <v>45730</v>
      </c>
      <c r="G6281" t="str">
        <f>IF(Table3[[#This Row],[Top Parent Account]]="",Table3[[#This Row],[Account Legal Name]],Table3[[#This Row],[Top Parent Account]])</f>
        <v>Silodisa Servicio Integral De Logística y Distribución</v>
      </c>
      <c r="H6281" s="1"/>
    </row>
    <row r="6282" spans="1:8" x14ac:dyDescent="0.35">
      <c r="A6282" s="21"/>
      <c r="B6282" t="s">
        <v>37</v>
      </c>
      <c r="C6282" t="s">
        <v>6</v>
      </c>
      <c r="D6282" t="s">
        <v>924</v>
      </c>
      <c r="F6282" s="1">
        <v>45729</v>
      </c>
      <c r="G6282" t="str">
        <f>IF(Table3[[#This Row],[Top Parent Account]]="",Table3[[#This Row],[Account Legal Name]],Table3[[#This Row],[Top Parent Account]])</f>
        <v>Itzcoatl Drilling &amp; Services</v>
      </c>
      <c r="H6282" s="1"/>
    </row>
    <row r="6283" spans="1:8" x14ac:dyDescent="0.35">
      <c r="A6283" s="21"/>
      <c r="B6283" t="s">
        <v>172</v>
      </c>
      <c r="C6283" t="s">
        <v>6</v>
      </c>
      <c r="D6283" t="s">
        <v>655</v>
      </c>
      <c r="E6283" t="s">
        <v>660</v>
      </c>
      <c r="F6283" s="1">
        <v>45729</v>
      </c>
      <c r="G6283" t="str">
        <f>IF(Table3[[#This Row],[Top Parent Account]]="",Table3[[#This Row],[Account Legal Name]],Table3[[#This Row],[Top Parent Account]])</f>
        <v>Sociedad Ecologica Mexicana del Norte</v>
      </c>
      <c r="H6283" s="1"/>
    </row>
    <row r="6284" spans="1:8" x14ac:dyDescent="0.35">
      <c r="A6284" s="21"/>
      <c r="B6284" t="s">
        <v>77</v>
      </c>
      <c r="C6284" t="s">
        <v>6</v>
      </c>
      <c r="D6284" t="s">
        <v>1417</v>
      </c>
      <c r="E6284" t="s">
        <v>1614</v>
      </c>
      <c r="F6284" s="1">
        <v>45729</v>
      </c>
      <c r="G6284" t="str">
        <f>IF(Table3[[#This Row],[Top Parent Account]]="",Table3[[#This Row],[Account Legal Name]],Table3[[#This Row],[Top Parent Account]])</f>
        <v>A&amp;A Distribuidores Industriales</v>
      </c>
      <c r="H6284" s="1"/>
    </row>
    <row r="6285" spans="1:8" x14ac:dyDescent="0.35">
      <c r="A6285" s="21"/>
      <c r="B6285" t="s">
        <v>51</v>
      </c>
      <c r="C6285" t="s">
        <v>6</v>
      </c>
      <c r="D6285" t="s">
        <v>1000</v>
      </c>
      <c r="F6285" s="1">
        <v>45729</v>
      </c>
      <c r="G6285" t="str">
        <f>IF(Table3[[#This Row],[Top Parent Account]]="",Table3[[#This Row],[Account Legal Name]],Table3[[#This Row],[Top Parent Account]])</f>
        <v>PALETS, EMPAQUES Y EMBALAJES</v>
      </c>
      <c r="H6285" s="1"/>
    </row>
    <row r="6286" spans="1:8" x14ac:dyDescent="0.35">
      <c r="A6286" s="21"/>
      <c r="B6286" t="s">
        <v>28</v>
      </c>
      <c r="C6286" t="s">
        <v>6</v>
      </c>
      <c r="D6286" t="s">
        <v>1627</v>
      </c>
      <c r="F6286" s="1">
        <v>45729</v>
      </c>
      <c r="G6286" t="str">
        <f>IF(Table3[[#This Row],[Top Parent Account]]="",Table3[[#This Row],[Account Legal Name]],Table3[[#This Row],[Top Parent Account]])</f>
        <v>DYH MEXICANA</v>
      </c>
      <c r="H6286" s="1"/>
    </row>
    <row r="6287" spans="1:8" x14ac:dyDescent="0.35">
      <c r="A6287" s="21"/>
      <c r="B6287" t="s">
        <v>37</v>
      </c>
      <c r="C6287" t="s">
        <v>6</v>
      </c>
      <c r="D6287" t="s">
        <v>924</v>
      </c>
      <c r="F6287" s="1">
        <v>45729</v>
      </c>
      <c r="G6287" t="str">
        <f>IF(Table3[[#This Row],[Top Parent Account]]="",Table3[[#This Row],[Account Legal Name]],Table3[[#This Row],[Top Parent Account]])</f>
        <v>Itzcoatl Drilling &amp; Services</v>
      </c>
      <c r="H6287" s="1"/>
    </row>
    <row r="6288" spans="1:8" x14ac:dyDescent="0.35">
      <c r="A6288" s="21"/>
      <c r="B6288" t="s">
        <v>14</v>
      </c>
      <c r="C6288" t="s">
        <v>6</v>
      </c>
      <c r="D6288" t="s">
        <v>1452</v>
      </c>
      <c r="F6288" s="1">
        <v>45729</v>
      </c>
      <c r="G6288" t="str">
        <f>IF(Table3[[#This Row],[Top Parent Account]]="",Table3[[#This Row],[Account Legal Name]],Table3[[#This Row],[Top Parent Account]])</f>
        <v>Travel Fruits</v>
      </c>
      <c r="H6288" s="1"/>
    </row>
    <row r="6289" spans="1:8" x14ac:dyDescent="0.35">
      <c r="A6289" s="21"/>
      <c r="B6289" t="s">
        <v>172</v>
      </c>
      <c r="C6289" t="s">
        <v>6</v>
      </c>
      <c r="D6289" t="s">
        <v>1062</v>
      </c>
      <c r="F6289" s="1">
        <v>45729</v>
      </c>
      <c r="G6289" t="str">
        <f>IF(Table3[[#This Row],[Top Parent Account]]="",Table3[[#This Row],[Account Legal Name]],Table3[[#This Row],[Top Parent Account]])</f>
        <v>XIMPLE Logistics</v>
      </c>
      <c r="H6289" s="1"/>
    </row>
    <row r="6290" spans="1:8" x14ac:dyDescent="0.35">
      <c r="A6290" s="21"/>
      <c r="B6290" t="s">
        <v>28</v>
      </c>
      <c r="C6290" t="s">
        <v>6</v>
      </c>
      <c r="D6290" t="s">
        <v>1472</v>
      </c>
      <c r="F6290" s="1">
        <v>45729</v>
      </c>
      <c r="G6290" t="str">
        <f>IF(Table3[[#This Row],[Top Parent Account]]="",Table3[[#This Row],[Account Legal Name]],Table3[[#This Row],[Top Parent Account]])</f>
        <v>CIA YEPAL</v>
      </c>
      <c r="H6290" s="1"/>
    </row>
    <row r="6291" spans="1:8" x14ac:dyDescent="0.35">
      <c r="A6291" s="21"/>
      <c r="B6291" t="s">
        <v>37</v>
      </c>
      <c r="C6291" t="s">
        <v>6</v>
      </c>
      <c r="D6291" t="s">
        <v>1473</v>
      </c>
      <c r="F6291" s="1">
        <v>45729</v>
      </c>
      <c r="G6291" t="str">
        <f>IF(Table3[[#This Row],[Top Parent Account]]="",Table3[[#This Row],[Account Legal Name]],Table3[[#This Row],[Top Parent Account]])</f>
        <v>GRUPO CASTAL TRANSPORTE Y LOGISTICA</v>
      </c>
      <c r="H6291" s="1"/>
    </row>
    <row r="6292" spans="1:8" x14ac:dyDescent="0.35">
      <c r="A6292" s="21"/>
      <c r="B6292" t="s">
        <v>24</v>
      </c>
      <c r="C6292" t="s">
        <v>6</v>
      </c>
      <c r="D6292" t="s">
        <v>624</v>
      </c>
      <c r="F6292" s="1">
        <v>45729</v>
      </c>
      <c r="G6292" t="str">
        <f>IF(Table3[[#This Row],[Top Parent Account]]="",Table3[[#This Row],[Account Legal Name]],Table3[[#This Row],[Top Parent Account]])</f>
        <v>Grupo Viz</v>
      </c>
      <c r="H6292" s="1"/>
    </row>
    <row r="6293" spans="1:8" x14ac:dyDescent="0.35">
      <c r="A6293" s="21"/>
      <c r="B6293" t="s">
        <v>14</v>
      </c>
      <c r="C6293" t="s">
        <v>6</v>
      </c>
      <c r="D6293" t="s">
        <v>1077</v>
      </c>
      <c r="E6293" t="s">
        <v>1078</v>
      </c>
      <c r="F6293" s="1">
        <v>45729</v>
      </c>
      <c r="G6293" t="str">
        <f>IF(Table3[[#This Row],[Top Parent Account]]="",Table3[[#This Row],[Account Legal Name]],Table3[[#This Row],[Top Parent Account]])</f>
        <v>CAMPO HASS</v>
      </c>
      <c r="H6293" s="1"/>
    </row>
    <row r="6294" spans="1:8" x14ac:dyDescent="0.35">
      <c r="A6294" s="21"/>
      <c r="B6294" t="s">
        <v>10</v>
      </c>
      <c r="C6294" t="s">
        <v>6</v>
      </c>
      <c r="D6294" t="s">
        <v>1418</v>
      </c>
      <c r="F6294" s="1">
        <v>45729</v>
      </c>
      <c r="G6294" t="str">
        <f>IF(Table3[[#This Row],[Top Parent Account]]="",Table3[[#This Row],[Account Legal Name]],Table3[[#This Row],[Top Parent Account]])</f>
        <v>Proveedora De Materiales Peña</v>
      </c>
      <c r="H6294" s="1"/>
    </row>
    <row r="6295" spans="1:8" x14ac:dyDescent="0.35">
      <c r="A6295" s="21"/>
      <c r="B6295" t="s">
        <v>10</v>
      </c>
      <c r="C6295" t="s">
        <v>6</v>
      </c>
      <c r="D6295" t="s">
        <v>1418</v>
      </c>
      <c r="F6295" s="1">
        <v>45729</v>
      </c>
      <c r="G6295" t="str">
        <f>IF(Table3[[#This Row],[Top Parent Account]]="",Table3[[#This Row],[Account Legal Name]],Table3[[#This Row],[Top Parent Account]])</f>
        <v>Proveedora De Materiales Peña</v>
      </c>
      <c r="H6295" s="1"/>
    </row>
    <row r="6296" spans="1:8" x14ac:dyDescent="0.35">
      <c r="A6296" s="21"/>
      <c r="B6296" t="s">
        <v>970</v>
      </c>
      <c r="C6296" t="s">
        <v>6</v>
      </c>
      <c r="D6296" t="s">
        <v>307</v>
      </c>
      <c r="F6296" s="1">
        <v>45729</v>
      </c>
      <c r="G6296" t="str">
        <f>IF(Table3[[#This Row],[Top Parent Account]]="",Table3[[#This Row],[Account Legal Name]],Table3[[#This Row],[Top Parent Account]])</f>
        <v>Thor Urbana</v>
      </c>
      <c r="H6296" s="1"/>
    </row>
    <row r="6297" spans="1:8" x14ac:dyDescent="0.35">
      <c r="A6297" s="21"/>
      <c r="B6297" t="s">
        <v>27</v>
      </c>
      <c r="C6297" t="s">
        <v>1453</v>
      </c>
      <c r="D6297" t="s">
        <v>1454</v>
      </c>
      <c r="F6297" s="1">
        <v>45729</v>
      </c>
      <c r="G6297" t="str">
        <f>IF(Table3[[#This Row],[Top Parent Account]]="",Table3[[#This Row],[Account Legal Name]],Table3[[#This Row],[Top Parent Account]])</f>
        <v>Tuercas y Abrazaderas Ensa</v>
      </c>
      <c r="H6297" s="1"/>
    </row>
    <row r="6298" spans="1:8" x14ac:dyDescent="0.35">
      <c r="A6298" s="21"/>
      <c r="B6298" t="s">
        <v>1131</v>
      </c>
      <c r="C6298" t="s">
        <v>6</v>
      </c>
      <c r="D6298" t="s">
        <v>1419</v>
      </c>
      <c r="F6298" s="1">
        <v>45729</v>
      </c>
      <c r="G6298" t="str">
        <f>IF(Table3[[#This Row],[Top Parent Account]]="",Table3[[#This Row],[Account Legal Name]],Table3[[#This Row],[Top Parent Account]])</f>
        <v>Diseñadora y Comercializadora</v>
      </c>
      <c r="H6298" s="1"/>
    </row>
    <row r="6299" spans="1:8" x14ac:dyDescent="0.35">
      <c r="A6299" s="21"/>
      <c r="B6299" t="s">
        <v>77</v>
      </c>
      <c r="C6299" t="s">
        <v>6</v>
      </c>
      <c r="D6299" t="s">
        <v>1420</v>
      </c>
      <c r="F6299" s="1">
        <v>45729</v>
      </c>
      <c r="G6299" t="str">
        <f>IF(Table3[[#This Row],[Top Parent Account]]="",Table3[[#This Row],[Account Legal Name]],Table3[[#This Row],[Top Parent Account]])</f>
        <v>Union De Ganaderos Lecheros De Juarez</v>
      </c>
      <c r="H6299" s="1"/>
    </row>
    <row r="6300" spans="1:8" x14ac:dyDescent="0.35">
      <c r="A6300" s="21"/>
      <c r="B6300" t="s">
        <v>30</v>
      </c>
      <c r="C6300" t="s">
        <v>6</v>
      </c>
      <c r="D6300" t="s">
        <v>690</v>
      </c>
      <c r="E6300" t="s">
        <v>1218</v>
      </c>
      <c r="F6300" s="1">
        <v>45729</v>
      </c>
      <c r="G6300" t="str">
        <f>IF(Table3[[#This Row],[Top Parent Account]]="",Table3[[#This Row],[Account Legal Name]],Table3[[#This Row],[Top Parent Account]])</f>
        <v>Grupo Vazol (Grupo Empresarial Angeles)</v>
      </c>
      <c r="H6300" s="1"/>
    </row>
    <row r="6301" spans="1:8" x14ac:dyDescent="0.35">
      <c r="A6301" s="21"/>
      <c r="B6301" t="s">
        <v>590</v>
      </c>
      <c r="C6301" t="s">
        <v>6</v>
      </c>
      <c r="D6301" t="s">
        <v>1474</v>
      </c>
      <c r="F6301" s="1">
        <v>45729</v>
      </c>
      <c r="G6301" t="str">
        <f>IF(Table3[[#This Row],[Top Parent Account]]="",Table3[[#This Row],[Account Legal Name]],Table3[[#This Row],[Top Parent Account]])</f>
        <v>Laboratorios Corne</v>
      </c>
      <c r="H6301" s="1"/>
    </row>
    <row r="6302" spans="1:8" x14ac:dyDescent="0.35">
      <c r="A6302" s="21"/>
      <c r="B6302" t="s">
        <v>589</v>
      </c>
      <c r="C6302" t="s">
        <v>6</v>
      </c>
      <c r="D6302" t="s">
        <v>1455</v>
      </c>
      <c r="F6302" s="1">
        <v>45729</v>
      </c>
      <c r="G6302" t="str">
        <f>IF(Table3[[#This Row],[Top Parent Account]]="",Table3[[#This Row],[Account Legal Name]],Table3[[#This Row],[Top Parent Account]])</f>
        <v>Agroindrustrias gramex</v>
      </c>
      <c r="H6302" s="1"/>
    </row>
    <row r="6303" spans="1:8" x14ac:dyDescent="0.35">
      <c r="A6303" s="21"/>
      <c r="B6303" t="s">
        <v>589</v>
      </c>
      <c r="C6303" t="s">
        <v>6</v>
      </c>
      <c r="D6303" t="s">
        <v>1456</v>
      </c>
      <c r="F6303" s="1">
        <v>45729</v>
      </c>
      <c r="G6303" t="str">
        <f>IF(Table3[[#This Row],[Top Parent Account]]="",Table3[[#This Row],[Account Legal Name]],Table3[[#This Row],[Top Parent Account]])</f>
        <v>Almanza Villarreal Agencia Aduanal</v>
      </c>
      <c r="H6303" s="1"/>
    </row>
    <row r="6304" spans="1:8" x14ac:dyDescent="0.35">
      <c r="A6304" s="21"/>
      <c r="B6304" t="s">
        <v>78</v>
      </c>
      <c r="C6304" t="s">
        <v>6</v>
      </c>
      <c r="D6304" t="s">
        <v>1421</v>
      </c>
      <c r="F6304" s="1">
        <v>45729</v>
      </c>
      <c r="G6304" t="str">
        <f>IF(Table3[[#This Row],[Top Parent Account]]="",Table3[[#This Row],[Account Legal Name]],Table3[[#This Row],[Top Parent Account]])</f>
        <v>CANTERA MONBASA</v>
      </c>
      <c r="H6304" s="1"/>
    </row>
    <row r="6305" spans="1:8" x14ac:dyDescent="0.35">
      <c r="A6305" s="21"/>
      <c r="B6305" t="s">
        <v>258</v>
      </c>
      <c r="C6305" t="s">
        <v>6</v>
      </c>
      <c r="D6305" t="s">
        <v>1445</v>
      </c>
      <c r="F6305" s="1">
        <v>45729</v>
      </c>
      <c r="G6305" t="str">
        <f>IF(Table3[[#This Row],[Top Parent Account]]="",Table3[[#This Row],[Account Legal Name]],Table3[[#This Row],[Top Parent Account]])</f>
        <v>Botanas Ric</v>
      </c>
      <c r="H6305" s="1"/>
    </row>
    <row r="6306" spans="1:8" x14ac:dyDescent="0.35">
      <c r="A6306" s="21"/>
      <c r="B6306" t="s">
        <v>27</v>
      </c>
      <c r="C6306" t="s">
        <v>6</v>
      </c>
      <c r="D6306" t="s">
        <v>1457</v>
      </c>
      <c r="F6306" s="1">
        <v>45729</v>
      </c>
      <c r="G6306" t="str">
        <f>IF(Table3[[#This Row],[Top Parent Account]]="",Table3[[#This Row],[Account Legal Name]],Table3[[#This Row],[Top Parent Account]])</f>
        <v>Sango Autopartes</v>
      </c>
      <c r="H6306" s="1"/>
    </row>
    <row r="6307" spans="1:8" x14ac:dyDescent="0.35">
      <c r="A6307" s="21"/>
      <c r="B6307" t="s">
        <v>14</v>
      </c>
      <c r="C6307" t="s">
        <v>6</v>
      </c>
      <c r="D6307" t="s">
        <v>1458</v>
      </c>
      <c r="F6307" s="1">
        <v>45729</v>
      </c>
      <c r="G6307" t="str">
        <f>IF(Table3[[#This Row],[Top Parent Account]]="",Table3[[#This Row],[Account Legal Name]],Table3[[#This Row],[Top Parent Account]])</f>
        <v>Mova Printing Solutions</v>
      </c>
      <c r="H6307" s="1"/>
    </row>
    <row r="6308" spans="1:8" x14ac:dyDescent="0.35">
      <c r="A6308" s="21"/>
      <c r="B6308" t="s">
        <v>375</v>
      </c>
      <c r="C6308" t="s">
        <v>6</v>
      </c>
      <c r="D6308" t="s">
        <v>1084</v>
      </c>
      <c r="F6308" s="1">
        <v>45729</v>
      </c>
      <c r="G6308" t="str">
        <f>IF(Table3[[#This Row],[Top Parent Account]]="",Table3[[#This Row],[Account Legal Name]],Table3[[#This Row],[Top Parent Account]])</f>
        <v>Hi-Tec Medical</v>
      </c>
      <c r="H6308" s="1"/>
    </row>
    <row r="6309" spans="1:8" x14ac:dyDescent="0.35">
      <c r="A6309" s="21"/>
      <c r="B6309" t="s">
        <v>114</v>
      </c>
      <c r="C6309" t="s">
        <v>6</v>
      </c>
      <c r="D6309" t="s">
        <v>671</v>
      </c>
      <c r="F6309" s="1">
        <v>45729</v>
      </c>
      <c r="G6309" t="str">
        <f>IF(Table3[[#This Row],[Top Parent Account]]="",Table3[[#This Row],[Account Legal Name]],Table3[[#This Row],[Top Parent Account]])</f>
        <v>Polibrisa de México</v>
      </c>
      <c r="H6309" s="1"/>
    </row>
    <row r="6310" spans="1:8" x14ac:dyDescent="0.35">
      <c r="A6310" s="21"/>
      <c r="B6310" t="s">
        <v>11</v>
      </c>
      <c r="C6310" t="s">
        <v>6</v>
      </c>
      <c r="D6310" t="s">
        <v>964</v>
      </c>
      <c r="F6310" s="1">
        <v>45729</v>
      </c>
      <c r="G6310" t="str">
        <f>IF(Table3[[#This Row],[Top Parent Account]]="",Table3[[#This Row],[Account Legal Name]],Table3[[#This Row],[Top Parent Account]])</f>
        <v>Convergint</v>
      </c>
      <c r="H6310" s="1"/>
    </row>
    <row r="6311" spans="1:8" x14ac:dyDescent="0.35">
      <c r="A6311" s="21"/>
      <c r="B6311" t="s">
        <v>1006</v>
      </c>
      <c r="C6311" t="s">
        <v>6</v>
      </c>
      <c r="D6311" t="s">
        <v>1007</v>
      </c>
      <c r="F6311" s="1">
        <v>45729</v>
      </c>
      <c r="G6311" t="str">
        <f>IF(Table3[[#This Row],[Top Parent Account]]="",Table3[[#This Row],[Account Legal Name]],Table3[[#This Row],[Top Parent Account]])</f>
        <v>INDAMEX Industrializadora de Alimentos Mexicanos</v>
      </c>
      <c r="H6311" s="1"/>
    </row>
    <row r="6312" spans="1:8" x14ac:dyDescent="0.35">
      <c r="A6312" s="21"/>
      <c r="B6312" t="s">
        <v>78</v>
      </c>
      <c r="C6312" t="s">
        <v>6</v>
      </c>
      <c r="D6312" t="s">
        <v>680</v>
      </c>
      <c r="F6312" s="1">
        <v>45729</v>
      </c>
      <c r="G6312" t="str">
        <f>IF(Table3[[#This Row],[Top Parent Account]]="",Table3[[#This Row],[Account Legal Name]],Table3[[#This Row],[Top Parent Account]])</f>
        <v>PICACHO GRUPO AUTOMOTRIZ</v>
      </c>
      <c r="H6312" s="1"/>
    </row>
    <row r="6313" spans="1:8" x14ac:dyDescent="0.35">
      <c r="A6313" s="21"/>
      <c r="B6313" t="s">
        <v>121</v>
      </c>
      <c r="C6313" t="s">
        <v>6</v>
      </c>
      <c r="D6313" t="s">
        <v>574</v>
      </c>
      <c r="F6313" s="1">
        <v>45729</v>
      </c>
      <c r="G6313" t="str">
        <f>IF(Table3[[#This Row],[Top Parent Account]]="",Table3[[#This Row],[Account Legal Name]],Table3[[#This Row],[Top Parent Account]])</f>
        <v>PROMAQUILA DE COCULA</v>
      </c>
      <c r="H6313" s="1"/>
    </row>
    <row r="6314" spans="1:8" x14ac:dyDescent="0.35">
      <c r="A6314" s="21"/>
      <c r="B6314" t="s">
        <v>38</v>
      </c>
      <c r="C6314" t="s">
        <v>6</v>
      </c>
      <c r="D6314" t="s">
        <v>723</v>
      </c>
      <c r="F6314" s="1">
        <v>45729</v>
      </c>
      <c r="G6314" t="str">
        <f>IF(Table3[[#This Row],[Top Parent Account]]="",Table3[[#This Row],[Account Legal Name]],Table3[[#This Row],[Top Parent Account]])</f>
        <v>La Coculense</v>
      </c>
      <c r="H6314" s="1"/>
    </row>
    <row r="6315" spans="1:8" x14ac:dyDescent="0.35">
      <c r="A6315" s="21"/>
      <c r="B6315" t="s">
        <v>23</v>
      </c>
      <c r="C6315" t="s">
        <v>6</v>
      </c>
      <c r="D6315" t="s">
        <v>816</v>
      </c>
      <c r="F6315" s="1">
        <v>45729</v>
      </c>
      <c r="G6315" t="str">
        <f>IF(Table3[[#This Row],[Top Parent Account]]="",Table3[[#This Row],[Account Legal Name]],Table3[[#This Row],[Top Parent Account]])</f>
        <v>MINERALES INGUARAN</v>
      </c>
      <c r="H6315" s="1"/>
    </row>
    <row r="6316" spans="1:8" x14ac:dyDescent="0.35">
      <c r="A6316" s="21"/>
      <c r="B6316" t="s">
        <v>37</v>
      </c>
      <c r="C6316" t="s">
        <v>6</v>
      </c>
      <c r="D6316" t="s">
        <v>960</v>
      </c>
      <c r="F6316" s="1">
        <v>45729</v>
      </c>
      <c r="G6316" t="str">
        <f>IF(Table3[[#This Row],[Top Parent Account]]="",Table3[[#This Row],[Account Legal Name]],Table3[[#This Row],[Top Parent Account]])</f>
        <v>Transportes Privados De Guaymas</v>
      </c>
      <c r="H6316" s="1"/>
    </row>
    <row r="6317" spans="1:8" x14ac:dyDescent="0.35">
      <c r="A6317" s="21"/>
      <c r="B6317" t="s">
        <v>172</v>
      </c>
      <c r="C6317" t="s">
        <v>6</v>
      </c>
      <c r="D6317" t="s">
        <v>1039</v>
      </c>
      <c r="F6317" s="1">
        <v>45728</v>
      </c>
      <c r="G6317" t="str">
        <f>IF(Table3[[#This Row],[Top Parent Account]]="",Table3[[#This Row],[Account Legal Name]],Table3[[#This Row],[Top Parent Account]])</f>
        <v>Arcelormittal</v>
      </c>
      <c r="H6317" s="1"/>
    </row>
    <row r="6318" spans="1:8" x14ac:dyDescent="0.35">
      <c r="A6318" s="21"/>
      <c r="B6318" t="s">
        <v>18</v>
      </c>
      <c r="C6318" t="s">
        <v>6</v>
      </c>
      <c r="D6318" t="s">
        <v>793</v>
      </c>
      <c r="F6318" s="1">
        <v>45728</v>
      </c>
      <c r="G6318" t="str">
        <f>IF(Table3[[#This Row],[Top Parent Account]]="",Table3[[#This Row],[Account Legal Name]],Table3[[#This Row],[Top Parent Account]])</f>
        <v>FLECOSA LOGISTIC</v>
      </c>
      <c r="H6318" s="1"/>
    </row>
    <row r="6319" spans="1:8" x14ac:dyDescent="0.35">
      <c r="A6319" s="21"/>
      <c r="B6319" t="s">
        <v>11</v>
      </c>
      <c r="C6319" t="s">
        <v>6</v>
      </c>
      <c r="D6319" t="s">
        <v>646</v>
      </c>
      <c r="F6319" s="1">
        <v>45728</v>
      </c>
      <c r="G6319" t="str">
        <f>IF(Table3[[#This Row],[Top Parent Account]]="",Table3[[#This Row],[Account Legal Name]],Table3[[#This Row],[Top Parent Account]])</f>
        <v>Grupo Pinsa</v>
      </c>
      <c r="H6319" s="1"/>
    </row>
    <row r="6320" spans="1:8" x14ac:dyDescent="0.35">
      <c r="A6320" s="21"/>
      <c r="B6320" t="s">
        <v>37</v>
      </c>
      <c r="C6320" t="s">
        <v>6</v>
      </c>
      <c r="D6320" t="s">
        <v>1475</v>
      </c>
      <c r="E6320" t="s">
        <v>571</v>
      </c>
      <c r="F6320" s="1">
        <v>45728</v>
      </c>
      <c r="G6320" t="str">
        <f>IF(Table3[[#This Row],[Top Parent Account]]="",Table3[[#This Row],[Account Legal Name]],Table3[[#This Row],[Top Parent Account]])</f>
        <v>Autotransportes Tufesa</v>
      </c>
      <c r="H6320" s="1"/>
    </row>
    <row r="6321" spans="1:8" x14ac:dyDescent="0.35">
      <c r="A6321" s="21"/>
      <c r="B6321" t="s">
        <v>30</v>
      </c>
      <c r="C6321" t="s">
        <v>6</v>
      </c>
      <c r="D6321" t="s">
        <v>542</v>
      </c>
      <c r="F6321" s="1">
        <v>45728</v>
      </c>
      <c r="G6321" t="str">
        <f>IF(Table3[[#This Row],[Top Parent Account]]="",Table3[[#This Row],[Account Legal Name]],Table3[[#This Row],[Top Parent Account]])</f>
        <v>Exsan de México</v>
      </c>
      <c r="H6321" s="1"/>
    </row>
    <row r="6322" spans="1:8" x14ac:dyDescent="0.35">
      <c r="A6322" s="21"/>
      <c r="B6322" t="s">
        <v>88</v>
      </c>
      <c r="C6322" t="s">
        <v>6</v>
      </c>
      <c r="D6322" t="s">
        <v>1422</v>
      </c>
      <c r="F6322" s="1">
        <v>45728</v>
      </c>
      <c r="G6322" t="str">
        <f>IF(Table3[[#This Row],[Top Parent Account]]="",Table3[[#This Row],[Account Legal Name]],Table3[[#This Row],[Top Parent Account]])</f>
        <v>Sky Business Empresarial</v>
      </c>
      <c r="H6322" s="1"/>
    </row>
    <row r="6323" spans="1:8" x14ac:dyDescent="0.35">
      <c r="A6323" s="21"/>
      <c r="B6323" t="s">
        <v>1031</v>
      </c>
      <c r="C6323" t="s">
        <v>6</v>
      </c>
      <c r="D6323" t="s">
        <v>1345</v>
      </c>
      <c r="F6323" s="1">
        <v>45728</v>
      </c>
      <c r="G6323" t="str">
        <f>IF(Table3[[#This Row],[Top Parent Account]]="",Table3[[#This Row],[Account Legal Name]],Table3[[#This Row],[Top Parent Account]])</f>
        <v>Productora y Comercializadora Internacional Mexicana</v>
      </c>
      <c r="H6323" s="1"/>
    </row>
    <row r="6324" spans="1:8" x14ac:dyDescent="0.35">
      <c r="A6324" s="21"/>
      <c r="B6324" t="s">
        <v>1006</v>
      </c>
      <c r="C6324" t="s">
        <v>6</v>
      </c>
      <c r="D6324" t="s">
        <v>1061</v>
      </c>
      <c r="F6324" s="1">
        <v>45728</v>
      </c>
      <c r="G6324" t="str">
        <f>IF(Table3[[#This Row],[Top Parent Account]]="",Table3[[#This Row],[Account Legal Name]],Table3[[#This Row],[Top Parent Account]])</f>
        <v>Lácteos Mojica</v>
      </c>
      <c r="H6324" s="1"/>
    </row>
    <row r="6325" spans="1:8" x14ac:dyDescent="0.35">
      <c r="A6325" s="21"/>
      <c r="B6325" t="s">
        <v>280</v>
      </c>
      <c r="C6325" t="s">
        <v>6</v>
      </c>
      <c r="D6325" t="s">
        <v>1033</v>
      </c>
      <c r="F6325" s="1">
        <v>45728</v>
      </c>
      <c r="G6325" t="str">
        <f>IF(Table3[[#This Row],[Top Parent Account]]="",Table3[[#This Row],[Account Legal Name]],Table3[[#This Row],[Top Parent Account]])</f>
        <v>Agro González</v>
      </c>
      <c r="H6325" s="1"/>
    </row>
    <row r="6326" spans="1:8" x14ac:dyDescent="0.35">
      <c r="A6326" s="21"/>
      <c r="B6326" t="s">
        <v>28</v>
      </c>
      <c r="C6326" t="s">
        <v>6</v>
      </c>
      <c r="D6326" t="s">
        <v>1476</v>
      </c>
      <c r="F6326" s="1">
        <v>45728</v>
      </c>
      <c r="G6326" t="str">
        <f>IF(Table3[[#This Row],[Top Parent Account]]="",Table3[[#This Row],[Account Legal Name]],Table3[[#This Row],[Top Parent Account]])</f>
        <v>Industrial Forestal El Yaqui</v>
      </c>
      <c r="H6326" s="1"/>
    </row>
    <row r="6327" spans="1:8" x14ac:dyDescent="0.35">
      <c r="A6327" s="21"/>
      <c r="B6327" t="s">
        <v>14</v>
      </c>
      <c r="C6327" t="s">
        <v>6</v>
      </c>
      <c r="D6327" t="s">
        <v>1494</v>
      </c>
      <c r="F6327" s="1">
        <v>45728</v>
      </c>
      <c r="G6327" t="str">
        <f>IF(Table3[[#This Row],[Top Parent Account]]="",Table3[[#This Row],[Account Legal Name]],Table3[[#This Row],[Top Parent Account]])</f>
        <v>Grupo Red Frío</v>
      </c>
      <c r="H6327" s="1"/>
    </row>
    <row r="6328" spans="1:8" x14ac:dyDescent="0.35">
      <c r="A6328" s="21"/>
      <c r="B6328" t="s">
        <v>25</v>
      </c>
      <c r="C6328" t="s">
        <v>6</v>
      </c>
      <c r="D6328" t="s">
        <v>1477</v>
      </c>
      <c r="E6328" t="s">
        <v>1478</v>
      </c>
      <c r="F6328" s="1">
        <v>45728</v>
      </c>
      <c r="G6328" t="str">
        <f>IF(Table3[[#This Row],[Top Parent Account]]="",Table3[[#This Row],[Account Legal Name]],Table3[[#This Row],[Top Parent Account]])</f>
        <v>CONSTRUCTORA COPRISMA</v>
      </c>
      <c r="H6328" s="1"/>
    </row>
    <row r="6329" spans="1:8" x14ac:dyDescent="0.35">
      <c r="A6329" s="21"/>
      <c r="B6329" t="s">
        <v>23</v>
      </c>
      <c r="C6329" t="s">
        <v>6</v>
      </c>
      <c r="D6329" t="s">
        <v>1423</v>
      </c>
      <c r="F6329" s="1">
        <v>45728</v>
      </c>
      <c r="G6329" t="str">
        <f>IF(Table3[[#This Row],[Top Parent Account]]="",Table3[[#This Row],[Account Legal Name]],Table3[[#This Row],[Top Parent Account]])</f>
        <v>Uriotech</v>
      </c>
      <c r="H6329" s="1"/>
    </row>
    <row r="6330" spans="1:8" x14ac:dyDescent="0.35">
      <c r="A6330" s="21"/>
      <c r="B6330" t="s">
        <v>24</v>
      </c>
      <c r="C6330" t="s">
        <v>6</v>
      </c>
      <c r="D6330" t="s">
        <v>1108</v>
      </c>
      <c r="F6330" s="1">
        <v>45728</v>
      </c>
      <c r="G6330" t="str">
        <f>IF(Table3[[#This Row],[Top Parent Account]]="",Table3[[#This Row],[Account Legal Name]],Table3[[#This Row],[Top Parent Account]])</f>
        <v>Vanrenta</v>
      </c>
      <c r="H6330" s="1"/>
    </row>
    <row r="6331" spans="1:8" x14ac:dyDescent="0.35">
      <c r="A6331" s="21"/>
      <c r="B6331" t="s">
        <v>10</v>
      </c>
      <c r="C6331" t="s">
        <v>6</v>
      </c>
      <c r="D6331" t="s">
        <v>410</v>
      </c>
      <c r="F6331" s="1">
        <v>45728</v>
      </c>
      <c r="G6331" t="str">
        <f>IF(Table3[[#This Row],[Top Parent Account]]="",Table3[[#This Row],[Account Legal Name]],Table3[[#This Row],[Top Parent Account]])</f>
        <v>CORPORATIVO SERYSI</v>
      </c>
      <c r="H6331" s="1"/>
    </row>
    <row r="6332" spans="1:8" x14ac:dyDescent="0.35">
      <c r="A6332" s="21"/>
      <c r="B6332" t="s">
        <v>10</v>
      </c>
      <c r="C6332" t="s">
        <v>6</v>
      </c>
      <c r="D6332" t="s">
        <v>1047</v>
      </c>
      <c r="F6332" s="1">
        <v>45728</v>
      </c>
      <c r="G6332" t="str">
        <f>IF(Table3[[#This Row],[Top Parent Account]]="",Table3[[#This Row],[Account Legal Name]],Table3[[#This Row],[Top Parent Account]])</f>
        <v>Cajas Plegadizas de Occidente</v>
      </c>
      <c r="H6332" s="1"/>
    </row>
    <row r="6333" spans="1:8" x14ac:dyDescent="0.35">
      <c r="A6333" s="21"/>
      <c r="B6333" t="s">
        <v>10</v>
      </c>
      <c r="C6333" t="s">
        <v>6</v>
      </c>
      <c r="D6333" t="s">
        <v>476</v>
      </c>
      <c r="F6333" s="1">
        <v>45728</v>
      </c>
      <c r="G6333" t="str">
        <f>IF(Table3[[#This Row],[Top Parent Account]]="",Table3[[#This Row],[Account Legal Name]],Table3[[#This Row],[Top Parent Account]])</f>
        <v>Litografía D Ortega</v>
      </c>
      <c r="H6333" s="1"/>
    </row>
    <row r="6334" spans="1:8" x14ac:dyDescent="0.35">
      <c r="A6334" s="21"/>
      <c r="B6334" t="s">
        <v>208</v>
      </c>
      <c r="C6334" t="s">
        <v>6</v>
      </c>
      <c r="D6334" t="s">
        <v>385</v>
      </c>
      <c r="F6334" s="1">
        <v>45728</v>
      </c>
      <c r="G6334" t="str">
        <f>IF(Table3[[#This Row],[Top Parent Account]]="",Table3[[#This Row],[Account Legal Name]],Table3[[#This Row],[Top Parent Account]])</f>
        <v>Soluciones Novalogist</v>
      </c>
      <c r="H6334" s="1"/>
    </row>
    <row r="6335" spans="1:8" x14ac:dyDescent="0.35">
      <c r="A6335" s="21"/>
      <c r="B6335" t="s">
        <v>84</v>
      </c>
      <c r="C6335" t="s">
        <v>1424</v>
      </c>
      <c r="D6335" t="s">
        <v>1425</v>
      </c>
      <c r="F6335" s="1">
        <v>45728</v>
      </c>
      <c r="G6335" t="str">
        <f>IF(Table3[[#This Row],[Top Parent Account]]="",Table3[[#This Row],[Account Legal Name]],Table3[[#This Row],[Top Parent Account]])</f>
        <v>Empaques Carma</v>
      </c>
      <c r="H6335" s="1"/>
    </row>
    <row r="6336" spans="1:8" x14ac:dyDescent="0.35">
      <c r="A6336" s="21"/>
      <c r="B6336" t="s">
        <v>172</v>
      </c>
      <c r="C6336" t="s">
        <v>6</v>
      </c>
      <c r="D6336" t="s">
        <v>1459</v>
      </c>
      <c r="F6336" s="1">
        <v>45728</v>
      </c>
      <c r="G6336" t="str">
        <f>IF(Table3[[#This Row],[Top Parent Account]]="",Table3[[#This Row],[Account Legal Name]],Table3[[#This Row],[Top Parent Account]])</f>
        <v>Grupo Diagnostico Aries</v>
      </c>
      <c r="H6336" s="1"/>
    </row>
    <row r="6337" spans="1:8" x14ac:dyDescent="0.35">
      <c r="A6337" s="21"/>
      <c r="B6337" t="s">
        <v>1495</v>
      </c>
      <c r="C6337" t="s">
        <v>1496</v>
      </c>
      <c r="D6337" t="s">
        <v>1485</v>
      </c>
      <c r="F6337" s="1">
        <v>45728</v>
      </c>
      <c r="G6337" t="str">
        <f>IF(Table3[[#This Row],[Top Parent Account]]="",Table3[[#This Row],[Account Legal Name]],Table3[[#This Row],[Top Parent Account]])</f>
        <v>A MENARINI MÉXICO</v>
      </c>
      <c r="H6337" s="1"/>
    </row>
    <row r="6338" spans="1:8" x14ac:dyDescent="0.35">
      <c r="A6338" s="21"/>
      <c r="B6338" t="s">
        <v>37</v>
      </c>
      <c r="C6338" t="s">
        <v>6</v>
      </c>
      <c r="D6338" t="s">
        <v>1479</v>
      </c>
      <c r="F6338" s="1">
        <v>45728</v>
      </c>
      <c r="G6338" t="str">
        <f>IF(Table3[[#This Row],[Top Parent Account]]="",Table3[[#This Row],[Account Legal Name]],Table3[[#This Row],[Top Parent Account]])</f>
        <v>Citricola Del Yaqui</v>
      </c>
      <c r="H6338" s="1"/>
    </row>
    <row r="6339" spans="1:8" x14ac:dyDescent="0.35">
      <c r="A6339" s="21"/>
      <c r="B6339" t="s">
        <v>30</v>
      </c>
      <c r="C6339" t="s">
        <v>6</v>
      </c>
      <c r="D6339" t="s">
        <v>415</v>
      </c>
      <c r="F6339" s="1">
        <v>45728</v>
      </c>
      <c r="G6339" t="str">
        <f>IF(Table3[[#This Row],[Top Parent Account]]="",Table3[[#This Row],[Account Legal Name]],Table3[[#This Row],[Top Parent Account]])</f>
        <v>Olnatura</v>
      </c>
      <c r="H6339" s="1"/>
    </row>
    <row r="6340" spans="1:8" x14ac:dyDescent="0.35">
      <c r="A6340" s="21"/>
      <c r="B6340" t="s">
        <v>172</v>
      </c>
      <c r="C6340" t="s">
        <v>6</v>
      </c>
      <c r="D6340" t="s">
        <v>1460</v>
      </c>
      <c r="F6340" s="1">
        <v>45728</v>
      </c>
      <c r="G6340" t="str">
        <f>IF(Table3[[#This Row],[Top Parent Account]]="",Table3[[#This Row],[Account Legal Name]],Table3[[#This Row],[Top Parent Account]])</f>
        <v>Garibaldi México</v>
      </c>
      <c r="H6340" s="1"/>
    </row>
    <row r="6341" spans="1:8" x14ac:dyDescent="0.35">
      <c r="A6341" s="21"/>
      <c r="B6341" t="s">
        <v>820</v>
      </c>
      <c r="C6341" t="s">
        <v>6</v>
      </c>
      <c r="D6341" t="s">
        <v>225</v>
      </c>
      <c r="E6341" t="s">
        <v>321</v>
      </c>
      <c r="F6341" s="1">
        <v>45728</v>
      </c>
      <c r="G6341" t="str">
        <f>IF(Table3[[#This Row],[Top Parent Account]]="",Table3[[#This Row],[Account Legal Name]],Table3[[#This Row],[Top Parent Account]])</f>
        <v>Conservas La Costena</v>
      </c>
      <c r="H6341" s="1"/>
    </row>
    <row r="6342" spans="1:8" x14ac:dyDescent="0.35">
      <c r="A6342" s="21"/>
      <c r="B6342" t="s">
        <v>32</v>
      </c>
      <c r="C6342" t="s">
        <v>6</v>
      </c>
      <c r="D6342" t="s">
        <v>1461</v>
      </c>
      <c r="F6342" s="1">
        <v>45728</v>
      </c>
      <c r="G6342" t="str">
        <f>IF(Table3[[#This Row],[Top Parent Account]]="",Table3[[#This Row],[Account Legal Name]],Table3[[#This Row],[Top Parent Account]])</f>
        <v>Maquinaría Innovativa De Veracruz</v>
      </c>
      <c r="H6342" s="1"/>
    </row>
    <row r="6343" spans="1:8" x14ac:dyDescent="0.35">
      <c r="A6343" s="21"/>
      <c r="B6343" t="s">
        <v>589</v>
      </c>
      <c r="C6343" t="s">
        <v>6</v>
      </c>
      <c r="D6343" t="s">
        <v>1462</v>
      </c>
      <c r="F6343" s="1">
        <v>45728</v>
      </c>
      <c r="G6343" t="str">
        <f>IF(Table3[[#This Row],[Top Parent Account]]="",Table3[[#This Row],[Account Legal Name]],Table3[[#This Row],[Top Parent Account]])</f>
        <v>Lerma Construcciones y Mantenimiento</v>
      </c>
      <c r="H6343" s="1"/>
    </row>
    <row r="6344" spans="1:8" x14ac:dyDescent="0.35">
      <c r="A6344" s="21"/>
      <c r="B6344" t="s">
        <v>26</v>
      </c>
      <c r="C6344" t="s">
        <v>6</v>
      </c>
      <c r="D6344" t="s">
        <v>1463</v>
      </c>
      <c r="F6344" s="1">
        <v>45728</v>
      </c>
      <c r="G6344" t="str">
        <f>IF(Table3[[#This Row],[Top Parent Account]]="",Table3[[#This Row],[Account Legal Name]],Table3[[#This Row],[Top Parent Account]])</f>
        <v>Laboratorio de Metales</v>
      </c>
      <c r="H6344" s="1"/>
    </row>
    <row r="6345" spans="1:8" x14ac:dyDescent="0.35">
      <c r="A6345" s="21"/>
      <c r="B6345" t="s">
        <v>32</v>
      </c>
      <c r="C6345" t="s">
        <v>6</v>
      </c>
      <c r="D6345" t="s">
        <v>66</v>
      </c>
      <c r="F6345" s="1">
        <v>45728</v>
      </c>
      <c r="G6345" t="str">
        <f>IF(Table3[[#This Row],[Top Parent Account]]="",Table3[[#This Row],[Account Legal Name]],Table3[[#This Row],[Top Parent Account]])</f>
        <v>Transportes Kugar Del Papaloapan</v>
      </c>
      <c r="H6345" s="1"/>
    </row>
    <row r="6346" spans="1:8" x14ac:dyDescent="0.35">
      <c r="A6346" s="21"/>
      <c r="B6346" t="s">
        <v>25</v>
      </c>
      <c r="C6346" t="s">
        <v>6</v>
      </c>
      <c r="D6346" t="s">
        <v>1045</v>
      </c>
      <c r="F6346" s="1">
        <v>45728</v>
      </c>
      <c r="G6346" t="str">
        <f>IF(Table3[[#This Row],[Top Parent Account]]="",Table3[[#This Row],[Account Legal Name]],Table3[[#This Row],[Top Parent Account]])</f>
        <v>Transportes Bonampak</v>
      </c>
      <c r="H6346" s="1"/>
    </row>
    <row r="6347" spans="1:8" x14ac:dyDescent="0.35">
      <c r="A6347" s="21"/>
      <c r="B6347" t="s">
        <v>25</v>
      </c>
      <c r="C6347" t="s">
        <v>6</v>
      </c>
      <c r="D6347" t="s">
        <v>549</v>
      </c>
      <c r="F6347" s="1">
        <v>45728</v>
      </c>
      <c r="G6347" t="str">
        <f>IF(Table3[[#This Row],[Top Parent Account]]="",Table3[[#This Row],[Account Legal Name]],Table3[[#This Row],[Top Parent Account]])</f>
        <v>Transportes de Trailers Toluca</v>
      </c>
      <c r="H6347" s="1"/>
    </row>
    <row r="6348" spans="1:8" x14ac:dyDescent="0.35">
      <c r="A6348" s="21"/>
      <c r="B6348" t="s">
        <v>25</v>
      </c>
      <c r="C6348" t="s">
        <v>6</v>
      </c>
      <c r="D6348" t="s">
        <v>502</v>
      </c>
      <c r="F6348" s="1">
        <v>45728</v>
      </c>
      <c r="G6348" t="str">
        <f>IF(Table3[[#This Row],[Top Parent Account]]="",Table3[[#This Row],[Account Legal Name]],Table3[[#This Row],[Top Parent Account]])</f>
        <v>Transportes Valbo</v>
      </c>
      <c r="H6348" s="1"/>
    </row>
    <row r="6349" spans="1:8" x14ac:dyDescent="0.35">
      <c r="A6349" s="21"/>
      <c r="B6349" t="s">
        <v>121</v>
      </c>
      <c r="C6349" t="s">
        <v>6</v>
      </c>
      <c r="D6349" t="s">
        <v>1639</v>
      </c>
      <c r="F6349" s="1">
        <v>45728</v>
      </c>
      <c r="G6349" t="str">
        <f>IF(Table3[[#This Row],[Top Parent Account]]="",Table3[[#This Row],[Account Legal Name]],Table3[[#This Row],[Top Parent Account]])</f>
        <v>GRUPO AMAREA</v>
      </c>
      <c r="H6349" s="1"/>
    </row>
    <row r="6350" spans="1:8" x14ac:dyDescent="0.35">
      <c r="A6350" s="21"/>
      <c r="B6350" t="s">
        <v>375</v>
      </c>
      <c r="C6350" t="s">
        <v>6</v>
      </c>
      <c r="D6350" t="s">
        <v>636</v>
      </c>
      <c r="E6350" t="s">
        <v>46</v>
      </c>
      <c r="F6350" s="1">
        <v>45728</v>
      </c>
      <c r="G6350" t="str">
        <f>IF(Table3[[#This Row],[Top Parent Account]]="",Table3[[#This Row],[Account Legal Name]],Table3[[#This Row],[Top Parent Account]])</f>
        <v>Subcor</v>
      </c>
      <c r="H6350" s="1"/>
    </row>
    <row r="6351" spans="1:8" x14ac:dyDescent="0.35">
      <c r="A6351" s="21"/>
      <c r="B6351" t="s">
        <v>29</v>
      </c>
      <c r="C6351" t="s">
        <v>6</v>
      </c>
      <c r="D6351" t="s">
        <v>1464</v>
      </c>
      <c r="F6351" s="1">
        <v>45728</v>
      </c>
      <c r="G6351" t="str">
        <f>IF(Table3[[#This Row],[Top Parent Account]]="",Table3[[#This Row],[Account Legal Name]],Table3[[#This Row],[Top Parent Account]])</f>
        <v>Interlub</v>
      </c>
      <c r="H6351" s="1"/>
    </row>
    <row r="6352" spans="1:8" x14ac:dyDescent="0.35">
      <c r="A6352" s="21"/>
      <c r="B6352" t="s">
        <v>114</v>
      </c>
      <c r="C6352" t="s">
        <v>6</v>
      </c>
      <c r="D6352" t="s">
        <v>446</v>
      </c>
      <c r="F6352" s="1">
        <v>45728</v>
      </c>
      <c r="G6352" t="str">
        <f>IF(Table3[[#This Row],[Top Parent Account]]="",Table3[[#This Row],[Account Legal Name]],Table3[[#This Row],[Top Parent Account]])</f>
        <v>Unilever de México</v>
      </c>
      <c r="H6352" s="1"/>
    </row>
    <row r="6353" spans="1:8" x14ac:dyDescent="0.35">
      <c r="A6353" s="21"/>
      <c r="B6353" t="s">
        <v>37</v>
      </c>
      <c r="C6353" t="s">
        <v>6</v>
      </c>
      <c r="D6353" t="s">
        <v>1480</v>
      </c>
      <c r="F6353" s="1">
        <v>45728</v>
      </c>
      <c r="G6353" t="str">
        <f>IF(Table3[[#This Row],[Top Parent Account]]="",Table3[[#This Row],[Account Legal Name]],Table3[[#This Row],[Top Parent Account]])</f>
        <v>Asociación de Productores de Hortalizas del Yaqui y Mayo</v>
      </c>
      <c r="H6353" s="1"/>
    </row>
    <row r="6354" spans="1:8" x14ac:dyDescent="0.35">
      <c r="A6354" s="21"/>
      <c r="B6354" t="s">
        <v>10</v>
      </c>
      <c r="C6354" t="s">
        <v>6</v>
      </c>
      <c r="D6354" t="s">
        <v>450</v>
      </c>
      <c r="F6354" s="1">
        <v>45728</v>
      </c>
      <c r="G6354" t="str">
        <f>IF(Table3[[#This Row],[Top Parent Account]]="",Table3[[#This Row],[Account Legal Name]],Table3[[#This Row],[Top Parent Account]])</f>
        <v>Cloe Moda</v>
      </c>
      <c r="H6354" s="1"/>
    </row>
    <row r="6355" spans="1:8" x14ac:dyDescent="0.35">
      <c r="A6355" s="21"/>
      <c r="B6355" t="s">
        <v>925</v>
      </c>
      <c r="C6355" t="s">
        <v>6</v>
      </c>
      <c r="D6355" t="s">
        <v>1426</v>
      </c>
      <c r="F6355" s="1">
        <v>45728</v>
      </c>
      <c r="G6355" t="str">
        <f>IF(Table3[[#This Row],[Top Parent Account]]="",Table3[[#This Row],[Account Legal Name]],Table3[[#This Row],[Top Parent Account]])</f>
        <v>Silodisa Servicio Integral De Logística y Distribución</v>
      </c>
      <c r="H6355" s="1"/>
    </row>
    <row r="6356" spans="1:8" x14ac:dyDescent="0.35">
      <c r="A6356" s="21"/>
      <c r="B6356" t="s">
        <v>38</v>
      </c>
      <c r="C6356" t="s">
        <v>6</v>
      </c>
      <c r="D6356" t="s">
        <v>513</v>
      </c>
      <c r="F6356" s="1">
        <v>45728</v>
      </c>
      <c r="G6356" t="str">
        <f>IF(Table3[[#This Row],[Top Parent Account]]="",Table3[[#This Row],[Account Legal Name]],Table3[[#This Row],[Top Parent Account]])</f>
        <v>Oleofinos</v>
      </c>
      <c r="H6356" s="1"/>
    </row>
    <row r="6357" spans="1:8" x14ac:dyDescent="0.35">
      <c r="A6357" s="21"/>
      <c r="B6357" t="s">
        <v>10</v>
      </c>
      <c r="C6357" t="s">
        <v>6</v>
      </c>
      <c r="D6357" t="s">
        <v>389</v>
      </c>
      <c r="F6357" s="1">
        <v>45728</v>
      </c>
      <c r="G6357" t="str">
        <f>IF(Table3[[#This Row],[Top Parent Account]]="",Table3[[#This Row],[Account Legal Name]],Table3[[#This Row],[Top Parent Account]])</f>
        <v>SISTEMAS DE ECOLOGIA SOLAR</v>
      </c>
      <c r="H6357" s="1"/>
    </row>
    <row r="6358" spans="1:8" x14ac:dyDescent="0.35">
      <c r="A6358" s="21"/>
      <c r="B6358" t="s">
        <v>37</v>
      </c>
      <c r="C6358" t="s">
        <v>6</v>
      </c>
      <c r="D6358" t="s">
        <v>960</v>
      </c>
      <c r="F6358" s="1">
        <v>45728</v>
      </c>
      <c r="G6358" t="str">
        <f>IF(Table3[[#This Row],[Top Parent Account]]="",Table3[[#This Row],[Account Legal Name]],Table3[[#This Row],[Top Parent Account]])</f>
        <v>Transportes Privados De Guaymas</v>
      </c>
      <c r="H6358" s="1"/>
    </row>
    <row r="6359" spans="1:8" x14ac:dyDescent="0.35">
      <c r="A6359" s="21"/>
      <c r="B6359" t="s">
        <v>26</v>
      </c>
      <c r="C6359" t="s">
        <v>6</v>
      </c>
      <c r="D6359" t="s">
        <v>106</v>
      </c>
      <c r="F6359" s="1">
        <v>45728</v>
      </c>
      <c r="G6359" t="str">
        <f>IF(Table3[[#This Row],[Top Parent Account]]="",Table3[[#This Row],[Account Legal Name]],Table3[[#This Row],[Top Parent Account]])</f>
        <v>Anixter</v>
      </c>
      <c r="H6359" s="1"/>
    </row>
    <row r="6360" spans="1:8" x14ac:dyDescent="0.35">
      <c r="A6360" s="21"/>
      <c r="B6360" t="s">
        <v>207</v>
      </c>
      <c r="C6360" t="s">
        <v>6</v>
      </c>
      <c r="D6360" t="s">
        <v>1427</v>
      </c>
      <c r="F6360" s="1">
        <v>45728</v>
      </c>
      <c r="G6360" t="str">
        <f>IF(Table3[[#This Row],[Top Parent Account]]="",Table3[[#This Row],[Account Legal Name]],Table3[[#This Row],[Top Parent Account]])</f>
        <v>Ahumados Noruegos</v>
      </c>
      <c r="H6360" s="1"/>
    </row>
    <row r="6361" spans="1:8" x14ac:dyDescent="0.35">
      <c r="A6361" s="21"/>
      <c r="B6361" t="s">
        <v>172</v>
      </c>
      <c r="C6361" t="s">
        <v>6</v>
      </c>
      <c r="D6361" t="s">
        <v>780</v>
      </c>
      <c r="F6361" s="1">
        <v>45727</v>
      </c>
      <c r="G6361" t="str">
        <f>IF(Table3[[#This Row],[Top Parent Account]]="",Table3[[#This Row],[Account Legal Name]],Table3[[#This Row],[Top Parent Account]])</f>
        <v>Grupo Novaliv</v>
      </c>
      <c r="H6361" s="1"/>
    </row>
    <row r="6362" spans="1:8" x14ac:dyDescent="0.35">
      <c r="A6362" s="21"/>
      <c r="B6362" t="s">
        <v>38</v>
      </c>
      <c r="C6362" t="s">
        <v>6</v>
      </c>
      <c r="D6362" t="s">
        <v>670</v>
      </c>
      <c r="F6362" s="1">
        <v>45727</v>
      </c>
      <c r="G6362" t="str">
        <f>IF(Table3[[#This Row],[Top Parent Account]]="",Table3[[#This Row],[Account Legal Name]],Table3[[#This Row],[Top Parent Account]])</f>
        <v>Aluprint</v>
      </c>
      <c r="H6362" s="1"/>
    </row>
    <row r="6363" spans="1:8" x14ac:dyDescent="0.35">
      <c r="A6363" s="21"/>
      <c r="B6363" t="s">
        <v>932</v>
      </c>
      <c r="C6363" t="s">
        <v>1465</v>
      </c>
      <c r="D6363" t="s">
        <v>1466</v>
      </c>
      <c r="F6363" s="1">
        <v>45727</v>
      </c>
      <c r="G6363" t="str">
        <f>IF(Table3[[#This Row],[Top Parent Account]]="",Table3[[#This Row],[Account Legal Name]],Table3[[#This Row],[Top Parent Account]])</f>
        <v>DIMSA INGENIERIA</v>
      </c>
      <c r="H6363" s="1"/>
    </row>
    <row r="6364" spans="1:8" x14ac:dyDescent="0.35">
      <c r="A6364" s="21"/>
      <c r="B6364" t="s">
        <v>208</v>
      </c>
      <c r="C6364" t="s">
        <v>6</v>
      </c>
      <c r="D6364" t="s">
        <v>545</v>
      </c>
      <c r="F6364" s="1">
        <v>45727</v>
      </c>
      <c r="G6364" t="str">
        <f>IF(Table3[[#This Row],[Top Parent Account]]="",Table3[[#This Row],[Account Legal Name]],Table3[[#This Row],[Top Parent Account]])</f>
        <v>Imaginación en Movimiento</v>
      </c>
      <c r="H6364" s="1"/>
    </row>
    <row r="6365" spans="1:8" x14ac:dyDescent="0.35">
      <c r="A6365" s="21"/>
      <c r="B6365" t="s">
        <v>15</v>
      </c>
      <c r="C6365" t="s">
        <v>6</v>
      </c>
      <c r="D6365" t="s">
        <v>584</v>
      </c>
      <c r="F6365" s="1">
        <v>45727</v>
      </c>
      <c r="G6365" t="str">
        <f>IF(Table3[[#This Row],[Top Parent Account]]="",Table3[[#This Row],[Account Legal Name]],Table3[[#This Row],[Top Parent Account]])</f>
        <v>Maw Mexicana</v>
      </c>
      <c r="H6365" s="1"/>
    </row>
    <row r="6366" spans="1:8" x14ac:dyDescent="0.35">
      <c r="A6366" s="21"/>
      <c r="B6366" t="s">
        <v>820</v>
      </c>
      <c r="C6366" t="s">
        <v>6</v>
      </c>
      <c r="D6366" t="s">
        <v>319</v>
      </c>
      <c r="F6366" s="1">
        <v>45727</v>
      </c>
      <c r="G6366" t="str">
        <f>IF(Table3[[#This Row],[Top Parent Account]]="",Table3[[#This Row],[Account Legal Name]],Table3[[#This Row],[Top Parent Account]])</f>
        <v>Aspid</v>
      </c>
      <c r="H6366" s="1"/>
    </row>
    <row r="6367" spans="1:8" x14ac:dyDescent="0.35">
      <c r="A6367" s="21"/>
      <c r="B6367" t="s">
        <v>70</v>
      </c>
      <c r="C6367" t="s">
        <v>6</v>
      </c>
      <c r="D6367" t="s">
        <v>1428</v>
      </c>
      <c r="F6367" s="1">
        <v>45727</v>
      </c>
      <c r="G6367" t="str">
        <f>IF(Table3[[#This Row],[Top Parent Account]]="",Table3[[#This Row],[Account Legal Name]],Table3[[#This Row],[Top Parent Account]])</f>
        <v>Il Diagnostics</v>
      </c>
      <c r="H6367" s="1"/>
    </row>
    <row r="6368" spans="1:8" x14ac:dyDescent="0.35">
      <c r="A6368" s="21"/>
      <c r="B6368" t="s">
        <v>28</v>
      </c>
      <c r="C6368" t="s">
        <v>6</v>
      </c>
      <c r="D6368" t="s">
        <v>1481</v>
      </c>
      <c r="F6368" s="1">
        <v>45727</v>
      </c>
      <c r="G6368" t="str">
        <f>IF(Table3[[#This Row],[Top Parent Account]]="",Table3[[#This Row],[Account Legal Name]],Table3[[#This Row],[Top Parent Account]])</f>
        <v>RECUBRIMIENTOS Y ADHESIVOS DE LA LAGUNA</v>
      </c>
      <c r="H6368" s="1"/>
    </row>
    <row r="6369" spans="1:8" x14ac:dyDescent="0.35">
      <c r="A6369" s="21"/>
      <c r="B6369" t="s">
        <v>56</v>
      </c>
      <c r="C6369" t="s">
        <v>6</v>
      </c>
      <c r="D6369" t="s">
        <v>421</v>
      </c>
      <c r="F6369" s="1">
        <v>45727</v>
      </c>
      <c r="G6369" t="str">
        <f>IF(Table3[[#This Row],[Top Parent Account]]="",Table3[[#This Row],[Account Legal Name]],Table3[[#This Row],[Top Parent Account]])</f>
        <v>Grupo Aguaviento</v>
      </c>
      <c r="H6369" s="1"/>
    </row>
    <row r="6370" spans="1:8" x14ac:dyDescent="0.35">
      <c r="A6370" s="21"/>
      <c r="B6370" t="s">
        <v>1006</v>
      </c>
      <c r="C6370" t="s">
        <v>6</v>
      </c>
      <c r="D6370" t="s">
        <v>288</v>
      </c>
      <c r="F6370" s="1">
        <v>45727</v>
      </c>
      <c r="G6370" t="str">
        <f>IF(Table3[[#This Row],[Top Parent Account]]="",Table3[[#This Row],[Account Legal Name]],Table3[[#This Row],[Top Parent Account]])</f>
        <v>Callizo Aromas</v>
      </c>
      <c r="H6370" s="1"/>
    </row>
    <row r="6371" spans="1:8" x14ac:dyDescent="0.35">
      <c r="A6371" s="21"/>
      <c r="B6371" t="s">
        <v>24</v>
      </c>
      <c r="C6371" t="s">
        <v>6</v>
      </c>
      <c r="D6371" t="s">
        <v>1482</v>
      </c>
      <c r="F6371" s="1">
        <v>45727</v>
      </c>
      <c r="G6371" t="str">
        <f>IF(Table3[[#This Row],[Top Parent Account]]="",Table3[[#This Row],[Account Legal Name]],Table3[[#This Row],[Top Parent Account]])</f>
        <v>Naturesweet Invernaderos</v>
      </c>
      <c r="H6371" s="1"/>
    </row>
    <row r="6372" spans="1:8" x14ac:dyDescent="0.35">
      <c r="A6372" s="21"/>
      <c r="B6372" t="s">
        <v>24</v>
      </c>
      <c r="C6372" t="s">
        <v>6</v>
      </c>
      <c r="D6372" t="s">
        <v>614</v>
      </c>
      <c r="F6372" s="1">
        <v>45727</v>
      </c>
      <c r="G6372" t="str">
        <f>IF(Table3[[#This Row],[Top Parent Account]]="",Table3[[#This Row],[Account Legal Name]],Table3[[#This Row],[Top Parent Account]])</f>
        <v>HellermannTyton</v>
      </c>
      <c r="H6372" s="1"/>
    </row>
    <row r="6373" spans="1:8" x14ac:dyDescent="0.35">
      <c r="A6373" s="21"/>
      <c r="B6373" t="s">
        <v>208</v>
      </c>
      <c r="C6373" t="s">
        <v>6</v>
      </c>
      <c r="D6373" t="s">
        <v>852</v>
      </c>
      <c r="F6373" s="1">
        <v>45727</v>
      </c>
      <c r="G6373" t="str">
        <f>IF(Table3[[#This Row],[Top Parent Account]]="",Table3[[#This Row],[Account Legal Name]],Table3[[#This Row],[Top Parent Account]])</f>
        <v>Rodillos y Maquinados</v>
      </c>
      <c r="H6373" s="1"/>
    </row>
    <row r="6374" spans="1:8" x14ac:dyDescent="0.35">
      <c r="A6374" s="21"/>
      <c r="B6374" t="s">
        <v>286</v>
      </c>
      <c r="C6374" t="s">
        <v>6</v>
      </c>
      <c r="D6374" t="s">
        <v>212</v>
      </c>
      <c r="F6374" s="1">
        <v>45727</v>
      </c>
      <c r="G6374" t="str">
        <f>IF(Table3[[#This Row],[Top Parent Account]]="",Table3[[#This Row],[Account Legal Name]],Table3[[#This Row],[Top Parent Account]])</f>
        <v>Litográfica VIHUMASI</v>
      </c>
      <c r="H6374" s="1"/>
    </row>
    <row r="6375" spans="1:8" x14ac:dyDescent="0.35">
      <c r="A6375" s="21"/>
      <c r="B6375" t="s">
        <v>192</v>
      </c>
      <c r="C6375" t="s">
        <v>49</v>
      </c>
      <c r="D6375" t="s">
        <v>658</v>
      </c>
      <c r="F6375" s="1">
        <v>45727</v>
      </c>
      <c r="G6375" t="str">
        <f>IF(Table3[[#This Row],[Top Parent Account]]="",Table3[[#This Row],[Account Legal Name]],Table3[[#This Row],[Top Parent Account]])</f>
        <v>SUPER FLAMA</v>
      </c>
      <c r="H6375" s="1"/>
    </row>
    <row r="6376" spans="1:8" x14ac:dyDescent="0.35">
      <c r="A6376" s="21"/>
      <c r="B6376" t="s">
        <v>280</v>
      </c>
      <c r="C6376" t="s">
        <v>6</v>
      </c>
      <c r="D6376" t="s">
        <v>577</v>
      </c>
      <c r="F6376" s="1">
        <v>45727</v>
      </c>
      <c r="G6376" t="str">
        <f>IF(Table3[[#This Row],[Top Parent Account]]="",Table3[[#This Row],[Account Legal Name]],Table3[[#This Row],[Top Parent Account]])</f>
        <v>Hdi Seguros</v>
      </c>
      <c r="H6376" s="1"/>
    </row>
    <row r="6377" spans="1:8" x14ac:dyDescent="0.35">
      <c r="A6377" s="21"/>
      <c r="B6377" t="s">
        <v>258</v>
      </c>
      <c r="C6377" t="s">
        <v>6</v>
      </c>
      <c r="D6377" t="s">
        <v>1429</v>
      </c>
      <c r="F6377" s="1">
        <v>45727</v>
      </c>
      <c r="G6377" t="str">
        <f>IF(Table3[[#This Row],[Top Parent Account]]="",Table3[[#This Row],[Account Legal Name]],Table3[[#This Row],[Top Parent Account]])</f>
        <v>BrandBros</v>
      </c>
      <c r="H6377" s="1"/>
    </row>
    <row r="6378" spans="1:8" x14ac:dyDescent="0.35">
      <c r="A6378" s="21"/>
      <c r="B6378" t="s">
        <v>880</v>
      </c>
      <c r="C6378" t="s">
        <v>1430</v>
      </c>
      <c r="D6378" t="s">
        <v>940</v>
      </c>
      <c r="F6378" s="1">
        <v>45727</v>
      </c>
      <c r="G6378" t="str">
        <f>IF(Table3[[#This Row],[Top Parent Account]]="",Table3[[#This Row],[Account Legal Name]],Table3[[#This Row],[Top Parent Account]])</f>
        <v>Industria de Alimentos Nutriwell</v>
      </c>
      <c r="H6378" s="1"/>
    </row>
    <row r="6379" spans="1:8" x14ac:dyDescent="0.35">
      <c r="A6379" s="21"/>
      <c r="B6379" t="s">
        <v>54</v>
      </c>
      <c r="C6379" t="s">
        <v>1430</v>
      </c>
      <c r="D6379" t="s">
        <v>940</v>
      </c>
      <c r="F6379" s="1">
        <v>45727</v>
      </c>
      <c r="G6379" t="str">
        <f>IF(Table3[[#This Row],[Top Parent Account]]="",Table3[[#This Row],[Account Legal Name]],Table3[[#This Row],[Top Parent Account]])</f>
        <v>Industria de Alimentos Nutriwell</v>
      </c>
      <c r="H6379" s="1"/>
    </row>
    <row r="6380" spans="1:8" x14ac:dyDescent="0.35">
      <c r="A6380" s="21"/>
      <c r="B6380" t="s">
        <v>121</v>
      </c>
      <c r="C6380" t="s">
        <v>6</v>
      </c>
      <c r="D6380" t="s">
        <v>1431</v>
      </c>
      <c r="F6380" s="1">
        <v>45727</v>
      </c>
      <c r="G6380" t="str">
        <f>IF(Table3[[#This Row],[Top Parent Account]]="",Table3[[#This Row],[Account Legal Name]],Table3[[#This Row],[Top Parent Account]])</f>
        <v>Constructora Bogax</v>
      </c>
      <c r="H6380" s="1"/>
    </row>
    <row r="6381" spans="1:8" x14ac:dyDescent="0.35">
      <c r="A6381" s="21"/>
      <c r="B6381" t="s">
        <v>10</v>
      </c>
      <c r="C6381" t="s">
        <v>6</v>
      </c>
      <c r="D6381" t="s">
        <v>211</v>
      </c>
      <c r="F6381" s="1">
        <v>45727</v>
      </c>
      <c r="G6381" t="str">
        <f>IF(Table3[[#This Row],[Top Parent Account]]="",Table3[[#This Row],[Account Legal Name]],Table3[[#This Row],[Top Parent Account]])</f>
        <v>Calza Super</v>
      </c>
      <c r="H6381" s="1"/>
    </row>
    <row r="6382" spans="1:8" x14ac:dyDescent="0.35">
      <c r="A6382" s="21"/>
      <c r="B6382" t="s">
        <v>77</v>
      </c>
      <c r="C6382" t="s">
        <v>6</v>
      </c>
      <c r="D6382" t="s">
        <v>2426</v>
      </c>
      <c r="F6382" s="1">
        <v>45727</v>
      </c>
      <c r="G6382" t="str">
        <f>IF(Table3[[#This Row],[Top Parent Account]]="",Table3[[#This Row],[Account Legal Name]],Table3[[#This Row],[Top Parent Account]])</f>
        <v>JESUS JOSE SAENZ GABALDON</v>
      </c>
      <c r="H6382" s="1"/>
    </row>
    <row r="6383" spans="1:8" x14ac:dyDescent="0.35">
      <c r="A6383" s="21"/>
      <c r="B6383" t="s">
        <v>932</v>
      </c>
      <c r="C6383" t="s">
        <v>6</v>
      </c>
      <c r="D6383" t="s">
        <v>1432</v>
      </c>
      <c r="F6383" s="1">
        <v>45727</v>
      </c>
      <c r="G6383" t="str">
        <f>IF(Table3[[#This Row],[Top Parent Account]]="",Table3[[#This Row],[Account Legal Name]],Table3[[#This Row],[Top Parent Account]])</f>
        <v>Transforza</v>
      </c>
      <c r="H6383" s="1"/>
    </row>
    <row r="6384" spans="1:8" x14ac:dyDescent="0.35">
      <c r="A6384" s="21"/>
      <c r="B6384" t="s">
        <v>14</v>
      </c>
      <c r="C6384" t="s">
        <v>6</v>
      </c>
      <c r="D6384" t="s">
        <v>1164</v>
      </c>
      <c r="F6384" s="1">
        <v>45727</v>
      </c>
      <c r="G6384" t="str">
        <f>IF(Table3[[#This Row],[Top Parent Account]]="",Table3[[#This Row],[Account Legal Name]],Table3[[#This Row],[Top Parent Account]])</f>
        <v>Moti Digital</v>
      </c>
      <c r="H6384" s="1"/>
    </row>
    <row r="6385" spans="1:8" x14ac:dyDescent="0.35">
      <c r="A6385" s="21"/>
      <c r="B6385" t="s">
        <v>30</v>
      </c>
      <c r="C6385" t="s">
        <v>6</v>
      </c>
      <c r="D6385" t="s">
        <v>524</v>
      </c>
      <c r="F6385" s="1">
        <v>45727</v>
      </c>
      <c r="G6385" t="str">
        <f>IF(Table3[[#This Row],[Top Parent Account]]="",Table3[[#This Row],[Account Legal Name]],Table3[[#This Row],[Top Parent Account]])</f>
        <v>Middleby Worldwide Services</v>
      </c>
      <c r="H6385" s="1"/>
    </row>
    <row r="6386" spans="1:8" x14ac:dyDescent="0.35">
      <c r="A6386" s="21"/>
      <c r="B6386" t="s">
        <v>11</v>
      </c>
      <c r="C6386" t="s">
        <v>6</v>
      </c>
      <c r="D6386" t="s">
        <v>342</v>
      </c>
      <c r="F6386" s="1">
        <v>45727</v>
      </c>
      <c r="G6386" t="str">
        <f>IF(Table3[[#This Row],[Top Parent Account]]="",Table3[[#This Row],[Account Legal Name]],Table3[[#This Row],[Top Parent Account]])</f>
        <v>Grupo Hermes</v>
      </c>
      <c r="H6386" s="1"/>
    </row>
    <row r="6387" spans="1:8" x14ac:dyDescent="0.35">
      <c r="A6387" s="21"/>
      <c r="B6387" t="s">
        <v>70</v>
      </c>
      <c r="C6387" t="s">
        <v>6</v>
      </c>
      <c r="D6387" t="s">
        <v>639</v>
      </c>
      <c r="F6387" s="1">
        <v>45727</v>
      </c>
      <c r="G6387" t="str">
        <f>IF(Table3[[#This Row],[Top Parent Account]]="",Table3[[#This Row],[Account Legal Name]],Table3[[#This Row],[Top Parent Account]])</f>
        <v>Laboratorio Medico Polanco</v>
      </c>
      <c r="H6387" s="1"/>
    </row>
    <row r="6388" spans="1:8" x14ac:dyDescent="0.35">
      <c r="A6388" s="21"/>
      <c r="B6388" t="s">
        <v>20</v>
      </c>
      <c r="C6388" t="s">
        <v>22</v>
      </c>
      <c r="D6388" t="s">
        <v>663</v>
      </c>
      <c r="F6388" s="1">
        <v>45727</v>
      </c>
      <c r="G6388" t="str">
        <f>IF(Table3[[#This Row],[Top Parent Account]]="",Table3[[#This Row],[Account Legal Name]],Table3[[#This Row],[Top Parent Account]])</f>
        <v>ITM PROJECTS S DE RL DE CV</v>
      </c>
      <c r="H6388" s="1"/>
    </row>
    <row r="6389" spans="1:8" x14ac:dyDescent="0.35">
      <c r="A6389" s="21"/>
      <c r="B6389" t="s">
        <v>1006</v>
      </c>
      <c r="C6389" t="s">
        <v>6</v>
      </c>
      <c r="D6389" t="s">
        <v>1433</v>
      </c>
      <c r="F6389" s="1">
        <v>45727</v>
      </c>
      <c r="G6389" t="str">
        <f>IF(Table3[[#This Row],[Top Parent Account]]="",Table3[[#This Row],[Account Legal Name]],Table3[[#This Row],[Top Parent Account]])</f>
        <v>Acrílicos Newton</v>
      </c>
      <c r="H6389" s="1"/>
    </row>
    <row r="6390" spans="1:8" x14ac:dyDescent="0.35">
      <c r="A6390" s="21"/>
      <c r="B6390" t="s">
        <v>880</v>
      </c>
      <c r="C6390" t="s">
        <v>1434</v>
      </c>
      <c r="D6390" t="s">
        <v>1435</v>
      </c>
      <c r="F6390" s="1">
        <v>45727</v>
      </c>
      <c r="G6390" t="str">
        <f>IF(Table3[[#This Row],[Top Parent Account]]="",Table3[[#This Row],[Account Legal Name]],Table3[[#This Row],[Top Parent Account]])</f>
        <v>Alas Del Monte</v>
      </c>
      <c r="H6390" s="1"/>
    </row>
    <row r="6391" spans="1:8" x14ac:dyDescent="0.35">
      <c r="A6391" s="21"/>
      <c r="B6391" t="s">
        <v>54</v>
      </c>
      <c r="C6391" t="s">
        <v>1434</v>
      </c>
      <c r="D6391" t="s">
        <v>1435</v>
      </c>
      <c r="F6391" s="1">
        <v>45727</v>
      </c>
      <c r="G6391" t="str">
        <f>IF(Table3[[#This Row],[Top Parent Account]]="",Table3[[#This Row],[Account Legal Name]],Table3[[#This Row],[Top Parent Account]])</f>
        <v>Alas Del Monte</v>
      </c>
      <c r="H6391" s="1"/>
    </row>
    <row r="6392" spans="1:8" x14ac:dyDescent="0.35">
      <c r="A6392" s="21"/>
      <c r="B6392" t="s">
        <v>10</v>
      </c>
      <c r="C6392" t="s">
        <v>6</v>
      </c>
      <c r="D6392" t="s">
        <v>672</v>
      </c>
      <c r="F6392" s="1">
        <v>45727</v>
      </c>
      <c r="G6392" t="str">
        <f>IF(Table3[[#This Row],[Top Parent Account]]="",Table3[[#This Row],[Account Legal Name]],Table3[[#This Row],[Top Parent Account]])</f>
        <v>Universidad Del Valle De Atemajac</v>
      </c>
      <c r="H6392" s="1"/>
    </row>
    <row r="6393" spans="1:8" x14ac:dyDescent="0.35">
      <c r="A6393" s="21"/>
      <c r="B6393" t="s">
        <v>7</v>
      </c>
      <c r="C6393" t="s">
        <v>6</v>
      </c>
      <c r="D6393" t="s">
        <v>1436</v>
      </c>
      <c r="F6393" s="1">
        <v>45727</v>
      </c>
      <c r="G6393" t="str">
        <f>IF(Table3[[#This Row],[Top Parent Account]]="",Table3[[#This Row],[Account Legal Name]],Table3[[#This Row],[Top Parent Account]])</f>
        <v>Diga</v>
      </c>
      <c r="H6393" s="1"/>
    </row>
    <row r="6394" spans="1:8" x14ac:dyDescent="0.35">
      <c r="A6394" s="21"/>
      <c r="B6394" t="s">
        <v>208</v>
      </c>
      <c r="C6394" t="s">
        <v>6</v>
      </c>
      <c r="D6394" t="s">
        <v>1437</v>
      </c>
      <c r="F6394" s="1">
        <v>45727</v>
      </c>
      <c r="G6394" t="str">
        <f>IF(Table3[[#This Row],[Top Parent Account]]="",Table3[[#This Row],[Account Legal Name]],Table3[[#This Row],[Top Parent Account]])</f>
        <v>Transportes Colins</v>
      </c>
      <c r="H6394" s="1"/>
    </row>
    <row r="6395" spans="1:8" x14ac:dyDescent="0.35">
      <c r="A6395" s="21"/>
      <c r="B6395" t="s">
        <v>925</v>
      </c>
      <c r="C6395" t="s">
        <v>6</v>
      </c>
      <c r="D6395" t="s">
        <v>1426</v>
      </c>
      <c r="F6395" s="1">
        <v>45727</v>
      </c>
      <c r="G6395" t="str">
        <f>IF(Table3[[#This Row],[Top Parent Account]]="",Table3[[#This Row],[Account Legal Name]],Table3[[#This Row],[Top Parent Account]])</f>
        <v>Silodisa Servicio Integral De Logística y Distribución</v>
      </c>
      <c r="H6395" s="1"/>
    </row>
    <row r="6396" spans="1:8" x14ac:dyDescent="0.35">
      <c r="A6396" s="21"/>
      <c r="B6396" t="s">
        <v>88</v>
      </c>
      <c r="C6396" t="s">
        <v>6</v>
      </c>
      <c r="D6396" t="s">
        <v>376</v>
      </c>
      <c r="F6396" s="1">
        <v>45727</v>
      </c>
      <c r="G6396" t="str">
        <f>IF(Table3[[#This Row],[Top Parent Account]]="",Table3[[#This Row],[Account Legal Name]],Table3[[#This Row],[Top Parent Account]])</f>
        <v>Fábrica de Tiempo Libre</v>
      </c>
      <c r="H6396" s="1"/>
    </row>
    <row r="6397" spans="1:8" x14ac:dyDescent="0.35">
      <c r="A6397" s="21"/>
      <c r="B6397" t="s">
        <v>820</v>
      </c>
      <c r="C6397" t="s">
        <v>6</v>
      </c>
      <c r="D6397" t="s">
        <v>119</v>
      </c>
      <c r="F6397" s="1">
        <v>45727</v>
      </c>
      <c r="G6397" t="str">
        <f>IF(Table3[[#This Row],[Top Parent Account]]="",Table3[[#This Row],[Account Legal Name]],Table3[[#This Row],[Top Parent Account]])</f>
        <v>Grupo Pinturerias</v>
      </c>
      <c r="H6397" s="1"/>
    </row>
    <row r="6398" spans="1:8" x14ac:dyDescent="0.35">
      <c r="A6398" s="21"/>
      <c r="B6398" t="s">
        <v>589</v>
      </c>
      <c r="C6398" t="s">
        <v>6</v>
      </c>
      <c r="D6398" t="s">
        <v>1467</v>
      </c>
      <c r="F6398" s="1">
        <v>45727</v>
      </c>
      <c r="G6398" t="str">
        <f>IF(Table3[[#This Row],[Top Parent Account]]="",Table3[[#This Row],[Account Legal Name]],Table3[[#This Row],[Top Parent Account]])</f>
        <v>Sonne Energeticos</v>
      </c>
      <c r="H6398" s="1"/>
    </row>
    <row r="6399" spans="1:8" x14ac:dyDescent="0.35">
      <c r="A6399" s="21"/>
      <c r="B6399" t="s">
        <v>70</v>
      </c>
      <c r="C6399" t="s">
        <v>22</v>
      </c>
      <c r="D6399" t="s">
        <v>555</v>
      </c>
      <c r="F6399" s="1">
        <v>45727</v>
      </c>
      <c r="G6399" t="str">
        <f>IF(Table3[[#This Row],[Top Parent Account]]="",Table3[[#This Row],[Account Legal Name]],Table3[[#This Row],[Top Parent Account]])</f>
        <v>Hospital Ingles</v>
      </c>
      <c r="H6399" s="1"/>
    </row>
    <row r="6400" spans="1:8" x14ac:dyDescent="0.35">
      <c r="A6400" s="21"/>
      <c r="B6400" t="s">
        <v>26</v>
      </c>
      <c r="C6400" t="s">
        <v>6</v>
      </c>
      <c r="D6400" t="s">
        <v>398</v>
      </c>
      <c r="F6400" s="1">
        <v>45727</v>
      </c>
      <c r="G6400" t="str">
        <f>IF(Table3[[#This Row],[Top Parent Account]]="",Table3[[#This Row],[Account Legal Name]],Table3[[#This Row],[Top Parent Account]])</f>
        <v>Almacenes Refrigerados Consolidados</v>
      </c>
      <c r="H6400" s="1"/>
    </row>
    <row r="6401" spans="1:8" x14ac:dyDescent="0.35">
      <c r="A6401" s="21"/>
      <c r="B6401" t="s">
        <v>172</v>
      </c>
      <c r="C6401" t="s">
        <v>6</v>
      </c>
      <c r="D6401" t="s">
        <v>1468</v>
      </c>
      <c r="F6401" s="1">
        <v>45726</v>
      </c>
      <c r="G6401" t="str">
        <f>IF(Table3[[#This Row],[Top Parent Account]]="",Table3[[#This Row],[Account Legal Name]],Table3[[#This Row],[Top Parent Account]])</f>
        <v>Harsco-Multiserv</v>
      </c>
      <c r="H6401" s="1"/>
    </row>
    <row r="6402" spans="1:8" x14ac:dyDescent="0.35">
      <c r="A6402" s="21"/>
      <c r="B6402" t="s">
        <v>37</v>
      </c>
      <c r="C6402" t="s">
        <v>33</v>
      </c>
      <c r="D6402" t="s">
        <v>1438</v>
      </c>
      <c r="F6402" s="1">
        <v>45726</v>
      </c>
      <c r="G6402" t="str">
        <f>IF(Table3[[#This Row],[Top Parent Account]]="",Table3[[#This Row],[Account Legal Name]],Table3[[#This Row],[Top Parent Account]])</f>
        <v>AV PRECISION MFG</v>
      </c>
      <c r="H6402" s="1"/>
    </row>
    <row r="6403" spans="1:8" x14ac:dyDescent="0.35">
      <c r="A6403" s="21"/>
      <c r="B6403" t="s">
        <v>880</v>
      </c>
      <c r="C6403" t="s">
        <v>1439</v>
      </c>
      <c r="D6403" t="s">
        <v>327</v>
      </c>
      <c r="F6403" s="1">
        <v>45726</v>
      </c>
      <c r="G6403" t="str">
        <f>IF(Table3[[#This Row],[Top Parent Account]]="",Table3[[#This Row],[Account Legal Name]],Table3[[#This Row],[Top Parent Account]])</f>
        <v>Tienda Neto</v>
      </c>
      <c r="H6403" s="1"/>
    </row>
    <row r="6404" spans="1:8" x14ac:dyDescent="0.35">
      <c r="A6404" s="21"/>
      <c r="B6404" t="s">
        <v>1282</v>
      </c>
      <c r="C6404" t="s">
        <v>1439</v>
      </c>
      <c r="D6404" t="s">
        <v>327</v>
      </c>
      <c r="F6404" s="1">
        <v>45726</v>
      </c>
      <c r="G6404" t="str">
        <f>IF(Table3[[#This Row],[Top Parent Account]]="",Table3[[#This Row],[Account Legal Name]],Table3[[#This Row],[Top Parent Account]])</f>
        <v>Tienda Neto</v>
      </c>
      <c r="H6404" s="1"/>
    </row>
    <row r="6405" spans="1:8" x14ac:dyDescent="0.35">
      <c r="A6405" s="21"/>
      <c r="B6405" t="s">
        <v>54</v>
      </c>
      <c r="C6405" t="s">
        <v>1439</v>
      </c>
      <c r="D6405" t="s">
        <v>327</v>
      </c>
      <c r="F6405" s="1">
        <v>45726</v>
      </c>
      <c r="G6405" t="str">
        <f>IF(Table3[[#This Row],[Top Parent Account]]="",Table3[[#This Row],[Account Legal Name]],Table3[[#This Row],[Top Parent Account]])</f>
        <v>Tienda Neto</v>
      </c>
      <c r="H6405" s="1"/>
    </row>
    <row r="6406" spans="1:8" x14ac:dyDescent="0.35">
      <c r="A6406" s="21"/>
      <c r="B6406" t="s">
        <v>11</v>
      </c>
      <c r="C6406" t="s">
        <v>6</v>
      </c>
      <c r="D6406" t="s">
        <v>297</v>
      </c>
      <c r="F6406" s="1">
        <v>45726</v>
      </c>
      <c r="G6406" t="str">
        <f>IF(Table3[[#This Row],[Top Parent Account]]="",Table3[[#This Row],[Account Legal Name]],Table3[[#This Row],[Top Parent Account]])</f>
        <v>Italika</v>
      </c>
      <c r="H6406" s="1"/>
    </row>
    <row r="6407" spans="1:8" x14ac:dyDescent="0.35">
      <c r="A6407" s="21"/>
      <c r="B6407" t="s">
        <v>88</v>
      </c>
      <c r="C6407" t="s">
        <v>6</v>
      </c>
      <c r="D6407" t="s">
        <v>1440</v>
      </c>
      <c r="F6407" s="1">
        <v>45726</v>
      </c>
      <c r="G6407" t="str">
        <f>IF(Table3[[#This Row],[Top Parent Account]]="",Table3[[#This Row],[Account Legal Name]],Table3[[#This Row],[Top Parent Account]])</f>
        <v>MVC PRODUCCIONES INTERNACIONALES</v>
      </c>
      <c r="H6407" s="1"/>
    </row>
    <row r="6408" spans="1:8" x14ac:dyDescent="0.35">
      <c r="A6408" s="21"/>
      <c r="B6408" t="s">
        <v>192</v>
      </c>
      <c r="C6408" t="s">
        <v>49</v>
      </c>
      <c r="D6408" t="s">
        <v>1103</v>
      </c>
      <c r="F6408" s="1">
        <v>45726</v>
      </c>
      <c r="G6408" t="str">
        <f>IF(Table3[[#This Row],[Top Parent Account]]="",Table3[[#This Row],[Account Legal Name]],Table3[[#This Row],[Top Parent Account]])</f>
        <v>Secure Nextgen Systems</v>
      </c>
      <c r="H6408" s="1"/>
    </row>
    <row r="6409" spans="1:8" x14ac:dyDescent="0.35">
      <c r="A6409" s="21"/>
      <c r="B6409" t="s">
        <v>12</v>
      </c>
      <c r="C6409" t="s">
        <v>6</v>
      </c>
      <c r="D6409" t="s">
        <v>1441</v>
      </c>
      <c r="F6409" s="1">
        <v>45726</v>
      </c>
      <c r="G6409" t="str">
        <f>IF(Table3[[#This Row],[Top Parent Account]]="",Table3[[#This Row],[Account Legal Name]],Table3[[#This Row],[Top Parent Account]])</f>
        <v>Transporte nacional 3 Ordoñez</v>
      </c>
      <c r="H6409" s="1"/>
    </row>
    <row r="6410" spans="1:8" x14ac:dyDescent="0.35">
      <c r="A6410" s="21"/>
      <c r="B6410" t="s">
        <v>12</v>
      </c>
      <c r="C6410" t="s">
        <v>6</v>
      </c>
      <c r="D6410" t="s">
        <v>1443</v>
      </c>
      <c r="F6410" s="1">
        <v>45726</v>
      </c>
      <c r="G6410" t="str">
        <f>IF(Table3[[#This Row],[Top Parent Account]]="",Table3[[#This Row],[Account Legal Name]],Table3[[#This Row],[Top Parent Account]])</f>
        <v>Grupo Entremaderas</v>
      </c>
      <c r="H6410" s="1"/>
    </row>
    <row r="6411" spans="1:8" x14ac:dyDescent="0.35">
      <c r="A6411" s="21"/>
      <c r="B6411" t="s">
        <v>739</v>
      </c>
      <c r="C6411" t="s">
        <v>6</v>
      </c>
      <c r="D6411" t="s">
        <v>197</v>
      </c>
      <c r="F6411" s="1">
        <v>45726</v>
      </c>
      <c r="G6411" t="str">
        <f>IF(Table3[[#This Row],[Top Parent Account]]="",Table3[[#This Row],[Account Legal Name]],Table3[[#This Row],[Top Parent Account]])</f>
        <v>Operadora Exe</v>
      </c>
      <c r="H6411" s="1"/>
    </row>
    <row r="6412" spans="1:8" x14ac:dyDescent="0.35">
      <c r="A6412" s="21"/>
      <c r="B6412" t="s">
        <v>969</v>
      </c>
      <c r="C6412" t="s">
        <v>6</v>
      </c>
      <c r="D6412" t="s">
        <v>1442</v>
      </c>
      <c r="F6412" s="1">
        <v>45726</v>
      </c>
      <c r="G6412" t="str">
        <f>IF(Table3[[#This Row],[Top Parent Account]]="",Table3[[#This Row],[Account Legal Name]],Table3[[#This Row],[Top Parent Account]])</f>
        <v>Kyocera Document Solutions México</v>
      </c>
      <c r="H6412" s="1"/>
    </row>
    <row r="6413" spans="1:8" x14ac:dyDescent="0.35">
      <c r="A6413" s="21"/>
      <c r="B6413" t="s">
        <v>60</v>
      </c>
      <c r="C6413" t="s">
        <v>6</v>
      </c>
      <c r="D6413" t="s">
        <v>1003</v>
      </c>
      <c r="F6413" s="1">
        <v>45726</v>
      </c>
      <c r="G6413" t="str">
        <f>IF(Table3[[#This Row],[Top Parent Account]]="",Table3[[#This Row],[Account Legal Name]],Table3[[#This Row],[Top Parent Account]])</f>
        <v>Grupo Vallas</v>
      </c>
      <c r="H6413" s="1"/>
    </row>
    <row r="6414" spans="1:8" x14ac:dyDescent="0.35">
      <c r="A6414" s="21"/>
      <c r="B6414" t="s">
        <v>172</v>
      </c>
      <c r="C6414" t="s">
        <v>6</v>
      </c>
      <c r="D6414" t="s">
        <v>712</v>
      </c>
      <c r="F6414" s="1">
        <v>45726</v>
      </c>
      <c r="G6414" t="str">
        <f>IF(Table3[[#This Row],[Top Parent Account]]="",Table3[[#This Row],[Account Legal Name]],Table3[[#This Row],[Top Parent Account]])</f>
        <v>Cadrex</v>
      </c>
      <c r="H6414" s="1"/>
    </row>
    <row r="6415" spans="1:8" x14ac:dyDescent="0.35">
      <c r="A6415" s="21"/>
      <c r="B6415" t="s">
        <v>925</v>
      </c>
      <c r="C6415" t="s">
        <v>6</v>
      </c>
      <c r="D6415" t="s">
        <v>1444</v>
      </c>
      <c r="F6415" s="1">
        <v>45726</v>
      </c>
      <c r="G6415" t="str">
        <f>IF(Table3[[#This Row],[Top Parent Account]]="",Table3[[#This Row],[Account Legal Name]],Table3[[#This Row],[Top Parent Account]])</f>
        <v>PROYECTOS INDUSTRIALES Y COMERCIALES DINAM</v>
      </c>
      <c r="H6415" s="1"/>
    </row>
    <row r="6416" spans="1:8" x14ac:dyDescent="0.35">
      <c r="A6416" s="21"/>
      <c r="B6416" t="s">
        <v>970</v>
      </c>
      <c r="C6416" t="s">
        <v>6</v>
      </c>
      <c r="D6416" t="s">
        <v>1147</v>
      </c>
      <c r="F6416" s="1">
        <v>45726</v>
      </c>
      <c r="G6416" t="str">
        <f>IF(Table3[[#This Row],[Top Parent Account]]="",Table3[[#This Row],[Account Legal Name]],Table3[[#This Row],[Top Parent Account]])</f>
        <v>RLH Properties</v>
      </c>
      <c r="H6416" s="1"/>
    </row>
    <row r="6417" spans="1:8" x14ac:dyDescent="0.35">
      <c r="A6417" s="21"/>
      <c r="B6417" t="s">
        <v>989</v>
      </c>
      <c r="C6417" t="s">
        <v>6</v>
      </c>
      <c r="D6417" t="s">
        <v>1330</v>
      </c>
      <c r="F6417" s="1">
        <v>45726</v>
      </c>
      <c r="G6417" t="str">
        <f>IF(Table3[[#This Row],[Top Parent Account]]="",Table3[[#This Row],[Account Legal Name]],Table3[[#This Row],[Top Parent Account]])</f>
        <v>GE CAPITAL EMPRESARIAL</v>
      </c>
      <c r="H6417" s="1"/>
    </row>
    <row r="6418" spans="1:8" x14ac:dyDescent="0.35">
      <c r="A6418" s="21"/>
      <c r="B6418" t="s">
        <v>18</v>
      </c>
      <c r="C6418" t="s">
        <v>6</v>
      </c>
      <c r="D6418" t="s">
        <v>1402</v>
      </c>
      <c r="F6418" s="1">
        <v>45723</v>
      </c>
      <c r="G6418" t="str">
        <f>IF(Table3[[#This Row],[Top Parent Account]]="",Table3[[#This Row],[Account Legal Name]],Table3[[#This Row],[Top Parent Account]])</f>
        <v>Transportes Jr CHAVANA</v>
      </c>
      <c r="H6418" s="1"/>
    </row>
    <row r="6419" spans="1:8" x14ac:dyDescent="0.35">
      <c r="A6419" s="21"/>
      <c r="B6419" t="s">
        <v>14</v>
      </c>
      <c r="C6419" t="s">
        <v>6</v>
      </c>
      <c r="D6419" t="s">
        <v>1404</v>
      </c>
      <c r="F6419" s="1">
        <v>45723</v>
      </c>
      <c r="G6419" t="str">
        <f>IF(Table3[[#This Row],[Top Parent Account]]="",Table3[[#This Row],[Account Legal Name]],Table3[[#This Row],[Top Parent Account]])</f>
        <v>El Bronco Autopartes</v>
      </c>
      <c r="H6419" s="1"/>
    </row>
    <row r="6420" spans="1:8" x14ac:dyDescent="0.35">
      <c r="A6420" s="21"/>
      <c r="B6420" t="s">
        <v>10</v>
      </c>
      <c r="C6420" t="s">
        <v>6</v>
      </c>
      <c r="D6420" t="s">
        <v>548</v>
      </c>
      <c r="F6420" s="1">
        <v>45723</v>
      </c>
      <c r="G6420" t="str">
        <f>IF(Table3[[#This Row],[Top Parent Account]]="",Table3[[#This Row],[Account Legal Name]],Table3[[#This Row],[Top Parent Account]])</f>
        <v>Cervecería de Colima</v>
      </c>
      <c r="H6420" s="1"/>
    </row>
    <row r="6421" spans="1:8" x14ac:dyDescent="0.35">
      <c r="A6421" s="21"/>
      <c r="B6421" t="s">
        <v>10</v>
      </c>
      <c r="C6421" t="s">
        <v>6</v>
      </c>
      <c r="D6421" t="s">
        <v>269</v>
      </c>
      <c r="F6421" s="1">
        <v>45723</v>
      </c>
      <c r="G6421" t="str">
        <f>IF(Table3[[#This Row],[Top Parent Account]]="",Table3[[#This Row],[Account Legal Name]],Table3[[#This Row],[Top Parent Account]])</f>
        <v>Grupo Logístico de la Cuenca del Pacífico</v>
      </c>
      <c r="H6421" s="1"/>
    </row>
    <row r="6422" spans="1:8" x14ac:dyDescent="0.35">
      <c r="A6422" s="21"/>
      <c r="B6422" t="s">
        <v>28</v>
      </c>
      <c r="C6422" t="s">
        <v>6</v>
      </c>
      <c r="D6422" t="s">
        <v>1640</v>
      </c>
      <c r="F6422" s="1">
        <v>45723</v>
      </c>
      <c r="G6422" t="str">
        <f>IF(Table3[[#This Row],[Top Parent Account]]="",Table3[[#This Row],[Account Legal Name]],Table3[[#This Row],[Top Parent Account]])</f>
        <v>Farmacia Agroquímica de México</v>
      </c>
      <c r="H6422" s="1"/>
    </row>
    <row r="6423" spans="1:8" x14ac:dyDescent="0.35">
      <c r="A6423" s="21"/>
      <c r="B6423" t="s">
        <v>10</v>
      </c>
      <c r="C6423" t="s">
        <v>6</v>
      </c>
      <c r="D6423" t="s">
        <v>239</v>
      </c>
      <c r="F6423" s="1">
        <v>45723</v>
      </c>
      <c r="G6423" t="str">
        <f>IF(Table3[[#This Row],[Top Parent Account]]="",Table3[[#This Row],[Account Legal Name]],Table3[[#This Row],[Top Parent Account]])</f>
        <v>High Pack</v>
      </c>
      <c r="H6423" s="1"/>
    </row>
    <row r="6424" spans="1:8" x14ac:dyDescent="0.35">
      <c r="A6424" s="21"/>
      <c r="B6424" t="s">
        <v>121</v>
      </c>
      <c r="C6424" t="s">
        <v>6</v>
      </c>
      <c r="D6424" t="s">
        <v>1405</v>
      </c>
      <c r="F6424" s="1">
        <v>45723</v>
      </c>
      <c r="G6424" t="str">
        <f>IF(Table3[[#This Row],[Top Parent Account]]="",Table3[[#This Row],[Account Legal Name]],Table3[[#This Row],[Top Parent Account]])</f>
        <v>Torrico Alimentos</v>
      </c>
      <c r="H6424" s="1"/>
    </row>
    <row r="6425" spans="1:8" x14ac:dyDescent="0.35">
      <c r="A6425" s="21"/>
      <c r="B6425" t="s">
        <v>258</v>
      </c>
      <c r="C6425" t="s">
        <v>6</v>
      </c>
      <c r="D6425" t="s">
        <v>1146</v>
      </c>
      <c r="F6425" s="1">
        <v>45723</v>
      </c>
      <c r="G6425" t="str">
        <f>IF(Table3[[#This Row],[Top Parent Account]]="",Table3[[#This Row],[Account Legal Name]],Table3[[#This Row],[Top Parent Account]])</f>
        <v>Grupo Agropecuario Integral AGROPRO</v>
      </c>
      <c r="H6425" s="1"/>
    </row>
    <row r="6426" spans="1:8" x14ac:dyDescent="0.35">
      <c r="A6426" s="21"/>
      <c r="B6426" t="s">
        <v>192</v>
      </c>
      <c r="C6426" t="s">
        <v>49</v>
      </c>
      <c r="D6426" t="s">
        <v>1346</v>
      </c>
      <c r="F6426" s="1">
        <v>45723</v>
      </c>
      <c r="G6426" t="str">
        <f>IF(Table3[[#This Row],[Top Parent Account]]="",Table3[[#This Row],[Account Legal Name]],Table3[[#This Row],[Top Parent Account]])</f>
        <v>361 Grados Logística P.O.P.</v>
      </c>
      <c r="H6426" s="1"/>
    </row>
    <row r="6427" spans="1:8" x14ac:dyDescent="0.35">
      <c r="A6427" s="21"/>
      <c r="B6427" t="s">
        <v>28</v>
      </c>
      <c r="C6427" t="s">
        <v>6</v>
      </c>
      <c r="D6427" t="s">
        <v>1406</v>
      </c>
      <c r="F6427" s="1">
        <v>45723</v>
      </c>
      <c r="G6427" t="str">
        <f>IF(Table3[[#This Row],[Top Parent Account]]="",Table3[[#This Row],[Account Legal Name]],Table3[[#This Row],[Top Parent Account]])</f>
        <v>DESSERT SUPER SERVIVCIOS</v>
      </c>
      <c r="H6427" s="1"/>
    </row>
    <row r="6428" spans="1:8" x14ac:dyDescent="0.35">
      <c r="A6428" s="21"/>
      <c r="B6428" t="s">
        <v>207</v>
      </c>
      <c r="C6428" t="s">
        <v>6</v>
      </c>
      <c r="D6428" t="s">
        <v>1012</v>
      </c>
      <c r="F6428" s="1">
        <v>45723</v>
      </c>
      <c r="G6428" t="str">
        <f>IF(Table3[[#This Row],[Top Parent Account]]="",Table3[[#This Row],[Account Legal Name]],Table3[[#This Row],[Top Parent Account]])</f>
        <v>Transporte y logística mexicana</v>
      </c>
      <c r="H6428" s="1"/>
    </row>
    <row r="6429" spans="1:8" x14ac:dyDescent="0.35">
      <c r="A6429" s="21"/>
      <c r="B6429" t="s">
        <v>38</v>
      </c>
      <c r="C6429" t="s">
        <v>6</v>
      </c>
      <c r="D6429" t="s">
        <v>504</v>
      </c>
      <c r="F6429" s="1">
        <v>45723</v>
      </c>
      <c r="G6429" t="str">
        <f>IF(Table3[[#This Row],[Top Parent Account]]="",Table3[[#This Row],[Account Legal Name]],Table3[[#This Row],[Top Parent Account]])</f>
        <v>Anguiplast</v>
      </c>
      <c r="H6429" s="1"/>
    </row>
    <row r="6430" spans="1:8" x14ac:dyDescent="0.35">
      <c r="A6430" s="21"/>
      <c r="B6430" t="s">
        <v>192</v>
      </c>
      <c r="C6430" t="s">
        <v>49</v>
      </c>
      <c r="D6430" t="s">
        <v>1347</v>
      </c>
      <c r="F6430" s="1">
        <v>45723</v>
      </c>
      <c r="G6430" t="str">
        <f>IF(Table3[[#This Row],[Top Parent Account]]="",Table3[[#This Row],[Account Legal Name]],Table3[[#This Row],[Top Parent Account]])</f>
        <v>El tsunami de Miguel</v>
      </c>
      <c r="H6430" s="1"/>
    </row>
    <row r="6431" spans="1:8" x14ac:dyDescent="0.35">
      <c r="A6431" s="21"/>
      <c r="B6431" t="s">
        <v>84</v>
      </c>
      <c r="C6431" t="s">
        <v>1348</v>
      </c>
      <c r="D6431" t="s">
        <v>1349</v>
      </c>
      <c r="F6431" s="1">
        <v>45723</v>
      </c>
      <c r="G6431" t="str">
        <f>IF(Table3[[#This Row],[Top Parent Account]]="",Table3[[#This Row],[Account Legal Name]],Table3[[#This Row],[Top Parent Account]])</f>
        <v>Next Energy Mexicana</v>
      </c>
      <c r="H6431" s="1"/>
    </row>
    <row r="6432" spans="1:8" x14ac:dyDescent="0.35">
      <c r="A6432" s="21"/>
      <c r="B6432" t="s">
        <v>26</v>
      </c>
      <c r="C6432" t="s">
        <v>6</v>
      </c>
      <c r="D6432" t="s">
        <v>405</v>
      </c>
      <c r="F6432" s="1">
        <v>45723</v>
      </c>
      <c r="G6432" t="str">
        <f>IF(Table3[[#This Row],[Top Parent Account]]="",Table3[[#This Row],[Account Legal Name]],Table3[[#This Row],[Top Parent Account]])</f>
        <v>NUTRISERVICIOS PECUARIOS</v>
      </c>
      <c r="H6432" s="1"/>
    </row>
    <row r="6433" spans="1:8" x14ac:dyDescent="0.35">
      <c r="A6433" s="21"/>
      <c r="B6433" t="s">
        <v>121</v>
      </c>
      <c r="C6433" t="s">
        <v>6</v>
      </c>
      <c r="D6433" t="s">
        <v>939</v>
      </c>
      <c r="F6433" s="1">
        <v>45723</v>
      </c>
      <c r="G6433" t="str">
        <f>IF(Table3[[#This Row],[Top Parent Account]]="",Table3[[#This Row],[Account Legal Name]],Table3[[#This Row],[Top Parent Account]])</f>
        <v>AGRO SOIL DE MEXICO</v>
      </c>
      <c r="H6433" s="1"/>
    </row>
    <row r="6434" spans="1:8" x14ac:dyDescent="0.35">
      <c r="A6434" s="21"/>
      <c r="B6434" t="s">
        <v>121</v>
      </c>
      <c r="C6434" t="s">
        <v>6</v>
      </c>
      <c r="D6434" t="s">
        <v>835</v>
      </c>
      <c r="F6434" s="1">
        <v>45723</v>
      </c>
      <c r="G6434" t="str">
        <f>IF(Table3[[#This Row],[Top Parent Account]]="",Table3[[#This Row],[Account Legal Name]],Table3[[#This Row],[Top Parent Account]])</f>
        <v>Desarrolladora de Energía Global</v>
      </c>
      <c r="H6434" s="1"/>
    </row>
    <row r="6435" spans="1:8" x14ac:dyDescent="0.35">
      <c r="A6435" s="21"/>
      <c r="B6435" t="s">
        <v>32</v>
      </c>
      <c r="C6435" t="s">
        <v>6</v>
      </c>
      <c r="D6435" t="s">
        <v>1407</v>
      </c>
      <c r="F6435" s="1">
        <v>45722</v>
      </c>
      <c r="G6435" t="str">
        <f>IF(Table3[[#This Row],[Top Parent Account]]="",Table3[[#This Row],[Account Legal Name]],Table3[[#This Row],[Top Parent Account]])</f>
        <v>Transportes El Olvido</v>
      </c>
      <c r="H6435" s="1"/>
    </row>
    <row r="6436" spans="1:8" x14ac:dyDescent="0.35">
      <c r="A6436" s="21"/>
      <c r="B6436" t="s">
        <v>207</v>
      </c>
      <c r="C6436" t="s">
        <v>6</v>
      </c>
      <c r="D6436" t="s">
        <v>1334</v>
      </c>
      <c r="F6436" s="1">
        <v>45722</v>
      </c>
      <c r="G6436" t="str">
        <f>IF(Table3[[#This Row],[Top Parent Account]]="",Table3[[#This Row],[Account Legal Name]],Table3[[#This Row],[Top Parent Account]])</f>
        <v>SUMINISTROS EN ACERO TOLUCA</v>
      </c>
      <c r="H6436" s="1"/>
    </row>
    <row r="6437" spans="1:8" x14ac:dyDescent="0.35">
      <c r="A6437" s="21"/>
      <c r="B6437" t="s">
        <v>207</v>
      </c>
      <c r="C6437" t="s">
        <v>6</v>
      </c>
      <c r="D6437" t="s">
        <v>1350</v>
      </c>
      <c r="F6437" s="1">
        <v>45722</v>
      </c>
      <c r="G6437" t="str">
        <f>IF(Table3[[#This Row],[Top Parent Account]]="",Table3[[#This Row],[Account Legal Name]],Table3[[#This Row],[Top Parent Account]])</f>
        <v>Arte Plastics</v>
      </c>
      <c r="H6437" s="1"/>
    </row>
    <row r="6438" spans="1:8" x14ac:dyDescent="0.35">
      <c r="A6438" s="21"/>
      <c r="B6438" t="s">
        <v>88</v>
      </c>
      <c r="C6438" t="s">
        <v>6</v>
      </c>
      <c r="D6438" t="s">
        <v>1351</v>
      </c>
      <c r="F6438" s="1">
        <v>45722</v>
      </c>
      <c r="G6438" t="str">
        <f>IF(Table3[[#This Row],[Top Parent Account]]="",Table3[[#This Row],[Account Legal Name]],Table3[[#This Row],[Top Parent Account]])</f>
        <v>Hugo Eli Gutiérrez Fernandez</v>
      </c>
      <c r="H6438" s="1"/>
    </row>
    <row r="6439" spans="1:8" x14ac:dyDescent="0.35">
      <c r="A6439" s="21"/>
      <c r="B6439" t="s">
        <v>39</v>
      </c>
      <c r="C6439" t="s">
        <v>1352</v>
      </c>
      <c r="D6439" t="s">
        <v>520</v>
      </c>
      <c r="F6439" s="1">
        <v>45722</v>
      </c>
      <c r="G6439" t="str">
        <f>IF(Table3[[#This Row],[Top Parent Account]]="",Table3[[#This Row],[Account Legal Name]],Table3[[#This Row],[Top Parent Account]])</f>
        <v>Comercializadora de Alimentos Ochoa</v>
      </c>
      <c r="H6439" s="1"/>
    </row>
    <row r="6440" spans="1:8" x14ac:dyDescent="0.35">
      <c r="A6440" s="21"/>
      <c r="B6440" t="s">
        <v>70</v>
      </c>
      <c r="C6440" t="s">
        <v>6</v>
      </c>
      <c r="D6440" t="s">
        <v>848</v>
      </c>
      <c r="F6440" s="1">
        <v>45722</v>
      </c>
      <c r="G6440" t="str">
        <f>IF(Table3[[#This Row],[Top Parent Account]]="",Table3[[#This Row],[Account Legal Name]],Table3[[#This Row],[Top Parent Account]])</f>
        <v>laboratorio de análisis clínico Gama</v>
      </c>
      <c r="H6440" s="1"/>
    </row>
    <row r="6441" spans="1:8" x14ac:dyDescent="0.35">
      <c r="A6441" s="21"/>
      <c r="B6441" t="s">
        <v>60</v>
      </c>
      <c r="C6441" t="s">
        <v>22</v>
      </c>
      <c r="D6441" t="s">
        <v>244</v>
      </c>
      <c r="F6441" s="1">
        <v>45722</v>
      </c>
      <c r="G6441" t="str">
        <f>IF(Table3[[#This Row],[Top Parent Account]]="",Table3[[#This Row],[Account Legal Name]],Table3[[#This Row],[Top Parent Account]])</f>
        <v>Aceleración Nuclear y Resonancia Magnética</v>
      </c>
      <c r="H6441" s="1"/>
    </row>
    <row r="6442" spans="1:8" x14ac:dyDescent="0.35">
      <c r="A6442" s="21"/>
      <c r="B6442" t="s">
        <v>26</v>
      </c>
      <c r="C6442" t="s">
        <v>6</v>
      </c>
      <c r="D6442" t="s">
        <v>1353</v>
      </c>
      <c r="F6442" s="1">
        <v>45722</v>
      </c>
      <c r="G6442" t="str">
        <f>IF(Table3[[#This Row],[Top Parent Account]]="",Table3[[#This Row],[Account Legal Name]],Table3[[#This Row],[Top Parent Account]])</f>
        <v>A&amp;c international supply</v>
      </c>
      <c r="H6442" s="1"/>
    </row>
    <row r="6443" spans="1:8" x14ac:dyDescent="0.35">
      <c r="A6443" s="21"/>
      <c r="B6443" t="s">
        <v>114</v>
      </c>
      <c r="C6443" t="s">
        <v>6</v>
      </c>
      <c r="D6443" t="s">
        <v>825</v>
      </c>
      <c r="F6443" s="1">
        <v>45722</v>
      </c>
      <c r="G6443" t="str">
        <f>IF(Table3[[#This Row],[Top Parent Account]]="",Table3[[#This Row],[Account Legal Name]],Table3[[#This Row],[Top Parent Account]])</f>
        <v>Harinera Anahuac</v>
      </c>
      <c r="H6443" s="1"/>
    </row>
    <row r="6444" spans="1:8" x14ac:dyDescent="0.35">
      <c r="A6444" s="21"/>
      <c r="B6444" t="s">
        <v>739</v>
      </c>
      <c r="C6444" t="s">
        <v>6</v>
      </c>
      <c r="D6444" t="s">
        <v>537</v>
      </c>
      <c r="F6444" s="1">
        <v>45722</v>
      </c>
      <c r="G6444" t="str">
        <f>IF(Table3[[#This Row],[Top Parent Account]]="",Table3[[#This Row],[Account Legal Name]],Table3[[#This Row],[Top Parent Account]])</f>
        <v>Industrias Vinícolas Pedro Domeq</v>
      </c>
      <c r="H6444" s="1"/>
    </row>
    <row r="6445" spans="1:8" x14ac:dyDescent="0.35">
      <c r="A6445" s="21"/>
      <c r="B6445" t="s">
        <v>375</v>
      </c>
      <c r="C6445" t="s">
        <v>6</v>
      </c>
      <c r="D6445" t="s">
        <v>1354</v>
      </c>
      <c r="F6445" s="1">
        <v>45722</v>
      </c>
      <c r="G6445" t="str">
        <f>IF(Table3[[#This Row],[Top Parent Account]]="",Table3[[#This Row],[Account Legal Name]],Table3[[#This Row],[Top Parent Account]])</f>
        <v>Comercializadora Nareci</v>
      </c>
      <c r="H6445" s="1"/>
    </row>
    <row r="6446" spans="1:8" x14ac:dyDescent="0.35">
      <c r="A6446" s="21"/>
      <c r="B6446" t="s">
        <v>258</v>
      </c>
      <c r="C6446" t="s">
        <v>6</v>
      </c>
      <c r="D6446" t="s">
        <v>1332</v>
      </c>
      <c r="F6446" s="1">
        <v>45722</v>
      </c>
      <c r="G6446" t="str">
        <f>IF(Table3[[#This Row],[Top Parent Account]]="",Table3[[#This Row],[Account Legal Name]],Table3[[#This Row],[Top Parent Account]])</f>
        <v>Mecsa Steel</v>
      </c>
      <c r="H6446" s="1"/>
    </row>
    <row r="6447" spans="1:8" x14ac:dyDescent="0.35">
      <c r="A6447" s="21"/>
      <c r="B6447" t="s">
        <v>925</v>
      </c>
      <c r="C6447" t="s">
        <v>6</v>
      </c>
      <c r="D6447" t="s">
        <v>1355</v>
      </c>
      <c r="F6447" s="1">
        <v>45722</v>
      </c>
      <c r="G6447" t="str">
        <f>IF(Table3[[#This Row],[Top Parent Account]]="",Table3[[#This Row],[Account Legal Name]],Table3[[#This Row],[Top Parent Account]])</f>
        <v>Grupo Industrial Verduzco</v>
      </c>
      <c r="H6447" s="1"/>
    </row>
    <row r="6448" spans="1:8" x14ac:dyDescent="0.35">
      <c r="A6448" s="21"/>
      <c r="B6448" t="s">
        <v>132</v>
      </c>
      <c r="C6448" t="s">
        <v>1356</v>
      </c>
      <c r="D6448" t="s">
        <v>651</v>
      </c>
      <c r="F6448" s="1">
        <v>45722</v>
      </c>
      <c r="G6448" t="str">
        <f>IF(Table3[[#This Row],[Top Parent Account]]="",Table3[[#This Row],[Account Legal Name]],Table3[[#This Row],[Top Parent Account]])</f>
        <v>Gómez Cuétara Hnos</v>
      </c>
      <c r="H6448" s="1"/>
    </row>
    <row r="6449" spans="1:8" x14ac:dyDescent="0.35">
      <c r="A6449" s="21"/>
      <c r="B6449" t="s">
        <v>54</v>
      </c>
      <c r="C6449" t="s">
        <v>1356</v>
      </c>
      <c r="D6449" t="s">
        <v>651</v>
      </c>
      <c r="F6449" s="1">
        <v>45722</v>
      </c>
      <c r="G6449" t="str">
        <f>IF(Table3[[#This Row],[Top Parent Account]]="",Table3[[#This Row],[Account Legal Name]],Table3[[#This Row],[Top Parent Account]])</f>
        <v>Gómez Cuétara Hnos</v>
      </c>
      <c r="H6449" s="1"/>
    </row>
    <row r="6450" spans="1:8" x14ac:dyDescent="0.35">
      <c r="A6450" s="21"/>
      <c r="B6450" t="s">
        <v>23</v>
      </c>
      <c r="C6450" t="s">
        <v>6</v>
      </c>
      <c r="D6450" t="s">
        <v>1357</v>
      </c>
      <c r="F6450" s="1">
        <v>45722</v>
      </c>
      <c r="G6450" t="str">
        <f>IF(Table3[[#This Row],[Top Parent Account]]="",Table3[[#This Row],[Account Legal Name]],Table3[[#This Row],[Top Parent Account]])</f>
        <v>Kunstoff Technologie</v>
      </c>
      <c r="H6450" s="1"/>
    </row>
    <row r="6451" spans="1:8" x14ac:dyDescent="0.35">
      <c r="A6451" s="21"/>
      <c r="B6451" t="s">
        <v>60</v>
      </c>
      <c r="C6451" t="s">
        <v>22</v>
      </c>
      <c r="D6451" t="s">
        <v>309</v>
      </c>
      <c r="F6451" s="1">
        <v>45722</v>
      </c>
      <c r="G6451" t="str">
        <f>IF(Table3[[#This Row],[Top Parent Account]]="",Table3[[#This Row],[Account Legal Name]],Table3[[#This Row],[Top Parent Account]])</f>
        <v>Fletes Hesa</v>
      </c>
      <c r="H6451" s="1"/>
    </row>
    <row r="6452" spans="1:8" x14ac:dyDescent="0.35">
      <c r="A6452" s="21"/>
      <c r="B6452" t="s">
        <v>77</v>
      </c>
      <c r="C6452" t="s">
        <v>6</v>
      </c>
      <c r="D6452" t="s">
        <v>1358</v>
      </c>
      <c r="F6452" s="1">
        <v>45722</v>
      </c>
      <c r="G6452" t="str">
        <f>IF(Table3[[#This Row],[Top Parent Account]]="",Table3[[#This Row],[Account Legal Name]],Table3[[#This Row],[Top Parent Account]])</f>
        <v>AF CNC &amp; MILLS MACHINERY</v>
      </c>
      <c r="H6452" s="1"/>
    </row>
    <row r="6453" spans="1:8" x14ac:dyDescent="0.35">
      <c r="A6453" s="21"/>
      <c r="B6453" t="s">
        <v>77</v>
      </c>
      <c r="C6453" t="s">
        <v>6</v>
      </c>
      <c r="D6453" t="s">
        <v>1335</v>
      </c>
      <c r="F6453" s="1">
        <v>45722</v>
      </c>
      <c r="G6453" t="str">
        <f>IF(Table3[[#This Row],[Top Parent Account]]="",Table3[[#This Row],[Account Legal Name]],Table3[[#This Row],[Top Parent Account]])</f>
        <v>PERFIL DE CHIHUAHUA CM</v>
      </c>
      <c r="H6453" s="1"/>
    </row>
    <row r="6454" spans="1:8" x14ac:dyDescent="0.35">
      <c r="A6454" s="21"/>
      <c r="B6454" t="s">
        <v>258</v>
      </c>
      <c r="C6454" t="s">
        <v>6</v>
      </c>
      <c r="D6454" t="s">
        <v>1083</v>
      </c>
      <c r="F6454" s="1">
        <v>45722</v>
      </c>
      <c r="G6454" t="str">
        <f>IF(Table3[[#This Row],[Top Parent Account]]="",Table3[[#This Row],[Account Legal Name]],Table3[[#This Row],[Top Parent Account]])</f>
        <v>Centro de Reciclaje de Altiplano</v>
      </c>
      <c r="H6454" s="1"/>
    </row>
    <row r="6455" spans="1:8" x14ac:dyDescent="0.35">
      <c r="A6455" s="21"/>
      <c r="B6455" t="s">
        <v>30</v>
      </c>
      <c r="C6455" t="s">
        <v>6</v>
      </c>
      <c r="D6455" t="s">
        <v>972</v>
      </c>
      <c r="F6455" s="1">
        <v>45722</v>
      </c>
      <c r="G6455" t="str">
        <f>IF(Table3[[#This Row],[Top Parent Account]]="",Table3[[#This Row],[Account Legal Name]],Table3[[#This Row],[Top Parent Account]])</f>
        <v>Sistemas y Equipos Procesadores de Efectivo</v>
      </c>
      <c r="H6455" s="1"/>
    </row>
    <row r="6456" spans="1:8" x14ac:dyDescent="0.35">
      <c r="A6456" s="21"/>
      <c r="B6456" t="s">
        <v>27</v>
      </c>
      <c r="C6456" t="s">
        <v>6</v>
      </c>
      <c r="D6456" t="s">
        <v>1841</v>
      </c>
      <c r="E6456" t="s">
        <v>1295</v>
      </c>
      <c r="F6456" s="1">
        <v>45722</v>
      </c>
      <c r="G6456" t="str">
        <f>IF(Table3[[#This Row],[Top Parent Account]]="",Table3[[#This Row],[Account Legal Name]],Table3[[#This Row],[Top Parent Account]])</f>
        <v>Proteina Animal</v>
      </c>
      <c r="H6456" s="1"/>
    </row>
    <row r="6457" spans="1:8" x14ac:dyDescent="0.35">
      <c r="A6457" s="21"/>
      <c r="B6457" t="s">
        <v>375</v>
      </c>
      <c r="C6457" t="s">
        <v>6</v>
      </c>
      <c r="D6457" t="s">
        <v>572</v>
      </c>
      <c r="F6457" s="1">
        <v>45722</v>
      </c>
      <c r="G6457" t="str">
        <f>IF(Table3[[#This Row],[Top Parent Account]]="",Table3[[#This Row],[Account Legal Name]],Table3[[#This Row],[Top Parent Account]])</f>
        <v>AD 17 SOLUTIONS</v>
      </c>
      <c r="H6457" s="1"/>
    </row>
    <row r="6458" spans="1:8" x14ac:dyDescent="0.35">
      <c r="A6458" s="21"/>
      <c r="B6458" t="s">
        <v>27</v>
      </c>
      <c r="C6458" t="s">
        <v>22</v>
      </c>
      <c r="D6458" t="s">
        <v>438</v>
      </c>
      <c r="F6458" s="1">
        <v>45722</v>
      </c>
      <c r="G6458" t="str">
        <f>IF(Table3[[#This Row],[Top Parent Account]]="",Table3[[#This Row],[Account Legal Name]],Table3[[#This Row],[Top Parent Account]])</f>
        <v>Arbomex</v>
      </c>
      <c r="H6458" s="1"/>
    </row>
    <row r="6459" spans="1:8" x14ac:dyDescent="0.35">
      <c r="A6459" s="21"/>
      <c r="B6459" t="s">
        <v>39</v>
      </c>
      <c r="C6459" t="s">
        <v>57</v>
      </c>
      <c r="D6459" t="s">
        <v>1359</v>
      </c>
      <c r="F6459" s="1">
        <v>45722</v>
      </c>
      <c r="G6459" t="str">
        <f>IF(Table3[[#This Row],[Top Parent Account]]="",Table3[[#This Row],[Account Legal Name]],Table3[[#This Row],[Top Parent Account]])</f>
        <v>Baja Aqua Farms</v>
      </c>
      <c r="H6459" s="1"/>
    </row>
    <row r="6460" spans="1:8" x14ac:dyDescent="0.35">
      <c r="A6460" s="21"/>
      <c r="B6460" t="s">
        <v>30</v>
      </c>
      <c r="C6460" t="s">
        <v>6</v>
      </c>
      <c r="D6460" t="s">
        <v>96</v>
      </c>
      <c r="F6460" s="1">
        <v>45722</v>
      </c>
      <c r="G6460" t="str">
        <f>IF(Table3[[#This Row],[Top Parent Account]]="",Table3[[#This Row],[Account Legal Name]],Table3[[#This Row],[Top Parent Account]])</f>
        <v>Prysmian Cables y Sistemas de México</v>
      </c>
      <c r="H6460" s="1"/>
    </row>
    <row r="6461" spans="1:8" x14ac:dyDescent="0.35">
      <c r="A6461" s="21"/>
      <c r="B6461" t="s">
        <v>932</v>
      </c>
      <c r="C6461" t="s">
        <v>1361</v>
      </c>
      <c r="D6461" t="s">
        <v>53</v>
      </c>
      <c r="F6461" s="1">
        <v>45722</v>
      </c>
      <c r="G6461" t="str">
        <f>IF(Table3[[#This Row],[Top Parent Account]]="",Table3[[#This Row],[Account Legal Name]],Table3[[#This Row],[Top Parent Account]])</f>
        <v>Enestas</v>
      </c>
      <c r="H6461" s="1"/>
    </row>
    <row r="6462" spans="1:8" x14ac:dyDescent="0.35">
      <c r="A6462" s="21"/>
      <c r="B6462" t="s">
        <v>280</v>
      </c>
      <c r="C6462" t="s">
        <v>6</v>
      </c>
      <c r="D6462" t="s">
        <v>1360</v>
      </c>
      <c r="F6462" s="1">
        <v>45722</v>
      </c>
      <c r="G6462" t="str">
        <f>IF(Table3[[#This Row],[Top Parent Account]]="",Table3[[#This Row],[Account Legal Name]],Table3[[#This Row],[Top Parent Account]])</f>
        <v>Menita Comercial Oceánica</v>
      </c>
      <c r="H6462" s="1"/>
    </row>
    <row r="6463" spans="1:8" x14ac:dyDescent="0.35">
      <c r="A6463" s="21"/>
      <c r="B6463" t="s">
        <v>60</v>
      </c>
      <c r="C6463" t="s">
        <v>6</v>
      </c>
      <c r="D6463" t="s">
        <v>994</v>
      </c>
      <c r="F6463" s="1">
        <v>45722</v>
      </c>
      <c r="G6463" t="str">
        <f>IF(Table3[[#This Row],[Top Parent Account]]="",Table3[[#This Row],[Account Legal Name]],Table3[[#This Row],[Top Parent Account]])</f>
        <v>Inamex De Cerveza y Malta</v>
      </c>
      <c r="H6463" s="1"/>
    </row>
    <row r="6464" spans="1:8" x14ac:dyDescent="0.35">
      <c r="A6464" s="21"/>
      <c r="B6464" t="s">
        <v>28</v>
      </c>
      <c r="C6464" t="s">
        <v>6</v>
      </c>
      <c r="D6464" t="s">
        <v>1403</v>
      </c>
      <c r="F6464" s="1">
        <v>45722</v>
      </c>
      <c r="G6464" t="str">
        <f>IF(Table3[[#This Row],[Top Parent Account]]="",Table3[[#This Row],[Account Legal Name]],Table3[[#This Row],[Top Parent Account]])</f>
        <v>GRANJA PALESTINA</v>
      </c>
      <c r="H6464" s="1"/>
    </row>
    <row r="6465" spans="1:8" x14ac:dyDescent="0.35">
      <c r="A6465" s="21"/>
      <c r="B6465" t="s">
        <v>258</v>
      </c>
      <c r="C6465" t="s">
        <v>6</v>
      </c>
      <c r="D6465" t="s">
        <v>1172</v>
      </c>
      <c r="E6465" t="s">
        <v>300</v>
      </c>
      <c r="F6465" s="1">
        <v>45722</v>
      </c>
      <c r="G6465" t="str">
        <f>IF(Table3[[#This Row],[Top Parent Account]]="",Table3[[#This Row],[Account Legal Name]],Table3[[#This Row],[Top Parent Account]])</f>
        <v>LLANTERA ATLAS</v>
      </c>
      <c r="H6465" s="1"/>
    </row>
    <row r="6466" spans="1:8" x14ac:dyDescent="0.35">
      <c r="A6466" s="21"/>
      <c r="B6466" t="s">
        <v>820</v>
      </c>
      <c r="C6466" t="s">
        <v>6</v>
      </c>
      <c r="D6466" t="s">
        <v>578</v>
      </c>
      <c r="F6466" s="1">
        <v>45722</v>
      </c>
      <c r="G6466" t="str">
        <f>IF(Table3[[#This Row],[Top Parent Account]]="",Table3[[#This Row],[Account Legal Name]],Table3[[#This Row],[Top Parent Account]])</f>
        <v>Suministro para Uso Médico y Hospitalario</v>
      </c>
      <c r="H6466" s="1"/>
    </row>
    <row r="6467" spans="1:8" x14ac:dyDescent="0.35">
      <c r="A6467" s="21"/>
      <c r="B6467" t="s">
        <v>18</v>
      </c>
      <c r="C6467" t="s">
        <v>6</v>
      </c>
      <c r="D6467" t="s">
        <v>1362</v>
      </c>
      <c r="F6467" s="1">
        <v>45722</v>
      </c>
      <c r="G6467" t="str">
        <f>IF(Table3[[#This Row],[Top Parent Account]]="",Table3[[#This Row],[Account Legal Name]],Table3[[#This Row],[Top Parent Account]])</f>
        <v>Impresos Mera</v>
      </c>
      <c r="H6467" s="1"/>
    </row>
    <row r="6468" spans="1:8" x14ac:dyDescent="0.35">
      <c r="A6468" s="21"/>
      <c r="B6468" t="s">
        <v>32</v>
      </c>
      <c r="C6468" t="s">
        <v>6</v>
      </c>
      <c r="D6468" t="s">
        <v>1408</v>
      </c>
      <c r="F6468" s="1">
        <v>45722</v>
      </c>
      <c r="G6468" t="str">
        <f>IF(Table3[[#This Row],[Top Parent Account]]="",Table3[[#This Row],[Account Legal Name]],Table3[[#This Row],[Top Parent Account]])</f>
        <v>Buen Capital</v>
      </c>
      <c r="H6468" s="1"/>
    </row>
    <row r="6469" spans="1:8" x14ac:dyDescent="0.35">
      <c r="A6469" s="21"/>
      <c r="B6469" t="s">
        <v>39</v>
      </c>
      <c r="C6469" t="s">
        <v>57</v>
      </c>
      <c r="D6469" t="s">
        <v>1363</v>
      </c>
      <c r="F6469" s="1">
        <v>45722</v>
      </c>
      <c r="G6469" t="str">
        <f>IF(Table3[[#This Row],[Top Parent Account]]="",Table3[[#This Row],[Account Legal Name]],Table3[[#This Row],[Top Parent Account]])</f>
        <v>Baja Marine Foods</v>
      </c>
      <c r="H6469" s="1"/>
    </row>
    <row r="6470" spans="1:8" x14ac:dyDescent="0.35">
      <c r="A6470" s="21"/>
      <c r="B6470" t="s">
        <v>38</v>
      </c>
      <c r="C6470" t="s">
        <v>6</v>
      </c>
      <c r="D6470" t="s">
        <v>456</v>
      </c>
      <c r="F6470" s="1">
        <v>45722</v>
      </c>
      <c r="G6470" t="str">
        <f>IF(Table3[[#This Row],[Top Parent Account]]="",Table3[[#This Row],[Account Legal Name]],Table3[[#This Row],[Top Parent Account]])</f>
        <v>Corporación Dalton</v>
      </c>
      <c r="H6470" s="1"/>
    </row>
    <row r="6471" spans="1:8" x14ac:dyDescent="0.35">
      <c r="A6471" s="21"/>
      <c r="B6471" t="s">
        <v>51</v>
      </c>
      <c r="C6471" t="s">
        <v>6</v>
      </c>
      <c r="D6471" t="s">
        <v>821</v>
      </c>
      <c r="F6471" s="1">
        <v>45722</v>
      </c>
      <c r="G6471" t="str">
        <f>IF(Table3[[#This Row],[Top Parent Account]]="",Table3[[#This Row],[Account Legal Name]],Table3[[#This Row],[Top Parent Account]])</f>
        <v>DIBAR NUTRICIONAL</v>
      </c>
      <c r="H6471" s="1"/>
    </row>
    <row r="6472" spans="1:8" x14ac:dyDescent="0.35">
      <c r="A6472" s="21"/>
      <c r="B6472" t="s">
        <v>15</v>
      </c>
      <c r="C6472" t="s">
        <v>6</v>
      </c>
      <c r="D6472" t="s">
        <v>374</v>
      </c>
      <c r="E6472" t="s">
        <v>69</v>
      </c>
      <c r="F6472" s="1">
        <v>45722</v>
      </c>
      <c r="G6472" t="str">
        <f>IF(Table3[[#This Row],[Top Parent Account]]="",Table3[[#This Row],[Account Legal Name]],Table3[[#This Row],[Top Parent Account]])</f>
        <v>GLOBAL ARMOR</v>
      </c>
      <c r="H6472" s="1"/>
    </row>
    <row r="6473" spans="1:8" x14ac:dyDescent="0.35">
      <c r="A6473" s="21"/>
      <c r="B6473" t="s">
        <v>280</v>
      </c>
      <c r="C6473" t="s">
        <v>6</v>
      </c>
      <c r="D6473" t="s">
        <v>1364</v>
      </c>
      <c r="F6473" s="1">
        <v>45722</v>
      </c>
      <c r="G6473" t="str">
        <f>IF(Table3[[#This Row],[Top Parent Account]]="",Table3[[#This Row],[Account Legal Name]],Table3[[#This Row],[Top Parent Account]])</f>
        <v>HISHTIL MEXICO</v>
      </c>
      <c r="H6473" s="1"/>
    </row>
    <row r="6474" spans="1:8" x14ac:dyDescent="0.35">
      <c r="A6474" s="21"/>
      <c r="B6474" t="s">
        <v>38</v>
      </c>
      <c r="C6474" t="s">
        <v>6</v>
      </c>
      <c r="D6474" t="s">
        <v>1203</v>
      </c>
      <c r="F6474" s="1">
        <v>45722</v>
      </c>
      <c r="G6474" t="str">
        <f>IF(Table3[[#This Row],[Top Parent Account]]="",Table3[[#This Row],[Account Legal Name]],Table3[[#This Row],[Top Parent Account]])</f>
        <v>Lyncott Alimentaria</v>
      </c>
      <c r="H6474" s="1"/>
    </row>
    <row r="6475" spans="1:8" x14ac:dyDescent="0.35">
      <c r="A6475" s="21"/>
      <c r="B6475" t="s">
        <v>38</v>
      </c>
      <c r="C6475" t="s">
        <v>6</v>
      </c>
      <c r="D6475" t="s">
        <v>635</v>
      </c>
      <c r="F6475" s="1">
        <v>45722</v>
      </c>
      <c r="G6475" t="str">
        <f>IF(Table3[[#This Row],[Top Parent Account]]="",Table3[[#This Row],[Account Legal Name]],Table3[[#This Row],[Top Parent Account]])</f>
        <v>Grupo Rifel</v>
      </c>
      <c r="H6475" s="1"/>
    </row>
    <row r="6476" spans="1:8" x14ac:dyDescent="0.35">
      <c r="A6476" s="21"/>
      <c r="B6476" t="s">
        <v>39</v>
      </c>
      <c r="C6476" t="s">
        <v>57</v>
      </c>
      <c r="D6476" t="s">
        <v>1365</v>
      </c>
      <c r="F6476" s="1">
        <v>45722</v>
      </c>
      <c r="G6476" t="str">
        <f>IF(Table3[[#This Row],[Top Parent Account]]="",Table3[[#This Row],[Account Legal Name]],Table3[[#This Row],[Top Parent Account]])</f>
        <v>Aene Foods</v>
      </c>
      <c r="H6476" s="1"/>
    </row>
    <row r="6477" spans="1:8" x14ac:dyDescent="0.35">
      <c r="A6477" s="21"/>
      <c r="B6477" t="s">
        <v>26</v>
      </c>
      <c r="C6477" t="s">
        <v>6</v>
      </c>
      <c r="D6477" t="s">
        <v>1487</v>
      </c>
      <c r="F6477" s="1">
        <v>45722</v>
      </c>
      <c r="G6477" t="str">
        <f>IF(Table3[[#This Row],[Top Parent Account]]="",Table3[[#This Row],[Account Legal Name]],Table3[[#This Row],[Top Parent Account]])</f>
        <v>Leonali</v>
      </c>
      <c r="H6477" s="1"/>
    </row>
    <row r="6478" spans="1:8" x14ac:dyDescent="0.35">
      <c r="A6478" s="21"/>
      <c r="B6478" t="s">
        <v>32</v>
      </c>
      <c r="C6478" t="s">
        <v>6</v>
      </c>
      <c r="D6478" t="s">
        <v>630</v>
      </c>
      <c r="F6478" s="1">
        <v>45722</v>
      </c>
      <c r="G6478" t="str">
        <f>IF(Table3[[#This Row],[Top Parent Account]]="",Table3[[#This Row],[Account Legal Name]],Table3[[#This Row],[Top Parent Account]])</f>
        <v>Ta 2000</v>
      </c>
      <c r="H6478" s="1"/>
    </row>
    <row r="6479" spans="1:8" x14ac:dyDescent="0.35">
      <c r="A6479" s="21"/>
      <c r="B6479" t="s">
        <v>23</v>
      </c>
      <c r="C6479" t="s">
        <v>6</v>
      </c>
      <c r="D6479" t="s">
        <v>4405</v>
      </c>
      <c r="F6479" s="1">
        <v>45722</v>
      </c>
      <c r="G6479" t="str">
        <f>IF(Table3[[#This Row],[Top Parent Account]]="",Table3[[#This Row],[Account Legal Name]],Table3[[#This Row],[Top Parent Account]])</f>
        <v>Cosei</v>
      </c>
      <c r="H6479" s="1"/>
    </row>
    <row r="6480" spans="1:8" x14ac:dyDescent="0.35">
      <c r="A6480" s="21"/>
      <c r="B6480" t="s">
        <v>38</v>
      </c>
      <c r="C6480" t="s">
        <v>6</v>
      </c>
      <c r="D6480" t="s">
        <v>560</v>
      </c>
      <c r="F6480" s="1">
        <v>45722</v>
      </c>
      <c r="G6480" t="str">
        <f>IF(Table3[[#This Row],[Top Parent Account]]="",Table3[[#This Row],[Account Legal Name]],Table3[[#This Row],[Top Parent Account]])</f>
        <v>Constructora Chufani</v>
      </c>
      <c r="H6480" s="1"/>
    </row>
    <row r="6481" spans="1:8" x14ac:dyDescent="0.35">
      <c r="A6481" s="21"/>
      <c r="B6481" t="s">
        <v>32</v>
      </c>
      <c r="C6481" t="s">
        <v>6</v>
      </c>
      <c r="D6481" t="s">
        <v>45</v>
      </c>
      <c r="F6481" s="1">
        <v>45721</v>
      </c>
      <c r="G6481" t="str">
        <f>IF(Table3[[#This Row],[Top Parent Account]]="",Table3[[#This Row],[Account Legal Name]],Table3[[#This Row],[Top Parent Account]])</f>
        <v>Elan Energy</v>
      </c>
      <c r="H6481" s="1"/>
    </row>
    <row r="6482" spans="1:8" x14ac:dyDescent="0.35">
      <c r="A6482" s="21"/>
      <c r="B6482" t="s">
        <v>114</v>
      </c>
      <c r="C6482" t="s">
        <v>6</v>
      </c>
      <c r="D6482" t="s">
        <v>400</v>
      </c>
      <c r="E6482" t="s">
        <v>401</v>
      </c>
      <c r="F6482" s="1">
        <v>45721</v>
      </c>
      <c r="G6482" t="str">
        <f>IF(Table3[[#This Row],[Top Parent Account]]="",Table3[[#This Row],[Account Legal Name]],Table3[[#This Row],[Top Parent Account]])</f>
        <v>Grupo Pavisa</v>
      </c>
      <c r="H6482" s="1"/>
    </row>
    <row r="6483" spans="1:8" x14ac:dyDescent="0.35">
      <c r="A6483" s="21"/>
      <c r="B6483" t="s">
        <v>32</v>
      </c>
      <c r="C6483" t="s">
        <v>6</v>
      </c>
      <c r="D6483" t="s">
        <v>425</v>
      </c>
      <c r="F6483" s="1">
        <v>45721</v>
      </c>
      <c r="G6483" t="str">
        <f>IF(Table3[[#This Row],[Top Parent Account]]="",Table3[[#This Row],[Account Legal Name]],Table3[[#This Row],[Top Parent Account]])</f>
        <v>Po Empaques Flexibles</v>
      </c>
      <c r="H6483" s="1"/>
    </row>
    <row r="6484" spans="1:8" x14ac:dyDescent="0.35">
      <c r="A6484" s="21"/>
      <c r="B6484" t="s">
        <v>30</v>
      </c>
      <c r="C6484" t="s">
        <v>6</v>
      </c>
      <c r="D6484" t="s">
        <v>406</v>
      </c>
      <c r="F6484" s="1">
        <v>45721</v>
      </c>
      <c r="G6484" t="str">
        <f>IF(Table3[[#This Row],[Top Parent Account]]="",Table3[[#This Row],[Account Legal Name]],Table3[[#This Row],[Top Parent Account]])</f>
        <v>Cubetas y Baños</v>
      </c>
      <c r="H6484" s="1"/>
    </row>
    <row r="6485" spans="1:8" x14ac:dyDescent="0.35">
      <c r="A6485" s="21"/>
      <c r="B6485" t="s">
        <v>25</v>
      </c>
      <c r="C6485" t="s">
        <v>6</v>
      </c>
      <c r="D6485" t="s">
        <v>1366</v>
      </c>
      <c r="F6485" s="1">
        <v>45721</v>
      </c>
      <c r="G6485" t="str">
        <f>IF(Table3[[#This Row],[Top Parent Account]]="",Table3[[#This Row],[Account Legal Name]],Table3[[#This Row],[Top Parent Account]])</f>
        <v>Alimentos Par</v>
      </c>
      <c r="H6485" s="1"/>
    </row>
    <row r="6486" spans="1:8" x14ac:dyDescent="0.35">
      <c r="A6486" s="21"/>
      <c r="B6486" t="s">
        <v>60</v>
      </c>
      <c r="C6486" t="s">
        <v>22</v>
      </c>
      <c r="D6486" t="s">
        <v>879</v>
      </c>
      <c r="F6486" s="1">
        <v>45721</v>
      </c>
      <c r="G6486" t="str">
        <f>IF(Table3[[#This Row],[Top Parent Account]]="",Table3[[#This Row],[Account Legal Name]],Table3[[#This Row],[Top Parent Account]])</f>
        <v>Agroservicios la Trinidad</v>
      </c>
      <c r="H6486" s="1"/>
    </row>
    <row r="6487" spans="1:8" x14ac:dyDescent="0.35">
      <c r="A6487" s="21"/>
      <c r="B6487" t="s">
        <v>26</v>
      </c>
      <c r="C6487" t="s">
        <v>6</v>
      </c>
      <c r="D6487" t="s">
        <v>497</v>
      </c>
      <c r="F6487" s="1">
        <v>45721</v>
      </c>
      <c r="G6487" t="str">
        <f>IF(Table3[[#This Row],[Top Parent Account]]="",Table3[[#This Row],[Account Legal Name]],Table3[[#This Row],[Top Parent Account]])</f>
        <v>Servicios Troncalizados</v>
      </c>
      <c r="H6487" s="1"/>
    </row>
    <row r="6488" spans="1:8" x14ac:dyDescent="0.35">
      <c r="A6488" s="21"/>
      <c r="B6488" t="s">
        <v>26</v>
      </c>
      <c r="C6488" t="s">
        <v>6</v>
      </c>
      <c r="D6488" t="s">
        <v>1180</v>
      </c>
      <c r="F6488" s="1">
        <v>45721</v>
      </c>
      <c r="G6488" t="str">
        <f>IF(Table3[[#This Row],[Top Parent Account]]="",Table3[[#This Row],[Account Legal Name]],Table3[[#This Row],[Top Parent Account]])</f>
        <v>Chantilly</v>
      </c>
      <c r="H6488" s="1"/>
    </row>
    <row r="6489" spans="1:8" x14ac:dyDescent="0.35">
      <c r="A6489" s="21"/>
      <c r="B6489" t="s">
        <v>1031</v>
      </c>
      <c r="C6489" t="s">
        <v>6</v>
      </c>
      <c r="D6489" t="s">
        <v>1345</v>
      </c>
      <c r="F6489" s="1">
        <v>45721</v>
      </c>
      <c r="G6489" t="str">
        <f>IF(Table3[[#This Row],[Top Parent Account]]="",Table3[[#This Row],[Account Legal Name]],Table3[[#This Row],[Top Parent Account]])</f>
        <v>Productora y Comercializadora Internacional Mexicana</v>
      </c>
      <c r="H6489" s="1"/>
    </row>
    <row r="6490" spans="1:8" x14ac:dyDescent="0.35">
      <c r="A6490" s="21"/>
      <c r="B6490" t="s">
        <v>39</v>
      </c>
      <c r="C6490" t="s">
        <v>57</v>
      </c>
      <c r="D6490" t="s">
        <v>1367</v>
      </c>
      <c r="F6490" s="1">
        <v>45721</v>
      </c>
      <c r="G6490" t="str">
        <f>IF(Table3[[#This Row],[Top Parent Account]]="",Table3[[#This Row],[Account Legal Name]],Table3[[#This Row],[Top Parent Account]])</f>
        <v>Ram Pack</v>
      </c>
      <c r="H6490" s="1"/>
    </row>
    <row r="6491" spans="1:8" x14ac:dyDescent="0.35">
      <c r="A6491" s="21"/>
      <c r="B6491" t="s">
        <v>739</v>
      </c>
      <c r="C6491" t="s">
        <v>6</v>
      </c>
      <c r="D6491" t="s">
        <v>1225</v>
      </c>
      <c r="F6491" s="1">
        <v>45721</v>
      </c>
      <c r="G6491" t="str">
        <f>IF(Table3[[#This Row],[Top Parent Account]]="",Table3[[#This Row],[Account Legal Name]],Table3[[#This Row],[Top Parent Account]])</f>
        <v>COMERCIALIZADORA MAYORISTA DEL GOLFO</v>
      </c>
      <c r="H6491" s="1"/>
    </row>
    <row r="6492" spans="1:8" x14ac:dyDescent="0.35">
      <c r="A6492" s="21"/>
      <c r="B6492" t="s">
        <v>30</v>
      </c>
      <c r="C6492" t="s">
        <v>6</v>
      </c>
      <c r="D6492" t="s">
        <v>463</v>
      </c>
      <c r="F6492" s="1">
        <v>45721</v>
      </c>
      <c r="G6492" t="str">
        <f>IF(Table3[[#This Row],[Top Parent Account]]="",Table3[[#This Row],[Account Legal Name]],Table3[[#This Row],[Top Parent Account]])</f>
        <v>Anfitriones Nacionales</v>
      </c>
      <c r="H6492" s="1"/>
    </row>
    <row r="6493" spans="1:8" x14ac:dyDescent="0.35">
      <c r="A6493" s="21"/>
      <c r="B6493" t="s">
        <v>258</v>
      </c>
      <c r="C6493" t="s">
        <v>6</v>
      </c>
      <c r="D6493" t="s">
        <v>1368</v>
      </c>
      <c r="F6493" s="1">
        <v>45721</v>
      </c>
      <c r="G6493" t="str">
        <f>IF(Table3[[#This Row],[Top Parent Account]]="",Table3[[#This Row],[Account Legal Name]],Table3[[#This Row],[Top Parent Account]])</f>
        <v>Ecosintex</v>
      </c>
      <c r="H6493" s="1"/>
    </row>
    <row r="6494" spans="1:8" x14ac:dyDescent="0.35">
      <c r="A6494" s="21"/>
      <c r="B6494" t="s">
        <v>28</v>
      </c>
      <c r="C6494" t="s">
        <v>6</v>
      </c>
      <c r="D6494" t="s">
        <v>1369</v>
      </c>
      <c r="F6494" s="1">
        <v>45721</v>
      </c>
      <c r="G6494" t="str">
        <f>IF(Table3[[#This Row],[Top Parent Account]]="",Table3[[#This Row],[Account Legal Name]],Table3[[#This Row],[Top Parent Account]])</f>
        <v>Compania Constructora</v>
      </c>
      <c r="H6494" s="1"/>
    </row>
    <row r="6495" spans="1:8" x14ac:dyDescent="0.35">
      <c r="A6495" s="21"/>
      <c r="B6495" t="s">
        <v>14</v>
      </c>
      <c r="C6495" t="s">
        <v>6</v>
      </c>
      <c r="D6495" t="s">
        <v>929</v>
      </c>
      <c r="F6495" s="1">
        <v>45721</v>
      </c>
      <c r="G6495" t="str">
        <f>IF(Table3[[#This Row],[Top Parent Account]]="",Table3[[#This Row],[Account Legal Name]],Table3[[#This Row],[Top Parent Account]])</f>
        <v>Rentom</v>
      </c>
      <c r="H6495" s="1"/>
    </row>
    <row r="6496" spans="1:8" x14ac:dyDescent="0.35">
      <c r="A6496" s="21"/>
      <c r="B6496" t="s">
        <v>121</v>
      </c>
      <c r="C6496" t="s">
        <v>6</v>
      </c>
      <c r="D6496" t="s">
        <v>1409</v>
      </c>
      <c r="F6496" s="1">
        <v>45721</v>
      </c>
      <c r="G6496" t="str">
        <f>IF(Table3[[#This Row],[Top Parent Account]]="",Table3[[#This Row],[Account Legal Name]],Table3[[#This Row],[Top Parent Account]])</f>
        <v>diatomix</v>
      </c>
      <c r="H6496" s="1"/>
    </row>
    <row r="6497" spans="1:8" x14ac:dyDescent="0.35">
      <c r="A6497" s="21"/>
      <c r="B6497" t="s">
        <v>32</v>
      </c>
      <c r="C6497" t="s">
        <v>22</v>
      </c>
      <c r="D6497" t="s">
        <v>461</v>
      </c>
      <c r="F6497" s="1">
        <v>45721</v>
      </c>
      <c r="G6497" t="str">
        <f>IF(Table3[[#This Row],[Top Parent Account]]="",Table3[[#This Row],[Account Legal Name]],Table3[[#This Row],[Top Parent Account]])</f>
        <v>Prefamovil Infraestructura</v>
      </c>
      <c r="H6497" s="1"/>
    </row>
    <row r="6498" spans="1:8" x14ac:dyDescent="0.35">
      <c r="A6498" s="21"/>
      <c r="B6498" t="s">
        <v>739</v>
      </c>
      <c r="C6498" t="s">
        <v>6</v>
      </c>
      <c r="D6498" t="s">
        <v>197</v>
      </c>
      <c r="F6498" s="1">
        <v>45721</v>
      </c>
      <c r="G6498" t="str">
        <f>IF(Table3[[#This Row],[Top Parent Account]]="",Table3[[#This Row],[Account Legal Name]],Table3[[#This Row],[Top Parent Account]])</f>
        <v>Operadora Exe</v>
      </c>
      <c r="H6498" s="1"/>
    </row>
    <row r="6499" spans="1:8" x14ac:dyDescent="0.35">
      <c r="A6499" s="21"/>
      <c r="B6499" t="s">
        <v>32</v>
      </c>
      <c r="C6499" t="s">
        <v>6</v>
      </c>
      <c r="D6499" t="s">
        <v>492</v>
      </c>
      <c r="F6499" s="1">
        <v>45721</v>
      </c>
      <c r="G6499" t="str">
        <f>IF(Table3[[#This Row],[Top Parent Account]]="",Table3[[#This Row],[Account Legal Name]],Table3[[#This Row],[Top Parent Account]])</f>
        <v>Rancho Santa Rita</v>
      </c>
      <c r="H6499" s="1"/>
    </row>
    <row r="6500" spans="1:8" x14ac:dyDescent="0.35">
      <c r="A6500" s="21"/>
      <c r="B6500" t="s">
        <v>12</v>
      </c>
      <c r="C6500" t="s">
        <v>6</v>
      </c>
      <c r="D6500" t="s">
        <v>1370</v>
      </c>
      <c r="F6500" s="1">
        <v>45721</v>
      </c>
      <c r="G6500" t="str">
        <f>IF(Table3[[#This Row],[Top Parent Account]]="",Table3[[#This Row],[Account Legal Name]],Table3[[#This Row],[Top Parent Account]])</f>
        <v>Materiales y Prefabricados de Oriente</v>
      </c>
      <c r="H6500" s="1"/>
    </row>
    <row r="6501" spans="1:8" x14ac:dyDescent="0.35">
      <c r="A6501" s="21"/>
      <c r="B6501" t="s">
        <v>8</v>
      </c>
      <c r="C6501" t="s">
        <v>6</v>
      </c>
      <c r="D6501" t="s">
        <v>1371</v>
      </c>
      <c r="F6501" s="1">
        <v>45721</v>
      </c>
      <c r="G6501" t="str">
        <f>IF(Table3[[#This Row],[Top Parent Account]]="",Table3[[#This Row],[Account Legal Name]],Table3[[#This Row],[Top Parent Account]])</f>
        <v>Factoring Corporativo</v>
      </c>
      <c r="H6501" s="1"/>
    </row>
    <row r="6502" spans="1:8" x14ac:dyDescent="0.35">
      <c r="A6502" s="21"/>
      <c r="B6502" t="s">
        <v>27</v>
      </c>
      <c r="C6502" t="s">
        <v>22</v>
      </c>
      <c r="D6502" t="s">
        <v>1291</v>
      </c>
      <c r="F6502" s="1">
        <v>45721</v>
      </c>
      <c r="G6502" t="str">
        <f>IF(Table3[[#This Row],[Top Parent Account]]="",Table3[[#This Row],[Account Legal Name]],Table3[[#This Row],[Top Parent Account]])</f>
        <v>Beta Procesos</v>
      </c>
      <c r="H6502" s="1"/>
    </row>
    <row r="6503" spans="1:8" x14ac:dyDescent="0.35">
      <c r="A6503" s="21"/>
      <c r="B6503" t="s">
        <v>589</v>
      </c>
      <c r="C6503" t="s">
        <v>6</v>
      </c>
      <c r="D6503" t="s">
        <v>1372</v>
      </c>
      <c r="F6503" s="1">
        <v>45721</v>
      </c>
      <c r="G6503" t="str">
        <f>IF(Table3[[#This Row],[Top Parent Account]]="",Table3[[#This Row],[Account Legal Name]],Table3[[#This Row],[Top Parent Account]])</f>
        <v>IG Anuncios</v>
      </c>
      <c r="H6503" s="1"/>
    </row>
    <row r="6504" spans="1:8" x14ac:dyDescent="0.35">
      <c r="A6504" s="21"/>
      <c r="B6504" t="s">
        <v>14</v>
      </c>
      <c r="C6504" t="s">
        <v>6</v>
      </c>
      <c r="D6504" t="s">
        <v>1192</v>
      </c>
      <c r="F6504" s="1">
        <v>45721</v>
      </c>
      <c r="G6504" t="str">
        <f>IF(Table3[[#This Row],[Top Parent Account]]="",Table3[[#This Row],[Account Legal Name]],Table3[[#This Row],[Top Parent Account]])</f>
        <v>Somi Transportes</v>
      </c>
      <c r="H6504" s="1"/>
    </row>
    <row r="6505" spans="1:8" x14ac:dyDescent="0.35">
      <c r="A6505" s="21"/>
      <c r="B6505" t="s">
        <v>970</v>
      </c>
      <c r="C6505" t="s">
        <v>6</v>
      </c>
      <c r="D6505" t="s">
        <v>47</v>
      </c>
      <c r="F6505" s="1">
        <v>45721</v>
      </c>
      <c r="G6505" t="str">
        <f>IF(Table3[[#This Row],[Top Parent Account]]="",Table3[[#This Row],[Account Legal Name]],Table3[[#This Row],[Top Parent Account]])</f>
        <v>Grupo Farmaceutico Somar</v>
      </c>
      <c r="H6505" s="1"/>
    </row>
    <row r="6506" spans="1:8" x14ac:dyDescent="0.35">
      <c r="A6506" s="21"/>
      <c r="B6506" t="s">
        <v>12</v>
      </c>
      <c r="C6506" t="s">
        <v>6</v>
      </c>
      <c r="D6506" t="s">
        <v>1109</v>
      </c>
      <c r="F6506" s="1">
        <v>45721</v>
      </c>
      <c r="G6506" t="str">
        <f>IF(Table3[[#This Row],[Top Parent Account]]="",Table3[[#This Row],[Account Legal Name]],Table3[[#This Row],[Top Parent Account]])</f>
        <v>Naviera Hamar</v>
      </c>
      <c r="H6506" s="1"/>
    </row>
    <row r="6507" spans="1:8" x14ac:dyDescent="0.35">
      <c r="A6507" s="21"/>
      <c r="B6507" t="s">
        <v>30</v>
      </c>
      <c r="C6507" t="s">
        <v>6</v>
      </c>
      <c r="D6507" t="s">
        <v>420</v>
      </c>
      <c r="F6507" s="1">
        <v>45721</v>
      </c>
      <c r="G6507" t="str">
        <f>IF(Table3[[#This Row],[Top Parent Account]]="",Table3[[#This Row],[Account Legal Name]],Table3[[#This Row],[Top Parent Account]])</f>
        <v>Mercado Libre</v>
      </c>
      <c r="H6507" s="1"/>
    </row>
    <row r="6508" spans="1:8" x14ac:dyDescent="0.35">
      <c r="A6508" s="21"/>
      <c r="B6508" t="s">
        <v>32</v>
      </c>
      <c r="C6508" t="s">
        <v>6</v>
      </c>
      <c r="D6508" t="s">
        <v>230</v>
      </c>
      <c r="F6508" s="1">
        <v>45721</v>
      </c>
      <c r="G6508" t="str">
        <f>IF(Table3[[#This Row],[Top Parent Account]]="",Table3[[#This Row],[Account Legal Name]],Table3[[#This Row],[Top Parent Account]])</f>
        <v>Dimasur</v>
      </c>
      <c r="H6508" s="1"/>
    </row>
    <row r="6509" spans="1:8" x14ac:dyDescent="0.35">
      <c r="A6509" s="21"/>
      <c r="B6509" t="s">
        <v>24</v>
      </c>
      <c r="C6509" t="s">
        <v>6</v>
      </c>
      <c r="D6509" t="s">
        <v>1373</v>
      </c>
      <c r="F6509" s="1">
        <v>45721</v>
      </c>
      <c r="G6509" t="str">
        <f>IF(Table3[[#This Row],[Top Parent Account]]="",Table3[[#This Row],[Account Legal Name]],Table3[[#This Row],[Top Parent Account]])</f>
        <v>Empacadora Naturamex</v>
      </c>
      <c r="H6509" s="1"/>
    </row>
    <row r="6510" spans="1:8" x14ac:dyDescent="0.35">
      <c r="A6510" s="21"/>
      <c r="B6510" t="s">
        <v>29</v>
      </c>
      <c r="C6510" t="s">
        <v>6</v>
      </c>
      <c r="D6510" t="s">
        <v>849</v>
      </c>
      <c r="F6510" s="1">
        <v>45721</v>
      </c>
      <c r="G6510" t="str">
        <f>IF(Table3[[#This Row],[Top Parent Account]]="",Table3[[#This Row],[Account Legal Name]],Table3[[#This Row],[Top Parent Account]])</f>
        <v>Grupo Plastikrom</v>
      </c>
      <c r="H6510" s="1"/>
    </row>
    <row r="6511" spans="1:8" x14ac:dyDescent="0.35">
      <c r="A6511" s="21"/>
      <c r="B6511" t="s">
        <v>11</v>
      </c>
      <c r="C6511" t="s">
        <v>6</v>
      </c>
      <c r="D6511" t="s">
        <v>699</v>
      </c>
      <c r="E6511" t="s">
        <v>185</v>
      </c>
      <c r="F6511" s="1">
        <v>45721</v>
      </c>
      <c r="G6511" t="str">
        <f>IF(Table3[[#This Row],[Top Parent Account]]="",Table3[[#This Row],[Account Legal Name]],Table3[[#This Row],[Top Parent Account]])</f>
        <v>Ganaderos Productores De Leche Pura</v>
      </c>
      <c r="H6511" s="1"/>
    </row>
    <row r="6512" spans="1:8" x14ac:dyDescent="0.35">
      <c r="A6512" s="21"/>
      <c r="B6512" t="s">
        <v>39</v>
      </c>
      <c r="C6512" t="s">
        <v>1374</v>
      </c>
      <c r="D6512" t="s">
        <v>1110</v>
      </c>
      <c r="E6512" t="s">
        <v>1024</v>
      </c>
      <c r="F6512" s="1">
        <v>45721</v>
      </c>
      <c r="G6512" t="str">
        <f>IF(Table3[[#This Row],[Top Parent Account]]="",Table3[[#This Row],[Account Legal Name]],Table3[[#This Row],[Top Parent Account]])</f>
        <v>Quimmco</v>
      </c>
      <c r="H6512" s="1"/>
    </row>
    <row r="6513" spans="1:8" x14ac:dyDescent="0.35">
      <c r="A6513" s="21"/>
      <c r="B6513" t="s">
        <v>70</v>
      </c>
      <c r="C6513" t="s">
        <v>6</v>
      </c>
      <c r="D6513" t="s">
        <v>1375</v>
      </c>
      <c r="E6513" t="s">
        <v>1376</v>
      </c>
      <c r="F6513" s="1">
        <v>45721</v>
      </c>
      <c r="G6513" t="str">
        <f>IF(Table3[[#This Row],[Top Parent Account]]="",Table3[[#This Row],[Account Legal Name]],Table3[[#This Row],[Top Parent Account]])</f>
        <v>Guadalajara P.E.T.</v>
      </c>
      <c r="H6513" s="1"/>
    </row>
    <row r="6514" spans="1:8" x14ac:dyDescent="0.35">
      <c r="A6514" s="21"/>
      <c r="B6514" t="s">
        <v>969</v>
      </c>
      <c r="C6514" t="s">
        <v>6</v>
      </c>
      <c r="D6514" t="s">
        <v>1027</v>
      </c>
      <c r="F6514" s="1">
        <v>45721</v>
      </c>
      <c r="G6514" t="str">
        <f>IF(Table3[[#This Row],[Top Parent Account]]="",Table3[[#This Row],[Account Legal Name]],Table3[[#This Row],[Top Parent Account]])</f>
        <v>Litográfica Puan</v>
      </c>
      <c r="H6514" s="1"/>
    </row>
    <row r="6515" spans="1:8" x14ac:dyDescent="0.35">
      <c r="A6515" s="21"/>
      <c r="B6515" t="s">
        <v>28</v>
      </c>
      <c r="C6515" t="s">
        <v>6</v>
      </c>
      <c r="D6515" t="s">
        <v>1410</v>
      </c>
      <c r="F6515" s="1">
        <v>45721</v>
      </c>
      <c r="G6515" t="str">
        <f>IF(Table3[[#This Row],[Top Parent Account]]="",Table3[[#This Row],[Account Legal Name]],Table3[[#This Row],[Top Parent Account]])</f>
        <v>Metálicos Mayran</v>
      </c>
      <c r="H6515" s="1"/>
    </row>
    <row r="6516" spans="1:8" x14ac:dyDescent="0.35">
      <c r="A6516" s="21"/>
      <c r="B6516" t="s">
        <v>207</v>
      </c>
      <c r="C6516" t="s">
        <v>6</v>
      </c>
      <c r="D6516" t="s">
        <v>644</v>
      </c>
      <c r="F6516" s="1">
        <v>45721</v>
      </c>
      <c r="G6516" t="str">
        <f>IF(Table3[[#This Row],[Top Parent Account]]="",Table3[[#This Row],[Account Legal Name]],Table3[[#This Row],[Top Parent Account]])</f>
        <v>Astrollantas</v>
      </c>
      <c r="H6516" s="1"/>
    </row>
    <row r="6517" spans="1:8" x14ac:dyDescent="0.35">
      <c r="A6517" s="21"/>
      <c r="B6517" t="s">
        <v>172</v>
      </c>
      <c r="C6517" t="s">
        <v>6</v>
      </c>
      <c r="D6517" t="s">
        <v>1165</v>
      </c>
      <c r="F6517" s="1">
        <v>45721</v>
      </c>
      <c r="G6517" t="str">
        <f>IF(Table3[[#This Row],[Top Parent Account]]="",Table3[[#This Row],[Account Legal Name]],Table3[[#This Row],[Top Parent Account]])</f>
        <v>Trebotti</v>
      </c>
      <c r="H6517" s="1"/>
    </row>
    <row r="6518" spans="1:8" x14ac:dyDescent="0.35">
      <c r="A6518" s="21"/>
      <c r="B6518" t="s">
        <v>208</v>
      </c>
      <c r="C6518" t="s">
        <v>6</v>
      </c>
      <c r="D6518" t="s">
        <v>1377</v>
      </c>
      <c r="F6518" s="1">
        <v>45721</v>
      </c>
      <c r="G6518" t="str">
        <f>IF(Table3[[#This Row],[Top Parent Account]]="",Table3[[#This Row],[Account Legal Name]],Table3[[#This Row],[Top Parent Account]])</f>
        <v>Alimentos Convenientes San Patric</v>
      </c>
      <c r="H6518" s="1"/>
    </row>
    <row r="6519" spans="1:8" x14ac:dyDescent="0.35">
      <c r="A6519" s="21"/>
      <c r="B6519" t="s">
        <v>27</v>
      </c>
      <c r="C6519" t="s">
        <v>6</v>
      </c>
      <c r="D6519" t="s">
        <v>1379</v>
      </c>
      <c r="F6519" s="1">
        <v>45721</v>
      </c>
      <c r="G6519" t="str">
        <f>IF(Table3[[#This Row],[Top Parent Account]]="",Table3[[#This Row],[Account Legal Name]],Table3[[#This Row],[Top Parent Account]])</f>
        <v>Sistema Bea</v>
      </c>
      <c r="H6519" s="1"/>
    </row>
    <row r="6520" spans="1:8" x14ac:dyDescent="0.35">
      <c r="A6520" s="21"/>
      <c r="B6520" t="s">
        <v>286</v>
      </c>
      <c r="C6520" t="s">
        <v>6</v>
      </c>
      <c r="D6520" t="s">
        <v>1378</v>
      </c>
      <c r="F6520" s="1">
        <v>45721</v>
      </c>
      <c r="G6520" t="str">
        <f>IF(Table3[[#This Row],[Top Parent Account]]="",Table3[[#This Row],[Account Legal Name]],Table3[[#This Row],[Top Parent Account]])</f>
        <v>Crayola Mexico</v>
      </c>
      <c r="H6520" s="1"/>
    </row>
    <row r="6521" spans="1:8" x14ac:dyDescent="0.35">
      <c r="A6521" s="21"/>
      <c r="B6521" t="s">
        <v>30</v>
      </c>
      <c r="C6521" t="s">
        <v>6</v>
      </c>
      <c r="D6521" t="s">
        <v>573</v>
      </c>
      <c r="F6521" s="1">
        <v>45721</v>
      </c>
      <c r="G6521" t="str">
        <f>IF(Table3[[#This Row],[Top Parent Account]]="",Table3[[#This Row],[Account Legal Name]],Table3[[#This Row],[Top Parent Account]])</f>
        <v>Lvmh Perfumes y Cosmeticos de México</v>
      </c>
      <c r="H6521" s="1"/>
    </row>
    <row r="6522" spans="1:8" x14ac:dyDescent="0.35">
      <c r="A6522" s="21"/>
      <c r="B6522" t="s">
        <v>172</v>
      </c>
      <c r="C6522" t="s">
        <v>6</v>
      </c>
      <c r="D6522" t="s">
        <v>780</v>
      </c>
      <c r="F6522" s="1">
        <v>45721</v>
      </c>
      <c r="G6522" t="str">
        <f>IF(Table3[[#This Row],[Top Parent Account]]="",Table3[[#This Row],[Account Legal Name]],Table3[[#This Row],[Top Parent Account]])</f>
        <v>Grupo Novaliv</v>
      </c>
      <c r="H6522" s="1"/>
    </row>
    <row r="6523" spans="1:8" x14ac:dyDescent="0.35">
      <c r="A6523" s="21"/>
      <c r="B6523" t="s">
        <v>989</v>
      </c>
      <c r="C6523" t="s">
        <v>6</v>
      </c>
      <c r="D6523" t="s">
        <v>1135</v>
      </c>
      <c r="F6523" s="1">
        <v>45721</v>
      </c>
      <c r="G6523" t="str">
        <f>IF(Table3[[#This Row],[Top Parent Account]]="",Table3[[#This Row],[Account Legal Name]],Table3[[#This Row],[Top Parent Account]])</f>
        <v>Vadifar</v>
      </c>
      <c r="H6523" s="1"/>
    </row>
    <row r="6524" spans="1:8" x14ac:dyDescent="0.35">
      <c r="A6524" s="21"/>
      <c r="B6524" t="s">
        <v>32</v>
      </c>
      <c r="C6524" t="s">
        <v>6</v>
      </c>
      <c r="D6524" t="s">
        <v>903</v>
      </c>
      <c r="F6524" s="1">
        <v>45721</v>
      </c>
      <c r="G6524" t="str">
        <f>IF(Table3[[#This Row],[Top Parent Account]]="",Table3[[#This Row],[Account Legal Name]],Table3[[#This Row],[Top Parent Account]])</f>
        <v>Union Veracruzana</v>
      </c>
      <c r="H6524" s="1"/>
    </row>
    <row r="6525" spans="1:8" x14ac:dyDescent="0.35">
      <c r="A6525" s="21"/>
      <c r="B6525" t="s">
        <v>38</v>
      </c>
      <c r="C6525" t="s">
        <v>6</v>
      </c>
      <c r="D6525" t="s">
        <v>642</v>
      </c>
      <c r="F6525" s="1">
        <v>45721</v>
      </c>
      <c r="G6525" t="str">
        <f>IF(Table3[[#This Row],[Top Parent Account]]="",Table3[[#This Row],[Account Legal Name]],Table3[[#This Row],[Top Parent Account]])</f>
        <v>Ganaderos Asociados de Querétaro</v>
      </c>
      <c r="H6525" s="1"/>
    </row>
    <row r="6526" spans="1:8" x14ac:dyDescent="0.35">
      <c r="A6526" s="21"/>
      <c r="B6526" t="s">
        <v>38</v>
      </c>
      <c r="C6526" t="s">
        <v>6</v>
      </c>
      <c r="D6526" t="s">
        <v>648</v>
      </c>
      <c r="F6526" s="1">
        <v>45721</v>
      </c>
      <c r="G6526" t="str">
        <f>IF(Table3[[#This Row],[Top Parent Account]]="",Table3[[#This Row],[Account Legal Name]],Table3[[#This Row],[Top Parent Account]])</f>
        <v>TS Trucking (Charger Logisitcs)</v>
      </c>
      <c r="H6526" s="1"/>
    </row>
    <row r="6527" spans="1:8" x14ac:dyDescent="0.35">
      <c r="A6527" s="21"/>
      <c r="B6527" t="s">
        <v>70</v>
      </c>
      <c r="C6527" t="s">
        <v>22</v>
      </c>
      <c r="D6527" t="s">
        <v>517</v>
      </c>
      <c r="F6527" s="1">
        <v>45721</v>
      </c>
      <c r="G6527" t="str">
        <f>IF(Table3[[#This Row],[Top Parent Account]]="",Table3[[#This Row],[Account Legal Name]],Table3[[#This Row],[Top Parent Account]])</f>
        <v>CBH+ en Innovación Médica</v>
      </c>
      <c r="H6527" s="1"/>
    </row>
    <row r="6528" spans="1:8" x14ac:dyDescent="0.35">
      <c r="A6528" s="21"/>
      <c r="B6528" t="s">
        <v>32</v>
      </c>
      <c r="C6528" t="s">
        <v>6</v>
      </c>
      <c r="D6528" t="s">
        <v>324</v>
      </c>
      <c r="F6528" s="1">
        <v>45720</v>
      </c>
      <c r="G6528" t="str">
        <f>IF(Table3[[#This Row],[Top Parent Account]]="",Table3[[#This Row],[Account Legal Name]],Table3[[#This Row],[Top Parent Account]])</f>
        <v>Harinas De Minatitlán</v>
      </c>
      <c r="H6528" s="1"/>
    </row>
    <row r="6529" spans="1:8" x14ac:dyDescent="0.35">
      <c r="A6529" s="21"/>
      <c r="B6529" t="s">
        <v>14</v>
      </c>
      <c r="C6529" t="s">
        <v>6</v>
      </c>
      <c r="D6529" t="s">
        <v>1342</v>
      </c>
      <c r="F6529" s="1">
        <v>45720</v>
      </c>
      <c r="G6529" t="str">
        <f>IF(Table3[[#This Row],[Top Parent Account]]="",Table3[[#This Row],[Account Legal Name]],Table3[[#This Row],[Top Parent Account]])</f>
        <v>Edvesa</v>
      </c>
      <c r="H6529" s="1"/>
    </row>
    <row r="6530" spans="1:8" x14ac:dyDescent="0.35">
      <c r="A6530" s="21"/>
      <c r="B6530" t="s">
        <v>169</v>
      </c>
      <c r="C6530" t="s">
        <v>6</v>
      </c>
      <c r="D6530" t="s">
        <v>1182</v>
      </c>
      <c r="F6530" s="1">
        <v>45720</v>
      </c>
      <c r="G6530" t="str">
        <f>IF(Table3[[#This Row],[Top Parent Account]]="",Table3[[#This Row],[Account Legal Name]],Table3[[#This Row],[Top Parent Account]])</f>
        <v>Grupo J. Noriega y Asociados</v>
      </c>
      <c r="H6530" s="1"/>
    </row>
    <row r="6531" spans="1:8" x14ac:dyDescent="0.35">
      <c r="A6531" s="21"/>
      <c r="B6531" t="s">
        <v>114</v>
      </c>
      <c r="C6531" t="s">
        <v>6</v>
      </c>
      <c r="D6531" t="s">
        <v>1380</v>
      </c>
      <c r="F6531" s="1">
        <v>45720</v>
      </c>
      <c r="G6531" t="str">
        <f>IF(Table3[[#This Row],[Top Parent Account]]="",Table3[[#This Row],[Account Legal Name]],Table3[[#This Row],[Top Parent Account]])</f>
        <v>Accesorios Para Laboratorios</v>
      </c>
      <c r="H6531" s="1"/>
    </row>
    <row r="6532" spans="1:8" x14ac:dyDescent="0.35">
      <c r="A6532" s="21"/>
      <c r="B6532" t="s">
        <v>14</v>
      </c>
      <c r="C6532" t="s">
        <v>6</v>
      </c>
      <c r="D6532" t="s">
        <v>803</v>
      </c>
      <c r="F6532" s="1">
        <v>45720</v>
      </c>
      <c r="G6532" t="str">
        <f>IF(Table3[[#This Row],[Top Parent Account]]="",Table3[[#This Row],[Account Legal Name]],Table3[[#This Row],[Top Parent Account]])</f>
        <v>Grupo Empaque Roquin</v>
      </c>
      <c r="H6532" s="1"/>
    </row>
    <row r="6533" spans="1:8" x14ac:dyDescent="0.35">
      <c r="A6533" s="21"/>
      <c r="B6533" t="s">
        <v>39</v>
      </c>
      <c r="C6533" t="s">
        <v>1382</v>
      </c>
      <c r="D6533" t="s">
        <v>527</v>
      </c>
      <c r="E6533" t="s">
        <v>528</v>
      </c>
      <c r="F6533" s="1">
        <v>45720</v>
      </c>
      <c r="G6533" t="str">
        <f>IF(Table3[[#This Row],[Top Parent Account]]="",Table3[[#This Row],[Account Legal Name]],Table3[[#This Row],[Top Parent Account]])</f>
        <v>Proveedores De La Construccion</v>
      </c>
      <c r="H6533" s="1"/>
    </row>
    <row r="6534" spans="1:8" x14ac:dyDescent="0.35">
      <c r="A6534" s="21"/>
      <c r="B6534" t="s">
        <v>590</v>
      </c>
      <c r="C6534" t="s">
        <v>6</v>
      </c>
      <c r="D6534" t="s">
        <v>1381</v>
      </c>
      <c r="F6534" s="1">
        <v>45720</v>
      </c>
      <c r="G6534" t="str">
        <f>IF(Table3[[#This Row],[Top Parent Account]]="",Table3[[#This Row],[Account Legal Name]],Table3[[#This Row],[Top Parent Account]])</f>
        <v>Aceros y Acanalados Monterrey</v>
      </c>
      <c r="H6534" s="1"/>
    </row>
    <row r="6535" spans="1:8" x14ac:dyDescent="0.35">
      <c r="A6535" s="21"/>
      <c r="B6535" t="s">
        <v>11</v>
      </c>
      <c r="C6535" t="s">
        <v>6</v>
      </c>
      <c r="D6535" t="s">
        <v>629</v>
      </c>
      <c r="F6535" s="1">
        <v>45720</v>
      </c>
      <c r="G6535" t="str">
        <f>IF(Table3[[#This Row],[Top Parent Account]]="",Table3[[#This Row],[Account Legal Name]],Table3[[#This Row],[Top Parent Account]])</f>
        <v>Merz Pharma</v>
      </c>
      <c r="H6535" s="1"/>
    </row>
    <row r="6536" spans="1:8" x14ac:dyDescent="0.35">
      <c r="A6536" s="21"/>
      <c r="B6536" t="s">
        <v>590</v>
      </c>
      <c r="C6536" t="s">
        <v>6</v>
      </c>
      <c r="D6536" t="s">
        <v>1383</v>
      </c>
      <c r="F6536" s="1">
        <v>45720</v>
      </c>
      <c r="G6536" t="str">
        <f>IF(Table3[[#This Row],[Top Parent Account]]="",Table3[[#This Row],[Account Legal Name]],Table3[[#This Row],[Top Parent Account]])</f>
        <v>Comercializadora Cantú</v>
      </c>
      <c r="H6536" s="1"/>
    </row>
    <row r="6537" spans="1:8" x14ac:dyDescent="0.35">
      <c r="A6537" s="21"/>
      <c r="B6537" t="s">
        <v>208</v>
      </c>
      <c r="C6537" t="s">
        <v>6</v>
      </c>
      <c r="D6537" t="s">
        <v>545</v>
      </c>
      <c r="F6537" s="1">
        <v>45720</v>
      </c>
      <c r="G6537" t="str">
        <f>IF(Table3[[#This Row],[Top Parent Account]]="",Table3[[#This Row],[Account Legal Name]],Table3[[#This Row],[Top Parent Account]])</f>
        <v>Imaginación en Movimiento</v>
      </c>
      <c r="H6537" s="1"/>
    </row>
    <row r="6538" spans="1:8" x14ac:dyDescent="0.35">
      <c r="A6538" s="21"/>
      <c r="B6538" t="s">
        <v>18</v>
      </c>
      <c r="C6538" t="s">
        <v>6</v>
      </c>
      <c r="D6538" t="s">
        <v>1339</v>
      </c>
      <c r="F6538" s="1">
        <v>45720</v>
      </c>
      <c r="G6538" t="str">
        <f>IF(Table3[[#This Row],[Top Parent Account]]="",Table3[[#This Row],[Account Legal Name]],Table3[[#This Row],[Top Parent Account]])</f>
        <v>TRESS INN</v>
      </c>
      <c r="H6538" s="1"/>
    </row>
    <row r="6539" spans="1:8" x14ac:dyDescent="0.35">
      <c r="A6539" s="21"/>
      <c r="B6539" t="s">
        <v>39</v>
      </c>
      <c r="C6539" t="s">
        <v>1382</v>
      </c>
      <c r="D6539" t="s">
        <v>1041</v>
      </c>
      <c r="F6539" s="1">
        <v>45720</v>
      </c>
      <c r="G6539" t="str">
        <f>IF(Table3[[#This Row],[Top Parent Account]]="",Table3[[#This Row],[Account Legal Name]],Table3[[#This Row],[Top Parent Account]])</f>
        <v>Oxigeno y Acetileno</v>
      </c>
      <c r="H6539" s="1"/>
    </row>
    <row r="6540" spans="1:8" x14ac:dyDescent="0.35">
      <c r="A6540" s="21"/>
      <c r="B6540" t="s">
        <v>11</v>
      </c>
      <c r="C6540" t="s">
        <v>6</v>
      </c>
      <c r="D6540" t="s">
        <v>1344</v>
      </c>
      <c r="F6540" s="1">
        <v>45720</v>
      </c>
      <c r="G6540" t="str">
        <f>IF(Table3[[#This Row],[Top Parent Account]]="",Table3[[#This Row],[Account Legal Name]],Table3[[#This Row],[Top Parent Account]])</f>
        <v>Murguía Consultores Agente de Seguros y Fianzas</v>
      </c>
      <c r="H6540" s="1"/>
    </row>
    <row r="6541" spans="1:8" x14ac:dyDescent="0.35">
      <c r="A6541" s="21"/>
      <c r="B6541" t="s">
        <v>169</v>
      </c>
      <c r="C6541" t="s">
        <v>6</v>
      </c>
      <c r="D6541" t="s">
        <v>1080</v>
      </c>
      <c r="F6541" s="1">
        <v>45720</v>
      </c>
      <c r="G6541" t="str">
        <f>IF(Table3[[#This Row],[Top Parent Account]]="",Table3[[#This Row],[Account Legal Name]],Table3[[#This Row],[Top Parent Account]])</f>
        <v>Distribución y Logística La Palma</v>
      </c>
      <c r="H6541" s="1"/>
    </row>
    <row r="6542" spans="1:8" x14ac:dyDescent="0.35">
      <c r="A6542" s="21"/>
      <c r="B6542" t="s">
        <v>32</v>
      </c>
      <c r="C6542" t="s">
        <v>6</v>
      </c>
      <c r="D6542" t="s">
        <v>599</v>
      </c>
      <c r="F6542" s="1">
        <v>45720</v>
      </c>
      <c r="G6542" t="str">
        <f>IF(Table3[[#This Row],[Top Parent Account]]="",Table3[[#This Row],[Account Legal Name]],Table3[[#This Row],[Top Parent Account]])</f>
        <v>Vikingo Autotransportes</v>
      </c>
      <c r="H6542" s="1"/>
    </row>
    <row r="6543" spans="1:8" x14ac:dyDescent="0.35">
      <c r="A6543" s="21"/>
      <c r="B6543" t="s">
        <v>25</v>
      </c>
      <c r="C6543" t="s">
        <v>6</v>
      </c>
      <c r="D6543" t="s">
        <v>1384</v>
      </c>
      <c r="F6543" s="1">
        <v>45720</v>
      </c>
      <c r="G6543" t="str">
        <f>IF(Table3[[#This Row],[Top Parent Account]]="",Table3[[#This Row],[Account Legal Name]],Table3[[#This Row],[Top Parent Account]])</f>
        <v>Transportes Unidos De Morelos</v>
      </c>
      <c r="H6543" s="1"/>
    </row>
    <row r="6544" spans="1:8" x14ac:dyDescent="0.35">
      <c r="A6544" s="21"/>
      <c r="B6544" t="s">
        <v>192</v>
      </c>
      <c r="C6544" t="s">
        <v>49</v>
      </c>
      <c r="D6544" t="s">
        <v>902</v>
      </c>
      <c r="F6544" s="1">
        <v>45720</v>
      </c>
      <c r="G6544" t="str">
        <f>IF(Table3[[#This Row],[Top Parent Account]]="",Table3[[#This Row],[Account Legal Name]],Table3[[#This Row],[Top Parent Account]])</f>
        <v>Servicios en Cemento y Concreto SECEYCO</v>
      </c>
      <c r="H6544" s="1"/>
    </row>
    <row r="6545" spans="1:8" x14ac:dyDescent="0.35">
      <c r="A6545" s="21"/>
      <c r="B6545" t="s">
        <v>14</v>
      </c>
      <c r="C6545" t="s">
        <v>6</v>
      </c>
      <c r="D6545" t="s">
        <v>943</v>
      </c>
      <c r="F6545" s="1">
        <v>45720</v>
      </c>
      <c r="G6545" t="str">
        <f>IF(Table3[[#This Row],[Top Parent Account]]="",Table3[[#This Row],[Account Legal Name]],Table3[[#This Row],[Top Parent Account]])</f>
        <v>TRITURADOS Y PREMEZCLADOS DE AGUASCALIENTES</v>
      </c>
      <c r="H6545" s="1"/>
    </row>
    <row r="6546" spans="1:8" x14ac:dyDescent="0.35">
      <c r="A6546" s="21"/>
      <c r="B6546" t="s">
        <v>32</v>
      </c>
      <c r="C6546" t="s">
        <v>6</v>
      </c>
      <c r="D6546" t="s">
        <v>328</v>
      </c>
      <c r="F6546" s="1">
        <v>45720</v>
      </c>
      <c r="G6546" t="str">
        <f>IF(Table3[[#This Row],[Top Parent Account]]="",Table3[[#This Row],[Account Legal Name]],Table3[[#This Row],[Top Parent Account]])</f>
        <v>Ferrocarril y Terminal Del Valle de México</v>
      </c>
      <c r="H6546" s="1"/>
    </row>
    <row r="6547" spans="1:8" x14ac:dyDescent="0.35">
      <c r="A6547" s="21"/>
      <c r="B6547" t="s">
        <v>28</v>
      </c>
      <c r="C6547" t="s">
        <v>6</v>
      </c>
      <c r="D6547" t="s">
        <v>1411</v>
      </c>
      <c r="F6547" s="1">
        <v>45720</v>
      </c>
      <c r="G6547" t="str">
        <f>IF(Table3[[#This Row],[Top Parent Account]]="",Table3[[#This Row],[Account Legal Name]],Table3[[#This Row],[Top Parent Account]])</f>
        <v>HOLDIN GAINS</v>
      </c>
      <c r="H6547" s="1"/>
    </row>
    <row r="6548" spans="1:8" x14ac:dyDescent="0.35">
      <c r="A6548" s="21"/>
      <c r="B6548" t="s">
        <v>11</v>
      </c>
      <c r="C6548" t="s">
        <v>6</v>
      </c>
      <c r="D6548" t="s">
        <v>402</v>
      </c>
      <c r="F6548" s="1">
        <v>45720</v>
      </c>
      <c r="G6548" t="str">
        <f>IF(Table3[[#This Row],[Top Parent Account]]="",Table3[[#This Row],[Account Legal Name]],Table3[[#This Row],[Top Parent Account]])</f>
        <v>Bocar</v>
      </c>
      <c r="H6548" s="1"/>
    </row>
    <row r="6549" spans="1:8" x14ac:dyDescent="0.35">
      <c r="A6549" s="21"/>
      <c r="B6549" t="s">
        <v>21</v>
      </c>
      <c r="C6549" t="s">
        <v>6</v>
      </c>
      <c r="D6549" t="s">
        <v>1138</v>
      </c>
      <c r="F6549" s="1">
        <v>45720</v>
      </c>
      <c r="G6549" t="str">
        <f>IF(Table3[[#This Row],[Top Parent Account]]="",Table3[[#This Row],[Account Legal Name]],Table3[[#This Row],[Top Parent Account]])</f>
        <v>distribuidores de cerdos la libertad</v>
      </c>
      <c r="H6549" s="1"/>
    </row>
    <row r="6550" spans="1:8" x14ac:dyDescent="0.35">
      <c r="A6550" s="21"/>
      <c r="B6550" t="s">
        <v>10</v>
      </c>
      <c r="C6550" t="s">
        <v>6</v>
      </c>
      <c r="D6550" t="s">
        <v>112</v>
      </c>
      <c r="F6550" s="1">
        <v>45720</v>
      </c>
      <c r="G6550" t="str">
        <f>IF(Table3[[#This Row],[Top Parent Account]]="",Table3[[#This Row],[Account Legal Name]],Table3[[#This Row],[Top Parent Account]])</f>
        <v>Amco Educación</v>
      </c>
      <c r="H6550" s="1"/>
    </row>
    <row r="6551" spans="1:8" x14ac:dyDescent="0.35">
      <c r="A6551" s="21"/>
      <c r="B6551" t="s">
        <v>172</v>
      </c>
      <c r="C6551" t="s">
        <v>6</v>
      </c>
      <c r="D6551" t="s">
        <v>595</v>
      </c>
      <c r="F6551" s="1">
        <v>45720</v>
      </c>
      <c r="G6551" t="str">
        <f>IF(Table3[[#This Row],[Top Parent Account]]="",Table3[[#This Row],[Account Legal Name]],Table3[[#This Row],[Top Parent Account]])</f>
        <v>Aveymas</v>
      </c>
      <c r="H6551" s="1"/>
    </row>
    <row r="6552" spans="1:8" x14ac:dyDescent="0.35">
      <c r="A6552" s="21"/>
      <c r="B6552" t="s">
        <v>12</v>
      </c>
      <c r="C6552" t="s">
        <v>6</v>
      </c>
      <c r="D6552" t="s">
        <v>1331</v>
      </c>
      <c r="F6552" s="1">
        <v>45720</v>
      </c>
      <c r="G6552" t="str">
        <f>IF(Table3[[#This Row],[Top Parent Account]]="",Table3[[#This Row],[Account Legal Name]],Table3[[#This Row],[Top Parent Account]])</f>
        <v>Industrial Constructor Peninsular</v>
      </c>
      <c r="H6552" s="1"/>
    </row>
    <row r="6553" spans="1:8" x14ac:dyDescent="0.35">
      <c r="A6553" s="21"/>
      <c r="B6553" t="s">
        <v>39</v>
      </c>
      <c r="C6553" t="s">
        <v>1382</v>
      </c>
      <c r="D6553" t="s">
        <v>1066</v>
      </c>
      <c r="F6553" s="1">
        <v>45720</v>
      </c>
      <c r="G6553" t="str">
        <f>IF(Table3[[#This Row],[Top Parent Account]]="",Table3[[#This Row],[Account Legal Name]],Table3[[#This Row],[Top Parent Account]])</f>
        <v>DLR Autotransportes</v>
      </c>
      <c r="H6553" s="1"/>
    </row>
    <row r="6554" spans="1:8" x14ac:dyDescent="0.35">
      <c r="A6554" s="21"/>
      <c r="B6554" t="s">
        <v>56</v>
      </c>
      <c r="C6554" t="s">
        <v>6</v>
      </c>
      <c r="D6554" t="s">
        <v>298</v>
      </c>
      <c r="F6554" s="1">
        <v>45720</v>
      </c>
      <c r="G6554" t="str">
        <f>IF(Table3[[#This Row],[Top Parent Account]]="",Table3[[#This Row],[Account Legal Name]],Table3[[#This Row],[Top Parent Account]])</f>
        <v>Taurus Mexicana</v>
      </c>
      <c r="H6554" s="1"/>
    </row>
    <row r="6555" spans="1:8" x14ac:dyDescent="0.35">
      <c r="A6555" s="21"/>
      <c r="B6555" t="s">
        <v>1006</v>
      </c>
      <c r="C6555" t="s">
        <v>6</v>
      </c>
      <c r="D6555" t="s">
        <v>1197</v>
      </c>
      <c r="F6555" s="1">
        <v>45720</v>
      </c>
      <c r="G6555" t="str">
        <f>IF(Table3[[#This Row],[Top Parent Account]]="",Table3[[#This Row],[Account Legal Name]],Table3[[#This Row],[Top Parent Account]])</f>
        <v>Rotainers Logistics</v>
      </c>
      <c r="H6555" s="1"/>
    </row>
    <row r="6556" spans="1:8" x14ac:dyDescent="0.35">
      <c r="A6556" s="21"/>
      <c r="B6556" t="s">
        <v>932</v>
      </c>
      <c r="C6556" t="s">
        <v>1386</v>
      </c>
      <c r="D6556" t="s">
        <v>735</v>
      </c>
      <c r="F6556" s="1">
        <v>45720</v>
      </c>
      <c r="G6556" t="str">
        <f>IF(Table3[[#This Row],[Top Parent Account]]="",Table3[[#This Row],[Account Legal Name]],Table3[[#This Row],[Top Parent Account]])</f>
        <v>Triturados Volcánicos de México</v>
      </c>
      <c r="H6556" s="1"/>
    </row>
    <row r="6557" spans="1:8" x14ac:dyDescent="0.35">
      <c r="A6557" s="21"/>
      <c r="B6557" t="s">
        <v>169</v>
      </c>
      <c r="C6557" t="s">
        <v>6</v>
      </c>
      <c r="D6557" t="s">
        <v>976</v>
      </c>
      <c r="F6557" s="1">
        <v>45720</v>
      </c>
      <c r="G6557" t="str">
        <f>IF(Table3[[#This Row],[Top Parent Account]]="",Table3[[#This Row],[Account Legal Name]],Table3[[#This Row],[Top Parent Account]])</f>
        <v>Miland steel solutions</v>
      </c>
      <c r="H6557" s="1"/>
    </row>
    <row r="6558" spans="1:8" x14ac:dyDescent="0.35">
      <c r="A6558" s="21"/>
      <c r="B6558" t="s">
        <v>969</v>
      </c>
      <c r="C6558" t="s">
        <v>6</v>
      </c>
      <c r="D6558" t="s">
        <v>1385</v>
      </c>
      <c r="F6558" s="1">
        <v>45720</v>
      </c>
      <c r="G6558" t="str">
        <f>IF(Table3[[#This Row],[Top Parent Account]]="",Table3[[#This Row],[Account Legal Name]],Table3[[#This Row],[Top Parent Account]])</f>
        <v>Lácteos Dulcem</v>
      </c>
      <c r="H6558" s="1"/>
    </row>
    <row r="6559" spans="1:8" x14ac:dyDescent="0.35">
      <c r="A6559" s="21"/>
      <c r="B6559" t="s">
        <v>32</v>
      </c>
      <c r="C6559" t="s">
        <v>6</v>
      </c>
      <c r="D6559" t="s">
        <v>277</v>
      </c>
      <c r="F6559" s="1">
        <v>45720</v>
      </c>
      <c r="G6559" t="str">
        <f>IF(Table3[[#This Row],[Top Parent Account]]="",Table3[[#This Row],[Account Legal Name]],Table3[[#This Row],[Top Parent Account]])</f>
        <v>Grupo Cice</v>
      </c>
      <c r="H6559" s="1"/>
    </row>
    <row r="6560" spans="1:8" x14ac:dyDescent="0.35">
      <c r="A6560" s="21"/>
      <c r="B6560" t="s">
        <v>29</v>
      </c>
      <c r="C6560" t="s">
        <v>6</v>
      </c>
      <c r="D6560" t="s">
        <v>1166</v>
      </c>
      <c r="E6560" t="s">
        <v>273</v>
      </c>
      <c r="F6560" s="1">
        <v>45720</v>
      </c>
      <c r="G6560" t="str">
        <f>IF(Table3[[#This Row],[Top Parent Account]]="",Table3[[#This Row],[Account Legal Name]],Table3[[#This Row],[Top Parent Account]])</f>
        <v>Exportadora de Postes GDL</v>
      </c>
      <c r="H6560" s="1"/>
    </row>
    <row r="6561" spans="1:8" x14ac:dyDescent="0.35">
      <c r="A6561" s="21"/>
      <c r="B6561" t="s">
        <v>925</v>
      </c>
      <c r="C6561" t="s">
        <v>6</v>
      </c>
      <c r="D6561" t="s">
        <v>1387</v>
      </c>
      <c r="F6561" s="1">
        <v>45720</v>
      </c>
      <c r="G6561" t="str">
        <f>IF(Table3[[#This Row],[Top Parent Account]]="",Table3[[#This Row],[Account Legal Name]],Table3[[#This Row],[Top Parent Account]])</f>
        <v>Casa Lumbre</v>
      </c>
      <c r="H6561" s="1"/>
    </row>
    <row r="6562" spans="1:8" x14ac:dyDescent="0.35">
      <c r="A6562" s="21"/>
      <c r="B6562" t="s">
        <v>207</v>
      </c>
      <c r="C6562" t="s">
        <v>6</v>
      </c>
      <c r="D6562" t="s">
        <v>1170</v>
      </c>
      <c r="F6562" s="1">
        <v>45720</v>
      </c>
      <c r="G6562" t="str">
        <f>IF(Table3[[#This Row],[Top Parent Account]]="",Table3[[#This Row],[Account Legal Name]],Table3[[#This Row],[Top Parent Account]])</f>
        <v>A&amp;H Creations</v>
      </c>
      <c r="H6562" s="1"/>
    </row>
    <row r="6563" spans="1:8" x14ac:dyDescent="0.35">
      <c r="A6563" s="21"/>
      <c r="B6563" t="s">
        <v>21</v>
      </c>
      <c r="C6563" t="s">
        <v>6</v>
      </c>
      <c r="D6563" t="s">
        <v>1341</v>
      </c>
      <c r="F6563" s="1">
        <v>45720</v>
      </c>
      <c r="G6563" t="str">
        <f>IF(Table3[[#This Row],[Top Parent Account]]="",Table3[[#This Row],[Account Legal Name]],Table3[[#This Row],[Top Parent Account]])</f>
        <v>Adoblocks de chiapas</v>
      </c>
      <c r="H6563" s="1"/>
    </row>
    <row r="6564" spans="1:8" x14ac:dyDescent="0.35">
      <c r="A6564" s="21"/>
      <c r="B6564" t="s">
        <v>39</v>
      </c>
      <c r="C6564" t="s">
        <v>1382</v>
      </c>
      <c r="D6564" t="s">
        <v>1343</v>
      </c>
      <c r="F6564" s="1">
        <v>45720</v>
      </c>
      <c r="G6564" t="str">
        <f>IF(Table3[[#This Row],[Top Parent Account]]="",Table3[[#This Row],[Account Legal Name]],Table3[[#This Row],[Top Parent Account]])</f>
        <v>Bloquera Moderna</v>
      </c>
      <c r="H6564" s="1"/>
    </row>
    <row r="6565" spans="1:8" x14ac:dyDescent="0.35">
      <c r="A6565" s="21"/>
      <c r="B6565" t="s">
        <v>32</v>
      </c>
      <c r="C6565" t="s">
        <v>6</v>
      </c>
      <c r="D6565" t="s">
        <v>727</v>
      </c>
      <c r="F6565" s="1">
        <v>45720</v>
      </c>
      <c r="G6565" t="str">
        <f>IF(Table3[[#This Row],[Top Parent Account]]="",Table3[[#This Row],[Account Legal Name]],Table3[[#This Row],[Top Parent Account]])</f>
        <v>Welldex Internacional</v>
      </c>
      <c r="H6565" s="1"/>
    </row>
    <row r="6566" spans="1:8" x14ac:dyDescent="0.35">
      <c r="A6566" s="21"/>
      <c r="B6566" t="s">
        <v>32</v>
      </c>
      <c r="C6566" t="s">
        <v>6</v>
      </c>
      <c r="D6566" t="s">
        <v>223</v>
      </c>
      <c r="E6566" t="s">
        <v>230</v>
      </c>
      <c r="F6566" s="1">
        <v>45720</v>
      </c>
      <c r="G6566" t="str">
        <f>IF(Table3[[#This Row],[Top Parent Account]]="",Table3[[#This Row],[Account Legal Name]],Table3[[#This Row],[Top Parent Account]])</f>
        <v>Dimasur</v>
      </c>
      <c r="H6566" s="1"/>
    </row>
    <row r="6567" spans="1:8" x14ac:dyDescent="0.35">
      <c r="A6567" s="21"/>
      <c r="B6567" t="s">
        <v>286</v>
      </c>
      <c r="C6567" t="s">
        <v>6</v>
      </c>
      <c r="D6567" t="s">
        <v>1388</v>
      </c>
      <c r="F6567" s="1">
        <v>45720</v>
      </c>
      <c r="G6567" t="str">
        <f>IF(Table3[[#This Row],[Top Parent Account]]="",Table3[[#This Row],[Account Legal Name]],Table3[[#This Row],[Top Parent Account]])</f>
        <v>Lukoil Lubricants Mexico</v>
      </c>
      <c r="H6567" s="1"/>
    </row>
    <row r="6568" spans="1:8" x14ac:dyDescent="0.35">
      <c r="A6568" s="21"/>
      <c r="B6568" t="s">
        <v>7</v>
      </c>
      <c r="C6568" t="s">
        <v>6</v>
      </c>
      <c r="D6568" t="s">
        <v>1338</v>
      </c>
      <c r="F6568" s="1">
        <v>45720</v>
      </c>
      <c r="G6568" t="str">
        <f>IF(Table3[[#This Row],[Top Parent Account]]="",Table3[[#This Row],[Account Legal Name]],Table3[[#This Row],[Top Parent Account]])</f>
        <v>Cibum Tecnologia</v>
      </c>
      <c r="H6568" s="1"/>
    </row>
    <row r="6569" spans="1:8" x14ac:dyDescent="0.35">
      <c r="A6569" s="21"/>
      <c r="B6569" t="s">
        <v>7</v>
      </c>
      <c r="C6569" t="s">
        <v>6</v>
      </c>
      <c r="D6569" t="s">
        <v>1389</v>
      </c>
      <c r="F6569" s="1">
        <v>45720</v>
      </c>
      <c r="G6569" t="str">
        <f>IF(Table3[[#This Row],[Top Parent Account]]="",Table3[[#This Row],[Account Legal Name]],Table3[[#This Row],[Top Parent Account]])</f>
        <v>Agropecuaria Tres Ositas</v>
      </c>
      <c r="H6569" s="1"/>
    </row>
    <row r="6570" spans="1:8" x14ac:dyDescent="0.35">
      <c r="A6570" s="21"/>
      <c r="B6570" t="s">
        <v>590</v>
      </c>
      <c r="C6570" t="s">
        <v>6</v>
      </c>
      <c r="D6570" t="s">
        <v>900</v>
      </c>
      <c r="F6570" s="1">
        <v>45720</v>
      </c>
      <c r="G6570" t="str">
        <f>IF(Table3[[#This Row],[Top Parent Account]]="",Table3[[#This Row],[Account Legal Name]],Table3[[#This Row],[Top Parent Account]])</f>
        <v>Providence Plastics</v>
      </c>
      <c r="H6570" s="1"/>
    </row>
    <row r="6571" spans="1:8" x14ac:dyDescent="0.35">
      <c r="A6571" s="21"/>
      <c r="B6571" t="s">
        <v>32</v>
      </c>
      <c r="C6571" t="s">
        <v>1412</v>
      </c>
      <c r="D6571" t="s">
        <v>293</v>
      </c>
      <c r="F6571" s="1">
        <v>45720</v>
      </c>
      <c r="G6571" t="str">
        <f>IF(Table3[[#This Row],[Top Parent Account]]="",Table3[[#This Row],[Account Legal Name]],Table3[[#This Row],[Top Parent Account]])</f>
        <v>Engen Capital</v>
      </c>
      <c r="H6571" s="1"/>
    </row>
    <row r="6572" spans="1:8" x14ac:dyDescent="0.35">
      <c r="A6572" s="21"/>
      <c r="B6572" t="s">
        <v>169</v>
      </c>
      <c r="C6572" t="s">
        <v>6</v>
      </c>
      <c r="D6572" t="s">
        <v>1336</v>
      </c>
      <c r="F6572" s="1">
        <v>45720</v>
      </c>
      <c r="G6572" t="str">
        <f>IF(Table3[[#This Row],[Top Parent Account]]="",Table3[[#This Row],[Account Legal Name]],Table3[[#This Row],[Top Parent Account]])</f>
        <v>LUMIGAR COMERCIALIZACION Y PRODUCCION</v>
      </c>
      <c r="H6572" s="1"/>
    </row>
    <row r="6573" spans="1:8" x14ac:dyDescent="0.35">
      <c r="A6573" s="21"/>
      <c r="B6573" t="s">
        <v>15</v>
      </c>
      <c r="C6573" t="s">
        <v>6</v>
      </c>
      <c r="D6573" t="s">
        <v>383</v>
      </c>
      <c r="F6573" s="1">
        <v>45720</v>
      </c>
      <c r="G6573" t="str">
        <f>IF(Table3[[#This Row],[Top Parent Account]]="",Table3[[#This Row],[Account Legal Name]],Table3[[#This Row],[Top Parent Account]])</f>
        <v>Alcoholes y Melazas de México</v>
      </c>
      <c r="H6573" s="1"/>
    </row>
    <row r="6574" spans="1:8" x14ac:dyDescent="0.35">
      <c r="A6574" s="21"/>
      <c r="B6574" t="s">
        <v>39</v>
      </c>
      <c r="C6574" t="s">
        <v>1382</v>
      </c>
      <c r="D6574" t="s">
        <v>525</v>
      </c>
      <c r="F6574" s="1">
        <v>45720</v>
      </c>
      <c r="G6574" t="str">
        <f>IF(Table3[[#This Row],[Top Parent Account]]="",Table3[[#This Row],[Account Legal Name]],Table3[[#This Row],[Top Parent Account]])</f>
        <v>Transportes Comandos Del Norte</v>
      </c>
      <c r="H6574" s="1"/>
    </row>
    <row r="6575" spans="1:8" x14ac:dyDescent="0.35">
      <c r="A6575" s="21"/>
      <c r="B6575" t="s">
        <v>21</v>
      </c>
      <c r="C6575" t="s">
        <v>6</v>
      </c>
      <c r="D6575" t="s">
        <v>1390</v>
      </c>
      <c r="F6575" s="1">
        <v>45719</v>
      </c>
      <c r="G6575" t="str">
        <f>IF(Table3[[#This Row],[Top Parent Account]]="",Table3[[#This Row],[Account Legal Name]],Table3[[#This Row],[Top Parent Account]])</f>
        <v>CONSORCIO INMOBILIARIO Y CONSTRUCTOR ASPEN</v>
      </c>
      <c r="H6575" s="1"/>
    </row>
    <row r="6576" spans="1:8" x14ac:dyDescent="0.35">
      <c r="A6576" s="21"/>
      <c r="B6576" t="s">
        <v>970</v>
      </c>
      <c r="C6576" t="s">
        <v>6</v>
      </c>
      <c r="D6576" t="s">
        <v>307</v>
      </c>
      <c r="F6576" s="1">
        <v>45719</v>
      </c>
      <c r="G6576" t="str">
        <f>IF(Table3[[#This Row],[Top Parent Account]]="",Table3[[#This Row],[Account Legal Name]],Table3[[#This Row],[Top Parent Account]])</f>
        <v>Thor Urbana</v>
      </c>
      <c r="H6576" s="1"/>
    </row>
    <row r="6577" spans="1:8" x14ac:dyDescent="0.35">
      <c r="A6577" s="21"/>
      <c r="B6577" t="s">
        <v>39</v>
      </c>
      <c r="C6577" t="s">
        <v>570</v>
      </c>
      <c r="D6577" t="s">
        <v>529</v>
      </c>
      <c r="E6577" t="s">
        <v>530</v>
      </c>
      <c r="F6577" s="1">
        <v>45719</v>
      </c>
      <c r="G6577" t="str">
        <f>IF(Table3[[#This Row],[Top Parent Account]]="",Table3[[#This Row],[Account Legal Name]],Table3[[#This Row],[Top Parent Account]])</f>
        <v>International De Baja California - Mexicali</v>
      </c>
      <c r="H6577" s="1"/>
    </row>
    <row r="6578" spans="1:8" x14ac:dyDescent="0.35">
      <c r="A6578" s="21"/>
      <c r="B6578" t="s">
        <v>21</v>
      </c>
      <c r="C6578" t="s">
        <v>6</v>
      </c>
      <c r="D6578" t="s">
        <v>1391</v>
      </c>
      <c r="F6578" s="1">
        <v>45719</v>
      </c>
      <c r="G6578" t="str">
        <f>IF(Table3[[#This Row],[Top Parent Account]]="",Table3[[#This Row],[Account Legal Name]],Table3[[#This Row],[Top Parent Account]])</f>
        <v>COYATOC CONSTRUCCIONES</v>
      </c>
      <c r="H6578" s="1"/>
    </row>
    <row r="6579" spans="1:8" x14ac:dyDescent="0.35">
      <c r="A6579" s="21"/>
      <c r="B6579" t="s">
        <v>132</v>
      </c>
      <c r="C6579" t="s">
        <v>1392</v>
      </c>
      <c r="D6579" t="s">
        <v>279</v>
      </c>
      <c r="F6579" s="1">
        <v>45719</v>
      </c>
      <c r="G6579" t="str">
        <f>IF(Table3[[#This Row],[Top Parent Account]]="",Table3[[#This Row],[Account Legal Name]],Table3[[#This Row],[Top Parent Account]])</f>
        <v>Islim Telco</v>
      </c>
      <c r="H6579" s="1"/>
    </row>
    <row r="6580" spans="1:8" x14ac:dyDescent="0.35">
      <c r="A6580" s="21"/>
      <c r="B6580" t="s">
        <v>54</v>
      </c>
      <c r="C6580" t="s">
        <v>1392</v>
      </c>
      <c r="D6580" t="s">
        <v>279</v>
      </c>
      <c r="F6580" s="1">
        <v>45719</v>
      </c>
      <c r="G6580" t="str">
        <f>IF(Table3[[#This Row],[Top Parent Account]]="",Table3[[#This Row],[Account Legal Name]],Table3[[#This Row],[Top Parent Account]])</f>
        <v>Islim Telco</v>
      </c>
      <c r="H6580" s="1"/>
    </row>
    <row r="6581" spans="1:8" x14ac:dyDescent="0.35">
      <c r="A6581" s="21"/>
      <c r="B6581" t="s">
        <v>21</v>
      </c>
      <c r="C6581" t="s">
        <v>6</v>
      </c>
      <c r="D6581" t="s">
        <v>1393</v>
      </c>
      <c r="F6581" s="1">
        <v>45719</v>
      </c>
      <c r="G6581" t="str">
        <f>IF(Table3[[#This Row],[Top Parent Account]]="",Table3[[#This Row],[Account Legal Name]],Table3[[#This Row],[Top Parent Account]])</f>
        <v>Alz Construcciones</v>
      </c>
      <c r="H6581" s="1"/>
    </row>
    <row r="6582" spans="1:8" x14ac:dyDescent="0.35">
      <c r="A6582" s="21"/>
      <c r="B6582" t="s">
        <v>56</v>
      </c>
      <c r="C6582" t="s">
        <v>6</v>
      </c>
      <c r="D6582" t="s">
        <v>1394</v>
      </c>
      <c r="F6582" s="1">
        <v>45719</v>
      </c>
      <c r="G6582" t="str">
        <f>IF(Table3[[#This Row],[Top Parent Account]]="",Table3[[#This Row],[Account Legal Name]],Table3[[#This Row],[Top Parent Account]])</f>
        <v>Dánica Termo industrial México</v>
      </c>
      <c r="H6582" s="1"/>
    </row>
    <row r="6583" spans="1:8" x14ac:dyDescent="0.35">
      <c r="A6583" s="21"/>
      <c r="B6583" t="s">
        <v>739</v>
      </c>
      <c r="C6583" t="s">
        <v>22</v>
      </c>
      <c r="D6583" t="s">
        <v>197</v>
      </c>
      <c r="F6583" s="1">
        <v>45719</v>
      </c>
      <c r="G6583" t="str">
        <f>IF(Table3[[#This Row],[Top Parent Account]]="",Table3[[#This Row],[Account Legal Name]],Table3[[#This Row],[Top Parent Account]])</f>
        <v>Operadora Exe</v>
      </c>
      <c r="H6583" s="1"/>
    </row>
    <row r="6584" spans="1:8" x14ac:dyDescent="0.35">
      <c r="A6584" s="21"/>
      <c r="B6584" t="s">
        <v>39</v>
      </c>
      <c r="C6584" t="s">
        <v>1395</v>
      </c>
      <c r="D6584" t="s">
        <v>1035</v>
      </c>
      <c r="F6584" s="1">
        <v>45719</v>
      </c>
      <c r="G6584" t="str">
        <f>IF(Table3[[#This Row],[Top Parent Account]]="",Table3[[#This Row],[Account Legal Name]],Table3[[#This Row],[Top Parent Account]])</f>
        <v>Distribuidora De Concretos Mxl</v>
      </c>
      <c r="H6584" s="1"/>
    </row>
    <row r="6585" spans="1:8" x14ac:dyDescent="0.35">
      <c r="A6585" s="21"/>
      <c r="B6585" t="s">
        <v>14</v>
      </c>
      <c r="C6585" t="s">
        <v>22</v>
      </c>
      <c r="D6585" t="s">
        <v>314</v>
      </c>
      <c r="F6585" s="1">
        <v>45719</v>
      </c>
      <c r="G6585" t="str">
        <f>IF(Table3[[#This Row],[Top Parent Account]]="",Table3[[#This Row],[Account Legal Name]],Table3[[#This Row],[Top Parent Account]])</f>
        <v>Pasteleria Marisa</v>
      </c>
      <c r="H6585" s="1"/>
    </row>
    <row r="6586" spans="1:8" x14ac:dyDescent="0.35">
      <c r="A6586" s="21"/>
      <c r="B6586" t="s">
        <v>21</v>
      </c>
      <c r="C6586" t="s">
        <v>6</v>
      </c>
      <c r="D6586" t="s">
        <v>697</v>
      </c>
      <c r="F6586" s="1">
        <v>45719</v>
      </c>
      <c r="G6586" t="str">
        <f>IF(Table3[[#This Row],[Top Parent Account]]="",Table3[[#This Row],[Account Legal Name]],Table3[[#This Row],[Top Parent Account]])</f>
        <v>Moto Galería</v>
      </c>
      <c r="H6586" s="1"/>
    </row>
    <row r="6587" spans="1:8" x14ac:dyDescent="0.35">
      <c r="A6587" s="21"/>
      <c r="B6587" t="s">
        <v>38</v>
      </c>
      <c r="C6587" t="s">
        <v>6</v>
      </c>
      <c r="D6587" t="s">
        <v>1337</v>
      </c>
      <c r="F6587" s="1">
        <v>45719</v>
      </c>
      <c r="G6587" t="str">
        <f>IF(Table3[[#This Row],[Top Parent Account]]="",Table3[[#This Row],[Account Legal Name]],Table3[[#This Row],[Top Parent Account]])</f>
        <v>Empaques y Envolturas</v>
      </c>
      <c r="H6587" s="1"/>
    </row>
    <row r="6588" spans="1:8" x14ac:dyDescent="0.35">
      <c r="A6588" s="21"/>
      <c r="B6588" t="s">
        <v>70</v>
      </c>
      <c r="C6588" t="s">
        <v>22</v>
      </c>
      <c r="D6588" t="s">
        <v>531</v>
      </c>
      <c r="F6588" s="1">
        <v>45719</v>
      </c>
      <c r="G6588" t="str">
        <f>IF(Table3[[#This Row],[Top Parent Account]]="",Table3[[#This Row],[Account Legal Name]],Table3[[#This Row],[Top Parent Account]])</f>
        <v>Laboratorio de Patología Quirúrgica y Citología de Puebla</v>
      </c>
      <c r="H6588" s="1"/>
    </row>
    <row r="6589" spans="1:8" x14ac:dyDescent="0.35">
      <c r="A6589" s="21"/>
      <c r="B6589" t="s">
        <v>1006</v>
      </c>
      <c r="C6589" t="s">
        <v>6</v>
      </c>
      <c r="D6589" t="s">
        <v>288</v>
      </c>
      <c r="F6589" s="1">
        <v>45719</v>
      </c>
      <c r="G6589" t="str">
        <f>IF(Table3[[#This Row],[Top Parent Account]]="",Table3[[#This Row],[Account Legal Name]],Table3[[#This Row],[Top Parent Account]])</f>
        <v>Callizo Aromas</v>
      </c>
      <c r="H6589" s="1"/>
    </row>
    <row r="6590" spans="1:8" x14ac:dyDescent="0.35">
      <c r="A6590" s="21"/>
      <c r="B6590" t="s">
        <v>39</v>
      </c>
      <c r="C6590" t="s">
        <v>57</v>
      </c>
      <c r="D6590" t="s">
        <v>744</v>
      </c>
      <c r="F6590" s="1">
        <v>45719</v>
      </c>
      <c r="G6590" t="str">
        <f>IF(Table3[[#This Row],[Top Parent Account]]="",Table3[[#This Row],[Account Legal Name]],Table3[[#This Row],[Top Parent Account]])</f>
        <v>Fernando Woolfolk Carballo</v>
      </c>
      <c r="H6590" s="1"/>
    </row>
    <row r="6591" spans="1:8" x14ac:dyDescent="0.35">
      <c r="A6591" s="21"/>
      <c r="B6591" t="s">
        <v>820</v>
      </c>
      <c r="C6591" t="s">
        <v>6</v>
      </c>
      <c r="D6591" t="s">
        <v>360</v>
      </c>
      <c r="F6591" s="1">
        <v>45719</v>
      </c>
      <c r="G6591" t="str">
        <f>IF(Table3[[#This Row],[Top Parent Account]]="",Table3[[#This Row],[Account Legal Name]],Table3[[#This Row],[Top Parent Account]])</f>
        <v>Global Equipment</v>
      </c>
      <c r="H6591" s="1"/>
    </row>
    <row r="6592" spans="1:8" x14ac:dyDescent="0.35">
      <c r="A6592" s="21"/>
      <c r="B6592" t="s">
        <v>27</v>
      </c>
      <c r="C6592" t="s">
        <v>1396</v>
      </c>
      <c r="D6592" t="s">
        <v>1397</v>
      </c>
      <c r="F6592" s="1">
        <v>45719</v>
      </c>
      <c r="G6592" t="str">
        <f>IF(Table3[[#This Row],[Top Parent Account]]="",Table3[[#This Row],[Account Legal Name]],Table3[[#This Row],[Top Parent Account]])</f>
        <v>Hospital Aranda de la Parra</v>
      </c>
      <c r="H6592" s="1"/>
    </row>
    <row r="6593" spans="1:8" x14ac:dyDescent="0.35">
      <c r="A6593" s="21"/>
      <c r="B6593" t="s">
        <v>27</v>
      </c>
      <c r="C6593" t="s">
        <v>6</v>
      </c>
      <c r="D6593" t="s">
        <v>1283</v>
      </c>
      <c r="F6593" s="1">
        <v>45719</v>
      </c>
      <c r="G6593" t="str">
        <f>IF(Table3[[#This Row],[Top Parent Account]]="",Table3[[#This Row],[Account Legal Name]],Table3[[#This Row],[Top Parent Account]])</f>
        <v>Laboratorios Jaloma</v>
      </c>
      <c r="H6593" s="1"/>
    </row>
    <row r="6594" spans="1:8" x14ac:dyDescent="0.35">
      <c r="A6594" s="21"/>
      <c r="B6594" t="s">
        <v>39</v>
      </c>
      <c r="C6594" t="s">
        <v>570</v>
      </c>
      <c r="D6594" t="s">
        <v>532</v>
      </c>
      <c r="F6594" s="1">
        <v>45719</v>
      </c>
      <c r="G6594" t="str">
        <f>IF(Table3[[#This Row],[Top Parent Account]]="",Table3[[#This Row],[Account Legal Name]],Table3[[#This Row],[Top Parent Account]])</f>
        <v>Constructora Cadena</v>
      </c>
      <c r="H6594" s="1"/>
    </row>
    <row r="6595" spans="1:8" x14ac:dyDescent="0.35">
      <c r="A6595" s="21"/>
      <c r="B6595" t="s">
        <v>30</v>
      </c>
      <c r="C6595" t="s">
        <v>6</v>
      </c>
      <c r="D6595" t="s">
        <v>412</v>
      </c>
      <c r="E6595" t="s">
        <v>35</v>
      </c>
      <c r="F6595" s="1">
        <v>45719</v>
      </c>
      <c r="G6595" t="str">
        <f>IF(Table3[[#This Row],[Top Parent Account]]="",Table3[[#This Row],[Account Legal Name]],Table3[[#This Row],[Top Parent Account]])</f>
        <v>Bayer de México</v>
      </c>
      <c r="H6595" s="1"/>
    </row>
    <row r="6596" spans="1:8" x14ac:dyDescent="0.35">
      <c r="A6596" s="21"/>
      <c r="B6596" t="s">
        <v>18</v>
      </c>
      <c r="C6596" t="s">
        <v>6</v>
      </c>
      <c r="D6596" t="s">
        <v>1333</v>
      </c>
      <c r="F6596" s="1">
        <v>45719</v>
      </c>
      <c r="G6596" t="str">
        <f>IF(Table3[[#This Row],[Top Parent Account]]="",Table3[[#This Row],[Account Legal Name]],Table3[[#This Row],[Top Parent Account]])</f>
        <v>FERREYSA</v>
      </c>
      <c r="H6596" s="1"/>
    </row>
    <row r="6597" spans="1:8" x14ac:dyDescent="0.35">
      <c r="A6597" s="21"/>
      <c r="B6597" t="s">
        <v>11</v>
      </c>
      <c r="C6597" t="s">
        <v>6</v>
      </c>
      <c r="D6597" t="s">
        <v>98</v>
      </c>
      <c r="F6597" s="1">
        <v>45719</v>
      </c>
      <c r="G6597" t="str">
        <f>IF(Table3[[#This Row],[Top Parent Account]]="",Table3[[#This Row],[Account Legal Name]],Table3[[#This Row],[Top Parent Account]])</f>
        <v>Grupo Papelero Gabor</v>
      </c>
      <c r="H6597" s="1"/>
    </row>
    <row r="6598" spans="1:8" x14ac:dyDescent="0.35">
      <c r="A6598" s="21"/>
      <c r="B6598" t="s">
        <v>590</v>
      </c>
      <c r="C6598" t="s">
        <v>6</v>
      </c>
      <c r="D6598" t="s">
        <v>100</v>
      </c>
      <c r="F6598" s="1">
        <v>45719</v>
      </c>
      <c r="G6598" t="str">
        <f>IF(Table3[[#This Row],[Top Parent Account]]="",Table3[[#This Row],[Account Legal Name]],Table3[[#This Row],[Top Parent Account]])</f>
        <v>Lafon Launay Cosmetics</v>
      </c>
      <c r="H6598" s="1"/>
    </row>
    <row r="6599" spans="1:8" x14ac:dyDescent="0.35">
      <c r="A6599" s="21"/>
      <c r="B6599" t="s">
        <v>29</v>
      </c>
      <c r="C6599" t="s">
        <v>6</v>
      </c>
      <c r="D6599" t="s">
        <v>1398</v>
      </c>
      <c r="E6599" t="s">
        <v>1399</v>
      </c>
      <c r="F6599" s="1">
        <v>45719</v>
      </c>
      <c r="G6599" t="str">
        <f>IF(Table3[[#This Row],[Top Parent Account]]="",Table3[[#This Row],[Account Legal Name]],Table3[[#This Row],[Top Parent Account]])</f>
        <v>Consorcio Procomia</v>
      </c>
      <c r="H6599" s="1"/>
    </row>
    <row r="6600" spans="1:8" x14ac:dyDescent="0.35">
      <c r="A6600" s="21"/>
      <c r="B6600" t="s">
        <v>567</v>
      </c>
      <c r="C6600" t="s">
        <v>1401</v>
      </c>
      <c r="D6600" t="s">
        <v>304</v>
      </c>
      <c r="F6600" s="1">
        <v>45719</v>
      </c>
      <c r="G6600" t="str">
        <f>IF(Table3[[#This Row],[Top Parent Account]]="",Table3[[#This Row],[Account Legal Name]],Table3[[#This Row],[Top Parent Account]])</f>
        <v>Robert Bosch Gmbh</v>
      </c>
      <c r="H6600" s="1"/>
    </row>
    <row r="6601" spans="1:8" x14ac:dyDescent="0.35">
      <c r="A6601" s="21"/>
      <c r="B6601" t="s">
        <v>54</v>
      </c>
      <c r="C6601" t="s">
        <v>1401</v>
      </c>
      <c r="D6601" t="s">
        <v>304</v>
      </c>
      <c r="F6601" s="1">
        <v>45719</v>
      </c>
      <c r="G6601" t="str">
        <f>IF(Table3[[#This Row],[Top Parent Account]]="",Table3[[#This Row],[Account Legal Name]],Table3[[#This Row],[Top Parent Account]])</f>
        <v>Robert Bosch Gmbh</v>
      </c>
      <c r="H6601" s="1"/>
    </row>
    <row r="6602" spans="1:8" x14ac:dyDescent="0.35">
      <c r="A6602" s="21"/>
      <c r="B6602" t="s">
        <v>10</v>
      </c>
      <c r="C6602" t="s">
        <v>6</v>
      </c>
      <c r="D6602" t="s">
        <v>1400</v>
      </c>
      <c r="F6602" s="1">
        <v>45719</v>
      </c>
      <c r="G6602" t="str">
        <f>IF(Table3[[#This Row],[Top Parent Account]]="",Table3[[#This Row],[Account Legal Name]],Table3[[#This Row],[Top Parent Account]])</f>
        <v>Yusen Logistics (México)</v>
      </c>
      <c r="H6602" s="1"/>
    </row>
    <row r="6603" spans="1:8" x14ac:dyDescent="0.35">
      <c r="A6603" s="21"/>
      <c r="B6603" t="s">
        <v>88</v>
      </c>
      <c r="C6603" t="s">
        <v>6</v>
      </c>
      <c r="D6603" t="s">
        <v>1329</v>
      </c>
      <c r="F6603" s="1">
        <v>45719</v>
      </c>
      <c r="G6603" t="str">
        <f>IF(Table3[[#This Row],[Top Parent Account]]="",Table3[[#This Row],[Account Legal Name]],Table3[[#This Row],[Top Parent Account]])</f>
        <v>BEPALLET</v>
      </c>
      <c r="H6603" s="1"/>
    </row>
    <row r="6604" spans="1:8" x14ac:dyDescent="0.35">
      <c r="A6604" s="21"/>
      <c r="B6604" t="s">
        <v>18</v>
      </c>
      <c r="C6604" t="s">
        <v>6</v>
      </c>
      <c r="D6604" t="s">
        <v>263</v>
      </c>
      <c r="F6604" s="1">
        <v>45719</v>
      </c>
      <c r="G6604" t="str">
        <f>IF(Table3[[#This Row],[Top Parent Account]]="",Table3[[#This Row],[Account Legal Name]],Table3[[#This Row],[Top Parent Account]])</f>
        <v>Acero ventas m.a.</v>
      </c>
      <c r="H6604" s="1"/>
    </row>
    <row r="6605" spans="1:8" x14ac:dyDescent="0.35">
      <c r="A6605" s="21"/>
      <c r="B6605" t="s">
        <v>989</v>
      </c>
      <c r="C6605" t="s">
        <v>6</v>
      </c>
      <c r="D6605" t="s">
        <v>1174</v>
      </c>
      <c r="F6605" s="1">
        <v>45719</v>
      </c>
      <c r="G6605" t="str">
        <f>IF(Table3[[#This Row],[Top Parent Account]]="",Table3[[#This Row],[Account Legal Name]],Table3[[#This Row],[Top Parent Account]])</f>
        <v>Inmobiliaria Desercom</v>
      </c>
      <c r="H6605" s="1"/>
    </row>
    <row r="6606" spans="1:8" x14ac:dyDescent="0.35">
      <c r="A6606" s="21"/>
      <c r="B6606" t="s">
        <v>15</v>
      </c>
      <c r="C6606" t="s">
        <v>6</v>
      </c>
      <c r="D6606" t="s">
        <v>1340</v>
      </c>
      <c r="F6606" s="1">
        <v>45719</v>
      </c>
      <c r="G6606" t="str">
        <f>IF(Table3[[#This Row],[Top Parent Account]]="",Table3[[#This Row],[Account Legal Name]],Table3[[#This Row],[Top Parent Account]])</f>
        <v>Grupo Frisa</v>
      </c>
      <c r="H6606" s="1"/>
    </row>
    <row r="6607" spans="1:8" x14ac:dyDescent="0.35">
      <c r="A6607" s="21"/>
      <c r="B6607" t="s">
        <v>18</v>
      </c>
      <c r="C6607" t="s">
        <v>6</v>
      </c>
      <c r="D6607" t="s">
        <v>262</v>
      </c>
      <c r="F6607" s="1">
        <v>45719</v>
      </c>
      <c r="G6607" t="str">
        <f>IF(Table3[[#This Row],[Top Parent Account]]="",Table3[[#This Row],[Account Legal Name]],Table3[[#This Row],[Top Parent Account]])</f>
        <v>Grupo Reco</v>
      </c>
      <c r="H6607" s="1"/>
    </row>
    <row r="6608" spans="1:8" x14ac:dyDescent="0.35">
      <c r="A6608" s="21"/>
      <c r="B6608" t="s">
        <v>15</v>
      </c>
      <c r="C6608" t="s">
        <v>6</v>
      </c>
      <c r="D6608" t="s">
        <v>581</v>
      </c>
      <c r="F6608" s="1">
        <v>45716</v>
      </c>
      <c r="G6608" t="str">
        <f>IF(Table3[[#This Row],[Top Parent Account]]="",Table3[[#This Row],[Account Legal Name]],Table3[[#This Row],[Top Parent Account]])</f>
        <v>BE GRAND</v>
      </c>
      <c r="H6608" s="1"/>
    </row>
    <row r="6609" spans="1:8" x14ac:dyDescent="0.35">
      <c r="A6609" s="21"/>
      <c r="B6609" t="s">
        <v>12</v>
      </c>
      <c r="C6609" t="s">
        <v>6</v>
      </c>
      <c r="D6609" t="s">
        <v>1318</v>
      </c>
      <c r="F6609" s="1">
        <v>45716</v>
      </c>
      <c r="G6609" t="str">
        <f>IF(Table3[[#This Row],[Top Parent Account]]="",Table3[[#This Row],[Account Legal Name]],Table3[[#This Row],[Top Parent Account]])</f>
        <v>Artículos Subterráneos y Aéreos</v>
      </c>
      <c r="H6609" s="1"/>
    </row>
    <row r="6610" spans="1:8" x14ac:dyDescent="0.35">
      <c r="A6610" s="21"/>
      <c r="B6610" t="s">
        <v>589</v>
      </c>
      <c r="C6610" t="s">
        <v>6</v>
      </c>
      <c r="D6610" t="s">
        <v>1319</v>
      </c>
      <c r="E6610" t="s">
        <v>1320</v>
      </c>
      <c r="F6610" s="1">
        <v>45716</v>
      </c>
      <c r="G6610" t="str">
        <f>IF(Table3[[#This Row],[Top Parent Account]]="",Table3[[#This Row],[Account Legal Name]],Table3[[#This Row],[Top Parent Account]])</f>
        <v>Plantagro</v>
      </c>
      <c r="H6610" s="1"/>
    </row>
    <row r="6611" spans="1:8" x14ac:dyDescent="0.35">
      <c r="A6611" s="21"/>
      <c r="B6611" t="s">
        <v>589</v>
      </c>
      <c r="C6611" t="s">
        <v>6</v>
      </c>
      <c r="D6611" t="s">
        <v>1321</v>
      </c>
      <c r="F6611" s="1">
        <v>45716</v>
      </c>
      <c r="G6611" t="str">
        <f>IF(Table3[[#This Row],[Top Parent Account]]="",Table3[[#This Row],[Account Legal Name]],Table3[[#This Row],[Top Parent Account]])</f>
        <v>Transportadora Carga Mundial</v>
      </c>
      <c r="H6611" s="1"/>
    </row>
    <row r="6612" spans="1:8" x14ac:dyDescent="0.35">
      <c r="A6612" s="21"/>
      <c r="B6612" t="s">
        <v>970</v>
      </c>
      <c r="C6612" t="s">
        <v>6</v>
      </c>
      <c r="D6612" t="s">
        <v>307</v>
      </c>
      <c r="F6612" s="1">
        <v>45716</v>
      </c>
      <c r="G6612" t="str">
        <f>IF(Table3[[#This Row],[Top Parent Account]]="",Table3[[#This Row],[Account Legal Name]],Table3[[#This Row],[Top Parent Account]])</f>
        <v>Thor Urbana</v>
      </c>
      <c r="H6612" s="1"/>
    </row>
    <row r="6613" spans="1:8" x14ac:dyDescent="0.35">
      <c r="A6613" s="21"/>
      <c r="B6613" t="s">
        <v>10</v>
      </c>
      <c r="C6613" t="s">
        <v>6</v>
      </c>
      <c r="D6613" t="s">
        <v>491</v>
      </c>
      <c r="F6613" s="1">
        <v>45716</v>
      </c>
      <c r="G6613" t="str">
        <f>IF(Table3[[#This Row],[Top Parent Account]]="",Table3[[#This Row],[Account Legal Name]],Table3[[#This Row],[Top Parent Account]])</f>
        <v>RDCM</v>
      </c>
      <c r="H6613" s="1"/>
    </row>
    <row r="6614" spans="1:8" x14ac:dyDescent="0.35">
      <c r="A6614" s="21"/>
      <c r="B6614" t="s">
        <v>70</v>
      </c>
      <c r="C6614" t="s">
        <v>22</v>
      </c>
      <c r="D6614" t="s">
        <v>479</v>
      </c>
      <c r="F6614" s="1">
        <v>45716</v>
      </c>
      <c r="G6614" t="str">
        <f>IF(Table3[[#This Row],[Top Parent Account]]="",Table3[[#This Row],[Account Legal Name]],Table3[[#This Row],[Top Parent Account]])</f>
        <v>Santoyo Gabinete Radiológico</v>
      </c>
      <c r="H6614" s="1"/>
    </row>
    <row r="6615" spans="1:8" x14ac:dyDescent="0.35">
      <c r="A6615" s="21"/>
      <c r="B6615" t="s">
        <v>12</v>
      </c>
      <c r="C6615" t="s">
        <v>6</v>
      </c>
      <c r="D6615" t="s">
        <v>1097</v>
      </c>
      <c r="F6615" s="1">
        <v>45716</v>
      </c>
      <c r="G6615" t="str">
        <f>IF(Table3[[#This Row],[Top Parent Account]]="",Table3[[#This Row],[Account Legal Name]],Table3[[#This Row],[Top Parent Account]])</f>
        <v>Steelex Estruturas Metálicas</v>
      </c>
      <c r="H6615" s="1"/>
    </row>
    <row r="6616" spans="1:8" x14ac:dyDescent="0.35">
      <c r="A6616" s="21"/>
      <c r="B6616" t="s">
        <v>12</v>
      </c>
      <c r="C6616" t="s">
        <v>6</v>
      </c>
      <c r="D6616" t="s">
        <v>271</v>
      </c>
      <c r="F6616" s="1">
        <v>45716</v>
      </c>
      <c r="G6616" t="str">
        <f>IF(Table3[[#This Row],[Top Parent Account]]="",Table3[[#This Row],[Account Legal Name]],Table3[[#This Row],[Top Parent Account]])</f>
        <v>Constructora Lusen</v>
      </c>
      <c r="H6616" s="1"/>
    </row>
    <row r="6617" spans="1:8" x14ac:dyDescent="0.35">
      <c r="A6617" s="21"/>
      <c r="B6617" t="s">
        <v>18</v>
      </c>
      <c r="C6617" t="s">
        <v>6</v>
      </c>
      <c r="D6617" t="s">
        <v>719</v>
      </c>
      <c r="F6617" s="1">
        <v>45716</v>
      </c>
      <c r="G6617" t="str">
        <f>IF(Table3[[#This Row],[Top Parent Account]]="",Table3[[#This Row],[Account Legal Name]],Table3[[#This Row],[Top Parent Account]])</f>
        <v>SERVICIOS ESPECIALES GARCIA</v>
      </c>
      <c r="H6617" s="1"/>
    </row>
    <row r="6618" spans="1:8" x14ac:dyDescent="0.35">
      <c r="A6618" s="21"/>
      <c r="B6618" t="s">
        <v>37</v>
      </c>
      <c r="C6618" t="s">
        <v>22</v>
      </c>
      <c r="D6618" t="s">
        <v>692</v>
      </c>
      <c r="F6618" s="1">
        <v>45716</v>
      </c>
      <c r="G6618" t="str">
        <f>IF(Table3[[#This Row],[Top Parent Account]]="",Table3[[#This Row],[Account Legal Name]],Table3[[#This Row],[Top Parent Account]])</f>
        <v>LUXIDA GROUP</v>
      </c>
      <c r="H6618" s="1"/>
    </row>
    <row r="6619" spans="1:8" x14ac:dyDescent="0.35">
      <c r="A6619" s="21"/>
      <c r="B6619" t="s">
        <v>21</v>
      </c>
      <c r="C6619" t="s">
        <v>6</v>
      </c>
      <c r="D6619" t="s">
        <v>1936</v>
      </c>
      <c r="F6619" s="1">
        <v>45716</v>
      </c>
      <c r="G6619" t="str">
        <f>IF(Table3[[#This Row],[Top Parent Account]]="",Table3[[#This Row],[Account Legal Name]],Table3[[#This Row],[Top Parent Account]])</f>
        <v>Servicio Metropolitano del Golfo</v>
      </c>
      <c r="H6619" s="1"/>
    </row>
    <row r="6620" spans="1:8" x14ac:dyDescent="0.35">
      <c r="A6620" s="21"/>
      <c r="B6620" t="s">
        <v>207</v>
      </c>
      <c r="C6620" t="s">
        <v>6</v>
      </c>
      <c r="D6620" t="s">
        <v>949</v>
      </c>
      <c r="F6620" s="1">
        <v>45716</v>
      </c>
      <c r="G6620" t="str">
        <f>IF(Table3[[#This Row],[Top Parent Account]]="",Table3[[#This Row],[Account Legal Name]],Table3[[#This Row],[Top Parent Account]])</f>
        <v>Madin Impresores</v>
      </c>
      <c r="H6620" s="1"/>
    </row>
    <row r="6621" spans="1:8" x14ac:dyDescent="0.35">
      <c r="A6621" s="21"/>
      <c r="B6621" t="s">
        <v>12</v>
      </c>
      <c r="C6621" t="s">
        <v>6</v>
      </c>
      <c r="D6621" t="s">
        <v>1099</v>
      </c>
      <c r="F6621" s="1">
        <v>45716</v>
      </c>
      <c r="G6621" t="str">
        <f>IF(Table3[[#This Row],[Top Parent Account]]="",Table3[[#This Row],[Account Legal Name]],Table3[[#This Row],[Top Parent Account]])</f>
        <v>EMPACADORA GRUMA DEL SURESTE</v>
      </c>
      <c r="H6621" s="1"/>
    </row>
    <row r="6622" spans="1:8" x14ac:dyDescent="0.35">
      <c r="A6622" s="21"/>
      <c r="B6622" t="s">
        <v>932</v>
      </c>
      <c r="C6622" t="s">
        <v>1301</v>
      </c>
      <c r="D6622" t="s">
        <v>729</v>
      </c>
      <c r="F6622" s="1">
        <v>45716</v>
      </c>
      <c r="G6622" t="str">
        <f>IF(Table3[[#This Row],[Top Parent Account]]="",Table3[[#This Row],[Account Legal Name]],Table3[[#This Row],[Top Parent Account]])</f>
        <v>Organitec</v>
      </c>
      <c r="H6622" s="1"/>
    </row>
    <row r="6623" spans="1:8" x14ac:dyDescent="0.35">
      <c r="A6623" s="21"/>
      <c r="B6623" t="s">
        <v>589</v>
      </c>
      <c r="C6623" t="s">
        <v>6</v>
      </c>
      <c r="D6623" t="s">
        <v>1302</v>
      </c>
      <c r="F6623" s="1">
        <v>45716</v>
      </c>
      <c r="G6623" t="str">
        <f>IF(Table3[[#This Row],[Top Parent Account]]="",Table3[[#This Row],[Account Legal Name]],Table3[[#This Row],[Top Parent Account]])</f>
        <v>Soluciones Para El Control De Recursos</v>
      </c>
      <c r="H6623" s="1"/>
    </row>
    <row r="6624" spans="1:8" x14ac:dyDescent="0.35">
      <c r="A6624" s="21"/>
      <c r="B6624" t="s">
        <v>27</v>
      </c>
      <c r="C6624" t="s">
        <v>6</v>
      </c>
      <c r="D6624" t="s">
        <v>36</v>
      </c>
      <c r="F6624" s="1">
        <v>45716</v>
      </c>
      <c r="G6624" t="str">
        <f>IF(Table3[[#This Row],[Top Parent Account]]="",Table3[[#This Row],[Account Legal Name]],Table3[[#This Row],[Top Parent Account]])</f>
        <v>Grupo TRACSA</v>
      </c>
      <c r="H6624" s="1"/>
    </row>
    <row r="6625" spans="1:8" x14ac:dyDescent="0.35">
      <c r="A6625" s="21"/>
      <c r="B6625" t="s">
        <v>739</v>
      </c>
      <c r="C6625" t="s">
        <v>6</v>
      </c>
      <c r="D6625" t="s">
        <v>370</v>
      </c>
      <c r="F6625" s="1">
        <v>45716</v>
      </c>
      <c r="G6625" t="str">
        <f>IF(Table3[[#This Row],[Top Parent Account]]="",Table3[[#This Row],[Account Legal Name]],Table3[[#This Row],[Top Parent Account]])</f>
        <v>Grupo Kuo</v>
      </c>
      <c r="H6625" s="1"/>
    </row>
    <row r="6626" spans="1:8" x14ac:dyDescent="0.35">
      <c r="A6626" s="21"/>
      <c r="B6626" t="s">
        <v>37</v>
      </c>
      <c r="C6626" t="s">
        <v>6</v>
      </c>
      <c r="D6626" t="s">
        <v>174</v>
      </c>
      <c r="F6626" s="1">
        <v>45716</v>
      </c>
      <c r="G6626" t="str">
        <f>IF(Table3[[#This Row],[Top Parent Account]]="",Table3[[#This Row],[Account Legal Name]],Table3[[#This Row],[Top Parent Account]])</f>
        <v>CW Metal</v>
      </c>
      <c r="H6626" s="1"/>
    </row>
    <row r="6627" spans="1:8" x14ac:dyDescent="0.35">
      <c r="A6627" s="21"/>
      <c r="B6627" t="s">
        <v>32</v>
      </c>
      <c r="C6627" t="s">
        <v>6</v>
      </c>
      <c r="D6627" t="s">
        <v>953</v>
      </c>
      <c r="F6627" s="1">
        <v>45716</v>
      </c>
      <c r="G6627" t="str">
        <f>IF(Table3[[#This Row],[Top Parent Account]]="",Table3[[#This Row],[Account Legal Name]],Table3[[#This Row],[Top Parent Account]])</f>
        <v>Kensa Logistics México</v>
      </c>
      <c r="H6627" s="1"/>
    </row>
    <row r="6628" spans="1:8" x14ac:dyDescent="0.35">
      <c r="A6628" s="21"/>
      <c r="B6628" t="s">
        <v>37</v>
      </c>
      <c r="C6628" t="s">
        <v>22</v>
      </c>
      <c r="D6628" t="s">
        <v>583</v>
      </c>
      <c r="F6628" s="1">
        <v>45715</v>
      </c>
      <c r="G6628" t="str">
        <f>IF(Table3[[#This Row],[Top Parent Account]]="",Table3[[#This Row],[Account Legal Name]],Table3[[#This Row],[Top Parent Account]])</f>
        <v>ALMACENADORA DE FIERRO Y METALES</v>
      </c>
      <c r="H6628" s="1"/>
    </row>
    <row r="6629" spans="1:8" x14ac:dyDescent="0.35">
      <c r="A6629" s="21"/>
      <c r="B6629" t="s">
        <v>37</v>
      </c>
      <c r="C6629" t="s">
        <v>22</v>
      </c>
      <c r="D6629" t="s">
        <v>287</v>
      </c>
      <c r="F6629" s="1">
        <v>45715</v>
      </c>
      <c r="G6629" t="str">
        <f>IF(Table3[[#This Row],[Top Parent Account]]="",Table3[[#This Row],[Account Legal Name]],Table3[[#This Row],[Top Parent Account]])</f>
        <v>Agropecuaria Camou</v>
      </c>
      <c r="H6629" s="1"/>
    </row>
    <row r="6630" spans="1:8" x14ac:dyDescent="0.35">
      <c r="A6630" s="21"/>
      <c r="B6630" t="s">
        <v>25</v>
      </c>
      <c r="C6630" t="s">
        <v>6</v>
      </c>
      <c r="D6630" t="s">
        <v>1236</v>
      </c>
      <c r="E6630" t="s">
        <v>1237</v>
      </c>
      <c r="F6630" s="1">
        <v>45715</v>
      </c>
      <c r="G6630" t="str">
        <f>IF(Table3[[#This Row],[Top Parent Account]]="",Table3[[#This Row],[Account Legal Name]],Table3[[#This Row],[Top Parent Account]])</f>
        <v>Grupo GET</v>
      </c>
      <c r="H6630" s="1"/>
    </row>
    <row r="6631" spans="1:8" x14ac:dyDescent="0.35">
      <c r="A6631" s="21"/>
      <c r="B6631" t="s">
        <v>25</v>
      </c>
      <c r="C6631" t="s">
        <v>6</v>
      </c>
      <c r="D6631" t="s">
        <v>1235</v>
      </c>
      <c r="F6631" s="1">
        <v>45715</v>
      </c>
      <c r="G6631" t="str">
        <f>IF(Table3[[#This Row],[Top Parent Account]]="",Table3[[#This Row],[Account Legal Name]],Table3[[#This Row],[Top Parent Account]])</f>
        <v>ESPACIO CEP</v>
      </c>
      <c r="H6631" s="1"/>
    </row>
    <row r="6632" spans="1:8" x14ac:dyDescent="0.35">
      <c r="A6632" s="21"/>
      <c r="B6632" t="s">
        <v>28</v>
      </c>
      <c r="C6632" t="s">
        <v>6</v>
      </c>
      <c r="D6632" t="s">
        <v>1304</v>
      </c>
      <c r="F6632" s="1">
        <v>45715</v>
      </c>
      <c r="G6632" t="str">
        <f>IF(Table3[[#This Row],[Top Parent Account]]="",Table3[[#This Row],[Account Legal Name]],Table3[[#This Row],[Top Parent Account]])</f>
        <v>Semillas Escalera de la Laguna</v>
      </c>
      <c r="H6632" s="1"/>
    </row>
    <row r="6633" spans="1:8" x14ac:dyDescent="0.35">
      <c r="A6633" s="21"/>
      <c r="B6633" t="s">
        <v>925</v>
      </c>
      <c r="C6633" t="s">
        <v>6</v>
      </c>
      <c r="D6633" t="s">
        <v>1305</v>
      </c>
      <c r="F6633" s="1">
        <v>45715</v>
      </c>
      <c r="G6633" t="str">
        <f>IF(Table3[[#This Row],[Top Parent Account]]="",Table3[[#This Row],[Account Legal Name]],Table3[[#This Row],[Top Parent Account]])</f>
        <v>Farben Haus</v>
      </c>
      <c r="H6633" s="1"/>
    </row>
    <row r="6634" spans="1:8" x14ac:dyDescent="0.35">
      <c r="A6634" s="21"/>
      <c r="B6634" t="s">
        <v>11</v>
      </c>
      <c r="C6634" t="s">
        <v>6</v>
      </c>
      <c r="D6634" t="s">
        <v>1238</v>
      </c>
      <c r="F6634" s="1">
        <v>45715</v>
      </c>
      <c r="G6634" t="str">
        <f>IF(Table3[[#This Row],[Top Parent Account]]="",Table3[[#This Row],[Account Legal Name]],Table3[[#This Row],[Top Parent Account]])</f>
        <v>Equipar</v>
      </c>
      <c r="H6634" s="1"/>
    </row>
    <row r="6635" spans="1:8" x14ac:dyDescent="0.35">
      <c r="A6635" s="21"/>
      <c r="B6635" t="s">
        <v>88</v>
      </c>
      <c r="C6635" t="s">
        <v>6</v>
      </c>
      <c r="D6635" t="s">
        <v>1239</v>
      </c>
      <c r="F6635" s="1">
        <v>45715</v>
      </c>
      <c r="G6635" t="str">
        <f>IF(Table3[[#This Row],[Top Parent Account]]="",Table3[[#This Row],[Account Legal Name]],Table3[[#This Row],[Top Parent Account]])</f>
        <v>EL ZAR DE LA LIMPIEZA, ARTICULOS &amp; SERVICIOS</v>
      </c>
      <c r="H6635" s="1"/>
    </row>
    <row r="6636" spans="1:8" x14ac:dyDescent="0.35">
      <c r="A6636" s="21"/>
      <c r="B6636" t="s">
        <v>18</v>
      </c>
      <c r="C6636" t="s">
        <v>6</v>
      </c>
      <c r="D6636" t="s">
        <v>1322</v>
      </c>
      <c r="F6636" s="1">
        <v>45715</v>
      </c>
      <c r="G6636" t="str">
        <f>IF(Table3[[#This Row],[Top Parent Account]]="",Table3[[#This Row],[Account Legal Name]],Table3[[#This Row],[Top Parent Account]])</f>
        <v>Ezi Metales</v>
      </c>
      <c r="H6636" s="1"/>
    </row>
    <row r="6637" spans="1:8" x14ac:dyDescent="0.35">
      <c r="A6637" s="21"/>
      <c r="B6637" t="s">
        <v>70</v>
      </c>
      <c r="C6637" t="s">
        <v>6</v>
      </c>
      <c r="D6637" t="s">
        <v>317</v>
      </c>
      <c r="F6637" s="1">
        <v>45715</v>
      </c>
      <c r="G6637" t="str">
        <f>IF(Table3[[#This Row],[Top Parent Account]]="",Table3[[#This Row],[Account Legal Name]],Table3[[#This Row],[Top Parent Account]])</f>
        <v>B Braun Aesculap de México</v>
      </c>
      <c r="H6637" s="1"/>
    </row>
    <row r="6638" spans="1:8" x14ac:dyDescent="0.35">
      <c r="A6638" s="21"/>
      <c r="B6638" t="s">
        <v>375</v>
      </c>
      <c r="C6638" t="s">
        <v>6</v>
      </c>
      <c r="D6638" t="s">
        <v>1084</v>
      </c>
      <c r="F6638" s="1">
        <v>45715</v>
      </c>
      <c r="G6638" t="str">
        <f>IF(Table3[[#This Row],[Top Parent Account]]="",Table3[[#This Row],[Account Legal Name]],Table3[[#This Row],[Top Parent Account]])</f>
        <v>Hi-Tec Medical</v>
      </c>
      <c r="H6638" s="1"/>
    </row>
    <row r="6639" spans="1:8" x14ac:dyDescent="0.35">
      <c r="A6639" s="21"/>
      <c r="B6639" t="s">
        <v>37</v>
      </c>
      <c r="C6639" t="s">
        <v>6</v>
      </c>
      <c r="D6639" t="s">
        <v>1303</v>
      </c>
      <c r="F6639" s="1">
        <v>45715</v>
      </c>
      <c r="G6639" t="str">
        <f>IF(Table3[[#This Row],[Top Parent Account]]="",Table3[[#This Row],[Account Legal Name]],Table3[[#This Row],[Top Parent Account]])</f>
        <v>Kn Materiales</v>
      </c>
      <c r="H6639" s="1"/>
    </row>
    <row r="6640" spans="1:8" x14ac:dyDescent="0.35">
      <c r="A6640" s="21"/>
      <c r="B6640" t="s">
        <v>32</v>
      </c>
      <c r="C6640" t="s">
        <v>6</v>
      </c>
      <c r="D6640" t="s">
        <v>1306</v>
      </c>
      <c r="F6640" s="1">
        <v>45715</v>
      </c>
      <c r="G6640" t="str">
        <f>IF(Table3[[#This Row],[Top Parent Account]]="",Table3[[#This Row],[Account Legal Name]],Table3[[#This Row],[Top Parent Account]])</f>
        <v>Grupo Cepron</v>
      </c>
      <c r="H6640" s="1"/>
    </row>
    <row r="6641" spans="1:8" x14ac:dyDescent="0.35">
      <c r="A6641" s="21"/>
      <c r="B6641" t="s">
        <v>208</v>
      </c>
      <c r="C6641" t="s">
        <v>6</v>
      </c>
      <c r="D6641" t="s">
        <v>545</v>
      </c>
      <c r="F6641" s="1">
        <v>45715</v>
      </c>
      <c r="G6641" t="str">
        <f>IF(Table3[[#This Row],[Top Parent Account]]="",Table3[[#This Row],[Account Legal Name]],Table3[[#This Row],[Top Parent Account]])</f>
        <v>Imaginación en Movimiento</v>
      </c>
      <c r="H6641" s="1"/>
    </row>
    <row r="6642" spans="1:8" x14ac:dyDescent="0.35">
      <c r="A6642" s="21"/>
      <c r="B6642" t="s">
        <v>589</v>
      </c>
      <c r="C6642" t="s">
        <v>6</v>
      </c>
      <c r="D6642" t="s">
        <v>1323</v>
      </c>
      <c r="F6642" s="1">
        <v>45715</v>
      </c>
      <c r="G6642" t="str">
        <f>IF(Table3[[#This Row],[Top Parent Account]]="",Table3[[#This Row],[Account Legal Name]],Table3[[#This Row],[Top Parent Account]])</f>
        <v>MEXICANA DE TRITURADOS</v>
      </c>
      <c r="H6642" s="1"/>
    </row>
    <row r="6643" spans="1:8" x14ac:dyDescent="0.35">
      <c r="A6643" s="21"/>
      <c r="B6643" t="s">
        <v>70</v>
      </c>
      <c r="C6643" t="s">
        <v>22</v>
      </c>
      <c r="D6643" t="s">
        <v>1068</v>
      </c>
      <c r="F6643" s="1">
        <v>45715</v>
      </c>
      <c r="G6643" t="str">
        <f>IF(Table3[[#This Row],[Top Parent Account]]="",Table3[[#This Row],[Account Legal Name]],Table3[[#This Row],[Top Parent Account]])</f>
        <v>Igsa</v>
      </c>
      <c r="H6643" s="1"/>
    </row>
    <row r="6644" spans="1:8" x14ac:dyDescent="0.35">
      <c r="A6644" s="21"/>
      <c r="B6644" t="s">
        <v>88</v>
      </c>
      <c r="C6644" t="s">
        <v>6</v>
      </c>
      <c r="D6644" t="s">
        <v>1240</v>
      </c>
      <c r="F6644" s="1">
        <v>45715</v>
      </c>
      <c r="G6644" t="str">
        <f>IF(Table3[[#This Row],[Top Parent Account]]="",Table3[[#This Row],[Account Legal Name]],Table3[[#This Row],[Top Parent Account]])</f>
        <v>Frysa Manufacturas</v>
      </c>
      <c r="H6644" s="1"/>
    </row>
    <row r="6645" spans="1:8" x14ac:dyDescent="0.35">
      <c r="A6645" s="21"/>
      <c r="B6645" t="s">
        <v>880</v>
      </c>
      <c r="C6645" t="s">
        <v>1241</v>
      </c>
      <c r="D6645" t="s">
        <v>240</v>
      </c>
      <c r="F6645" s="1">
        <v>45715</v>
      </c>
      <c r="G6645" t="str">
        <f>IF(Table3[[#This Row],[Top Parent Account]]="",Table3[[#This Row],[Account Legal Name]],Table3[[#This Row],[Top Parent Account]])</f>
        <v>Sigpack</v>
      </c>
      <c r="H6645" s="1"/>
    </row>
    <row r="6646" spans="1:8" x14ac:dyDescent="0.35">
      <c r="A6646" s="21"/>
      <c r="B6646" t="s">
        <v>54</v>
      </c>
      <c r="C6646" t="s">
        <v>1241</v>
      </c>
      <c r="D6646" t="s">
        <v>240</v>
      </c>
      <c r="F6646" s="1">
        <v>45715</v>
      </c>
      <c r="G6646" t="str">
        <f>IF(Table3[[#This Row],[Top Parent Account]]="",Table3[[#This Row],[Account Legal Name]],Table3[[#This Row],[Top Parent Account]])</f>
        <v>Sigpack</v>
      </c>
      <c r="H6646" s="1"/>
    </row>
    <row r="6647" spans="1:8" x14ac:dyDescent="0.35">
      <c r="A6647" s="21"/>
      <c r="B6647" t="s">
        <v>58</v>
      </c>
      <c r="C6647" t="s">
        <v>6</v>
      </c>
      <c r="D6647" t="s">
        <v>369</v>
      </c>
      <c r="F6647" s="1">
        <v>45715</v>
      </c>
      <c r="G6647" t="str">
        <f>IF(Table3[[#This Row],[Top Parent Account]]="",Table3[[#This Row],[Account Legal Name]],Table3[[#This Row],[Top Parent Account]])</f>
        <v>Nusantara de México</v>
      </c>
      <c r="H6647" s="1"/>
    </row>
    <row r="6648" spans="1:8" x14ac:dyDescent="0.35">
      <c r="A6648" s="21"/>
      <c r="B6648" t="s">
        <v>27</v>
      </c>
      <c r="C6648" t="s">
        <v>6</v>
      </c>
      <c r="D6648" t="s">
        <v>1242</v>
      </c>
      <c r="F6648" s="1">
        <v>45715</v>
      </c>
      <c r="G6648" t="str">
        <f>IF(Table3[[#This Row],[Top Parent Account]]="",Table3[[#This Row],[Account Legal Name]],Table3[[#This Row],[Top Parent Account]])</f>
        <v>Cristacurva</v>
      </c>
      <c r="H6648" s="1"/>
    </row>
    <row r="6649" spans="1:8" x14ac:dyDescent="0.35">
      <c r="A6649" s="21"/>
      <c r="B6649" t="s">
        <v>192</v>
      </c>
      <c r="C6649" t="s">
        <v>49</v>
      </c>
      <c r="D6649" t="s">
        <v>658</v>
      </c>
      <c r="F6649" s="1">
        <v>45715</v>
      </c>
      <c r="G6649" t="str">
        <f>IF(Table3[[#This Row],[Top Parent Account]]="",Table3[[#This Row],[Account Legal Name]],Table3[[#This Row],[Top Parent Account]])</f>
        <v>SUPER FLAMA</v>
      </c>
      <c r="H6649" s="1"/>
    </row>
    <row r="6650" spans="1:8" x14ac:dyDescent="0.35">
      <c r="A6650" s="21"/>
      <c r="B6650" t="s">
        <v>26</v>
      </c>
      <c r="C6650" t="s">
        <v>6</v>
      </c>
      <c r="D6650" t="s">
        <v>488</v>
      </c>
      <c r="F6650" s="1">
        <v>45715</v>
      </c>
      <c r="G6650" t="str">
        <f>IF(Table3[[#This Row],[Top Parent Account]]="",Table3[[#This Row],[Account Legal Name]],Table3[[#This Row],[Top Parent Account]])</f>
        <v>Cinépolis de México</v>
      </c>
      <c r="H6650" s="1"/>
    </row>
    <row r="6651" spans="1:8" x14ac:dyDescent="0.35">
      <c r="A6651" s="21"/>
      <c r="B6651" t="s">
        <v>375</v>
      </c>
      <c r="C6651" t="s">
        <v>6</v>
      </c>
      <c r="D6651" t="s">
        <v>1231</v>
      </c>
      <c r="F6651" s="1">
        <v>45715</v>
      </c>
      <c r="G6651" t="str">
        <f>IF(Table3[[#This Row],[Top Parent Account]]="",Table3[[#This Row],[Account Legal Name]],Table3[[#This Row],[Top Parent Account]])</f>
        <v>Distribuidora Springhouse</v>
      </c>
      <c r="H6651" s="1"/>
    </row>
    <row r="6652" spans="1:8" x14ac:dyDescent="0.35">
      <c r="A6652" s="21"/>
      <c r="B6652" t="s">
        <v>589</v>
      </c>
      <c r="C6652" t="s">
        <v>6</v>
      </c>
      <c r="D6652" t="s">
        <v>1243</v>
      </c>
      <c r="F6652" s="1">
        <v>45715</v>
      </c>
      <c r="G6652" t="str">
        <f>IF(Table3[[#This Row],[Top Parent Account]]="",Table3[[#This Row],[Account Legal Name]],Table3[[#This Row],[Top Parent Account]])</f>
        <v>Transportes Unidos Tampiqueños</v>
      </c>
      <c r="H6652" s="1"/>
    </row>
    <row r="6653" spans="1:8" x14ac:dyDescent="0.35">
      <c r="A6653" s="21"/>
      <c r="B6653" t="s">
        <v>70</v>
      </c>
      <c r="C6653" t="s">
        <v>6</v>
      </c>
      <c r="D6653" t="s">
        <v>1307</v>
      </c>
      <c r="F6653" s="1">
        <v>45715</v>
      </c>
      <c r="G6653" t="str">
        <f>IF(Table3[[#This Row],[Top Parent Account]]="",Table3[[#This Row],[Account Legal Name]],Table3[[#This Row],[Top Parent Account]])</f>
        <v>Centro Médico de Especialidades de Ciudad Juarez</v>
      </c>
      <c r="H6653" s="1"/>
    </row>
    <row r="6654" spans="1:8" x14ac:dyDescent="0.35">
      <c r="A6654" s="21"/>
      <c r="B6654" t="s">
        <v>1031</v>
      </c>
      <c r="C6654" t="s">
        <v>6</v>
      </c>
      <c r="D6654" t="s">
        <v>1308</v>
      </c>
      <c r="F6654" s="1">
        <v>45715</v>
      </c>
      <c r="G6654" t="str">
        <f>IF(Table3[[#This Row],[Top Parent Account]]="",Table3[[#This Row],[Account Legal Name]],Table3[[#This Row],[Top Parent Account]])</f>
        <v>Hi-Fos</v>
      </c>
      <c r="H6654" s="1"/>
    </row>
    <row r="6655" spans="1:8" x14ac:dyDescent="0.35">
      <c r="A6655" s="21"/>
      <c r="B6655" t="s">
        <v>880</v>
      </c>
      <c r="C6655" t="s">
        <v>1244</v>
      </c>
      <c r="D6655" t="s">
        <v>940</v>
      </c>
      <c r="F6655" s="1">
        <v>45715</v>
      </c>
      <c r="G6655" t="str">
        <f>IF(Table3[[#This Row],[Top Parent Account]]="",Table3[[#This Row],[Account Legal Name]],Table3[[#This Row],[Top Parent Account]])</f>
        <v>Industria de Alimentos Nutriwell</v>
      </c>
      <c r="H6655" s="1"/>
    </row>
    <row r="6656" spans="1:8" x14ac:dyDescent="0.35">
      <c r="A6656" s="21"/>
      <c r="B6656" t="s">
        <v>54</v>
      </c>
      <c r="C6656" t="s">
        <v>1244</v>
      </c>
      <c r="D6656" t="s">
        <v>940</v>
      </c>
      <c r="F6656" s="1">
        <v>45715</v>
      </c>
      <c r="G6656" t="str">
        <f>IF(Table3[[#This Row],[Top Parent Account]]="",Table3[[#This Row],[Account Legal Name]],Table3[[#This Row],[Top Parent Account]])</f>
        <v>Industria de Alimentos Nutriwell</v>
      </c>
      <c r="H6656" s="1"/>
    </row>
    <row r="6657" spans="1:8" x14ac:dyDescent="0.35">
      <c r="A6657" s="21"/>
      <c r="B6657" t="s">
        <v>11</v>
      </c>
      <c r="C6657" t="s">
        <v>6</v>
      </c>
      <c r="D6657" t="s">
        <v>395</v>
      </c>
      <c r="F6657" s="1">
        <v>45715</v>
      </c>
      <c r="G6657" t="str">
        <f>IF(Table3[[#This Row],[Top Parent Account]]="",Table3[[#This Row],[Account Legal Name]],Table3[[#This Row],[Top Parent Account]])</f>
        <v>EXTRUSIONES NACIONALES VESTA</v>
      </c>
      <c r="H6657" s="1"/>
    </row>
    <row r="6658" spans="1:8" x14ac:dyDescent="0.35">
      <c r="A6658" s="21"/>
      <c r="B6658" t="s">
        <v>84</v>
      </c>
      <c r="C6658" t="s">
        <v>193</v>
      </c>
      <c r="D6658" t="s">
        <v>284</v>
      </c>
      <c r="F6658" s="1">
        <v>45715</v>
      </c>
      <c r="G6658" t="str">
        <f>IF(Table3[[#This Row],[Top Parent Account]]="",Table3[[#This Row],[Account Legal Name]],Table3[[#This Row],[Top Parent Account]])</f>
        <v>Fletes Marroquin</v>
      </c>
      <c r="H6658" s="1"/>
    </row>
    <row r="6659" spans="1:8" x14ac:dyDescent="0.35">
      <c r="A6659" s="21"/>
      <c r="B6659" t="s">
        <v>192</v>
      </c>
      <c r="C6659" t="s">
        <v>68</v>
      </c>
      <c r="D6659" t="s">
        <v>1324</v>
      </c>
      <c r="E6659" t="s">
        <v>1245</v>
      </c>
      <c r="F6659" s="1">
        <v>45715</v>
      </c>
      <c r="G6659" t="str">
        <f>IF(Table3[[#This Row],[Top Parent Account]]="",Table3[[#This Row],[Account Legal Name]],Table3[[#This Row],[Top Parent Account]])</f>
        <v>Servicios y Reparaciones LYP</v>
      </c>
      <c r="H6659" s="1"/>
    </row>
    <row r="6660" spans="1:8" x14ac:dyDescent="0.35">
      <c r="A6660" s="21"/>
      <c r="B6660" t="s">
        <v>192</v>
      </c>
      <c r="C6660" t="s">
        <v>6</v>
      </c>
      <c r="D6660" t="s">
        <v>1245</v>
      </c>
      <c r="F6660" s="1">
        <v>45715</v>
      </c>
      <c r="G6660" t="str">
        <f>IF(Table3[[#This Row],[Top Parent Account]]="",Table3[[#This Row],[Account Legal Name]],Table3[[#This Row],[Top Parent Account]])</f>
        <v>Servicios y Reparaciones LYP</v>
      </c>
      <c r="H6660" s="1"/>
    </row>
    <row r="6661" spans="1:8" x14ac:dyDescent="0.35">
      <c r="A6661" s="21"/>
      <c r="B6661" t="s">
        <v>88</v>
      </c>
      <c r="C6661" t="s">
        <v>6</v>
      </c>
      <c r="D6661" t="s">
        <v>1246</v>
      </c>
      <c r="F6661" s="1">
        <v>45715</v>
      </c>
      <c r="G6661" t="str">
        <f>IF(Table3[[#This Row],[Top Parent Account]]="",Table3[[#This Row],[Account Legal Name]],Table3[[#This Row],[Top Parent Account]])</f>
        <v>SUSANA LEDESMA PEREZ</v>
      </c>
      <c r="H6661" s="1"/>
    </row>
    <row r="6662" spans="1:8" x14ac:dyDescent="0.35">
      <c r="A6662" s="21"/>
      <c r="B6662" t="s">
        <v>989</v>
      </c>
      <c r="C6662" t="s">
        <v>6</v>
      </c>
      <c r="D6662" t="s">
        <v>1230</v>
      </c>
      <c r="F6662" s="1">
        <v>45715</v>
      </c>
      <c r="G6662" t="str">
        <f>IF(Table3[[#This Row],[Top Parent Account]]="",Table3[[#This Row],[Account Legal Name]],Table3[[#This Row],[Top Parent Account]])</f>
        <v>Kante Industries</v>
      </c>
      <c r="H6662" s="1"/>
    </row>
    <row r="6663" spans="1:8" x14ac:dyDescent="0.35">
      <c r="A6663" s="21"/>
      <c r="B6663" t="s">
        <v>32</v>
      </c>
      <c r="C6663" t="s">
        <v>6</v>
      </c>
      <c r="D6663" t="s">
        <v>379</v>
      </c>
      <c r="F6663" s="1">
        <v>45715</v>
      </c>
      <c r="G6663" t="str">
        <f>IF(Table3[[#This Row],[Top Parent Account]]="",Table3[[#This Row],[Account Legal Name]],Table3[[#This Row],[Top Parent Account]])</f>
        <v>Polyrafia</v>
      </c>
      <c r="H6663" s="1"/>
    </row>
    <row r="6664" spans="1:8" x14ac:dyDescent="0.35">
      <c r="A6664" s="21"/>
      <c r="B6664" t="s">
        <v>121</v>
      </c>
      <c r="C6664" t="s">
        <v>6</v>
      </c>
      <c r="D6664" t="s">
        <v>232</v>
      </c>
      <c r="F6664" s="1">
        <v>45715</v>
      </c>
      <c r="G6664" t="str">
        <f>IF(Table3[[#This Row],[Top Parent Account]]="",Table3[[#This Row],[Account Legal Name]],Table3[[#This Row],[Top Parent Account]])</f>
        <v>Aro Asfaltos y Riegos de Occidente</v>
      </c>
      <c r="H6664" s="1"/>
    </row>
    <row r="6665" spans="1:8" x14ac:dyDescent="0.35">
      <c r="A6665" s="21"/>
      <c r="B6665" t="s">
        <v>11</v>
      </c>
      <c r="C6665" t="s">
        <v>6</v>
      </c>
      <c r="D6665" t="s">
        <v>402</v>
      </c>
      <c r="F6665" s="1">
        <v>45715</v>
      </c>
      <c r="G6665" t="str">
        <f>IF(Table3[[#This Row],[Top Parent Account]]="",Table3[[#This Row],[Account Legal Name]],Table3[[#This Row],[Top Parent Account]])</f>
        <v>Bocar</v>
      </c>
      <c r="H6665" s="1"/>
    </row>
    <row r="6666" spans="1:8" x14ac:dyDescent="0.35">
      <c r="A6666" s="21"/>
      <c r="B6666" t="s">
        <v>208</v>
      </c>
      <c r="C6666" t="s">
        <v>6</v>
      </c>
      <c r="D6666" t="s">
        <v>1247</v>
      </c>
      <c r="F6666" s="1">
        <v>45715</v>
      </c>
      <c r="G6666" t="str">
        <f>IF(Table3[[#This Row],[Top Parent Account]]="",Table3[[#This Row],[Account Legal Name]],Table3[[#This Row],[Top Parent Account]])</f>
        <v>Dogo</v>
      </c>
      <c r="H6666" s="1"/>
    </row>
    <row r="6667" spans="1:8" x14ac:dyDescent="0.35">
      <c r="A6667" s="21"/>
      <c r="B6667" t="s">
        <v>739</v>
      </c>
      <c r="C6667" t="s">
        <v>6</v>
      </c>
      <c r="D6667" t="s">
        <v>197</v>
      </c>
      <c r="F6667" s="1">
        <v>45715</v>
      </c>
      <c r="G6667" t="str">
        <f>IF(Table3[[#This Row],[Top Parent Account]]="",Table3[[#This Row],[Account Legal Name]],Table3[[#This Row],[Top Parent Account]])</f>
        <v>Operadora Exe</v>
      </c>
      <c r="H6667" s="1"/>
    </row>
    <row r="6668" spans="1:8" x14ac:dyDescent="0.35">
      <c r="A6668" s="21"/>
      <c r="B6668" t="s">
        <v>590</v>
      </c>
      <c r="C6668" t="s">
        <v>6</v>
      </c>
      <c r="D6668" t="s">
        <v>1309</v>
      </c>
      <c r="F6668" s="1">
        <v>45715</v>
      </c>
      <c r="G6668" t="str">
        <f>IF(Table3[[#This Row],[Top Parent Account]]="",Table3[[#This Row],[Account Legal Name]],Table3[[#This Row],[Top Parent Account]])</f>
        <v>Danhil de México</v>
      </c>
      <c r="H6668" s="1"/>
    </row>
    <row r="6669" spans="1:8" x14ac:dyDescent="0.35">
      <c r="A6669" s="21"/>
      <c r="B6669" t="s">
        <v>84</v>
      </c>
      <c r="C6669" t="s">
        <v>55</v>
      </c>
      <c r="D6669" t="s">
        <v>1248</v>
      </c>
      <c r="F6669" s="1">
        <v>45714</v>
      </c>
      <c r="G6669" t="str">
        <f>IF(Table3[[#This Row],[Top Parent Account]]="",Table3[[#This Row],[Account Legal Name]],Table3[[#This Row],[Top Parent Account]])</f>
        <v>Erich Jaeger México</v>
      </c>
      <c r="H6669" s="1"/>
    </row>
    <row r="6670" spans="1:8" x14ac:dyDescent="0.35">
      <c r="A6670" s="21"/>
      <c r="B6670" t="s">
        <v>84</v>
      </c>
      <c r="C6670" t="s">
        <v>1184</v>
      </c>
      <c r="D6670" t="s">
        <v>1249</v>
      </c>
      <c r="F6670" s="1">
        <v>45714</v>
      </c>
      <c r="G6670" t="str">
        <f>IF(Table3[[#This Row],[Top Parent Account]]="",Table3[[#This Row],[Account Legal Name]],Table3[[#This Row],[Top Parent Account]])</f>
        <v>Grupo Regional Santa Fé</v>
      </c>
      <c r="H6670" s="1"/>
    </row>
    <row r="6671" spans="1:8" x14ac:dyDescent="0.35">
      <c r="A6671" s="21"/>
      <c r="B6671" t="s">
        <v>7</v>
      </c>
      <c r="C6671" t="s">
        <v>6</v>
      </c>
      <c r="D6671" t="s">
        <v>1001</v>
      </c>
      <c r="F6671" s="1">
        <v>45714</v>
      </c>
      <c r="G6671" t="str">
        <f>IF(Table3[[#This Row],[Top Parent Account]]="",Table3[[#This Row],[Account Legal Name]],Table3[[#This Row],[Top Parent Account]])</f>
        <v>PJ TRAILERS COMPANY</v>
      </c>
      <c r="H6671" s="1"/>
    </row>
    <row r="6672" spans="1:8" x14ac:dyDescent="0.35">
      <c r="A6672" s="21"/>
      <c r="B6672" t="s">
        <v>37</v>
      </c>
      <c r="C6672" t="s">
        <v>22</v>
      </c>
      <c r="D6672" t="s">
        <v>765</v>
      </c>
      <c r="F6672" s="1">
        <v>45714</v>
      </c>
      <c r="G6672" t="str">
        <f>IF(Table3[[#This Row],[Top Parent Account]]="",Table3[[#This Row],[Account Legal Name]],Table3[[#This Row],[Top Parent Account]])</f>
        <v>Ceiba de La Cuchilla</v>
      </c>
      <c r="H6672" s="1"/>
    </row>
    <row r="6673" spans="1:8" x14ac:dyDescent="0.35">
      <c r="A6673" s="21"/>
      <c r="B6673" t="s">
        <v>84</v>
      </c>
      <c r="C6673" t="s">
        <v>1251</v>
      </c>
      <c r="D6673" t="s">
        <v>251</v>
      </c>
      <c r="F6673" s="1">
        <v>45714</v>
      </c>
      <c r="G6673" t="str">
        <f>IF(Table3[[#This Row],[Top Parent Account]]="",Table3[[#This Row],[Account Legal Name]],Table3[[#This Row],[Top Parent Account]])</f>
        <v>Abinsa</v>
      </c>
      <c r="H6673" s="1"/>
    </row>
    <row r="6674" spans="1:8" x14ac:dyDescent="0.35">
      <c r="A6674" s="21"/>
      <c r="B6674" t="s">
        <v>84</v>
      </c>
      <c r="C6674" t="s">
        <v>1251</v>
      </c>
      <c r="D6674" t="s">
        <v>790</v>
      </c>
      <c r="F6674" s="1">
        <v>45714</v>
      </c>
      <c r="G6674" t="str">
        <f>IF(Table3[[#This Row],[Top Parent Account]]="",Table3[[#This Row],[Account Legal Name]],Table3[[#This Row],[Top Parent Account]])</f>
        <v>ALIMENTOS INTERNACIONAL MARLO</v>
      </c>
      <c r="H6674" s="1"/>
    </row>
    <row r="6675" spans="1:8" x14ac:dyDescent="0.35">
      <c r="A6675" s="21"/>
      <c r="B6675" t="s">
        <v>84</v>
      </c>
      <c r="C6675" t="s">
        <v>55</v>
      </c>
      <c r="D6675" t="s">
        <v>1252</v>
      </c>
      <c r="F6675" s="1">
        <v>45714</v>
      </c>
      <c r="G6675" t="str">
        <f>IF(Table3[[#This Row],[Top Parent Account]]="",Table3[[#This Row],[Account Legal Name]],Table3[[#This Row],[Top Parent Account]])</f>
        <v>Maverick Express Carriers</v>
      </c>
      <c r="H6675" s="1"/>
    </row>
    <row r="6676" spans="1:8" x14ac:dyDescent="0.35">
      <c r="A6676" s="21"/>
      <c r="B6676" t="s">
        <v>14</v>
      </c>
      <c r="C6676" t="s">
        <v>6</v>
      </c>
      <c r="D6676" t="s">
        <v>1250</v>
      </c>
      <c r="F6676" s="1">
        <v>45714</v>
      </c>
      <c r="G6676" t="str">
        <f>IF(Table3[[#This Row],[Top Parent Account]]="",Table3[[#This Row],[Account Legal Name]],Table3[[#This Row],[Top Parent Account]])</f>
        <v>TITAN ESTRUCTURAS Y CIMENTACION</v>
      </c>
      <c r="H6676" s="1"/>
    </row>
    <row r="6677" spans="1:8" x14ac:dyDescent="0.35">
      <c r="A6677" s="21"/>
      <c r="B6677" t="s">
        <v>121</v>
      </c>
      <c r="C6677" t="s">
        <v>6</v>
      </c>
      <c r="D6677" t="s">
        <v>604</v>
      </c>
      <c r="F6677" s="1">
        <v>45714</v>
      </c>
      <c r="G6677" t="str">
        <f>IF(Table3[[#This Row],[Top Parent Account]]="",Table3[[#This Row],[Account Legal Name]],Table3[[#This Row],[Top Parent Account]])</f>
        <v>GRUPO AGC INTERNACIONAL</v>
      </c>
      <c r="H6677" s="1"/>
    </row>
    <row r="6678" spans="1:8" x14ac:dyDescent="0.35">
      <c r="A6678" s="21"/>
      <c r="B6678" t="s">
        <v>7</v>
      </c>
      <c r="C6678" t="s">
        <v>6</v>
      </c>
      <c r="D6678" t="s">
        <v>1228</v>
      </c>
      <c r="F6678" s="1">
        <v>45714</v>
      </c>
      <c r="G6678" t="str">
        <f>IF(Table3[[#This Row],[Top Parent Account]]="",Table3[[#This Row],[Account Legal Name]],Table3[[#This Row],[Top Parent Account]])</f>
        <v>Grupo Regio Cal</v>
      </c>
      <c r="H6678" s="1"/>
    </row>
    <row r="6679" spans="1:8" x14ac:dyDescent="0.35">
      <c r="A6679" s="21"/>
      <c r="B6679" t="s">
        <v>989</v>
      </c>
      <c r="C6679" t="s">
        <v>6</v>
      </c>
      <c r="D6679" t="s">
        <v>833</v>
      </c>
      <c r="F6679" s="1">
        <v>45714</v>
      </c>
      <c r="G6679" t="str">
        <f>IF(Table3[[#This Row],[Top Parent Account]]="",Table3[[#This Row],[Account Legal Name]],Table3[[#This Row],[Top Parent Account]])</f>
        <v>Team Foods Mexico</v>
      </c>
      <c r="H6679" s="1"/>
    </row>
    <row r="6680" spans="1:8" x14ac:dyDescent="0.35">
      <c r="A6680" s="21"/>
      <c r="B6680" t="s">
        <v>970</v>
      </c>
      <c r="C6680" t="s">
        <v>6</v>
      </c>
      <c r="D6680" t="s">
        <v>1147</v>
      </c>
      <c r="F6680" s="1">
        <v>45714</v>
      </c>
      <c r="G6680" t="str">
        <f>IF(Table3[[#This Row],[Top Parent Account]]="",Table3[[#This Row],[Account Legal Name]],Table3[[#This Row],[Top Parent Account]])</f>
        <v>RLH Properties</v>
      </c>
      <c r="H6680" s="1"/>
    </row>
    <row r="6681" spans="1:8" x14ac:dyDescent="0.35">
      <c r="A6681" s="21"/>
      <c r="B6681" t="s">
        <v>116</v>
      </c>
      <c r="C6681" t="s">
        <v>6</v>
      </c>
      <c r="D6681" t="s">
        <v>1310</v>
      </c>
      <c r="F6681" s="1">
        <v>45714</v>
      </c>
      <c r="G6681" t="str">
        <f>IF(Table3[[#This Row],[Top Parent Account]]="",Table3[[#This Row],[Account Legal Name]],Table3[[#This Row],[Top Parent Account]])</f>
        <v>Interdeli</v>
      </c>
      <c r="H6681" s="1"/>
    </row>
    <row r="6682" spans="1:8" x14ac:dyDescent="0.35">
      <c r="A6682" s="21"/>
      <c r="B6682" t="s">
        <v>28</v>
      </c>
      <c r="C6682" t="s">
        <v>6</v>
      </c>
      <c r="D6682" t="s">
        <v>745</v>
      </c>
      <c r="F6682" s="1">
        <v>45714</v>
      </c>
      <c r="G6682" t="str">
        <f>IF(Table3[[#This Row],[Top Parent Account]]="",Table3[[#This Row],[Account Legal Name]],Table3[[#This Row],[Top Parent Account]])</f>
        <v>TRITURADOS ASFALTICOS DE TORREON</v>
      </c>
      <c r="H6682" s="1"/>
    </row>
    <row r="6683" spans="1:8" x14ac:dyDescent="0.35">
      <c r="A6683" s="21"/>
      <c r="B6683" t="s">
        <v>37</v>
      </c>
      <c r="C6683" t="s">
        <v>6</v>
      </c>
      <c r="D6683" t="s">
        <v>1316</v>
      </c>
      <c r="F6683" s="1">
        <v>45714</v>
      </c>
      <c r="G6683" t="str">
        <f>IF(Table3[[#This Row],[Top Parent Account]]="",Table3[[#This Row],[Account Legal Name]],Table3[[#This Row],[Top Parent Account]])</f>
        <v>CONSTRUCCION Y MANTENIMIENTO GALVEZ</v>
      </c>
      <c r="H6683" s="1"/>
    </row>
    <row r="6684" spans="1:8" x14ac:dyDescent="0.35">
      <c r="A6684" s="21"/>
      <c r="B6684" t="s">
        <v>969</v>
      </c>
      <c r="C6684" t="s">
        <v>6</v>
      </c>
      <c r="D6684" t="s">
        <v>1152</v>
      </c>
      <c r="F6684" s="1">
        <v>45714</v>
      </c>
      <c r="G6684" t="str">
        <f>IF(Table3[[#This Row],[Top Parent Account]]="",Table3[[#This Row],[Account Legal Name]],Table3[[#This Row],[Top Parent Account]])</f>
        <v>Distribuidora de Dulces NIla</v>
      </c>
      <c r="H6684" s="1"/>
    </row>
    <row r="6685" spans="1:8" x14ac:dyDescent="0.35">
      <c r="A6685" s="21"/>
      <c r="B6685" t="s">
        <v>23</v>
      </c>
      <c r="C6685" t="s">
        <v>6</v>
      </c>
      <c r="D6685" t="s">
        <v>579</v>
      </c>
      <c r="F6685" s="1">
        <v>45714</v>
      </c>
      <c r="G6685" t="str">
        <f>IF(Table3[[#This Row],[Top Parent Account]]="",Table3[[#This Row],[Account Legal Name]],Table3[[#This Row],[Top Parent Account]])</f>
        <v>Mueller Technoplastics de Mexico</v>
      </c>
      <c r="H6685" s="1"/>
    </row>
    <row r="6686" spans="1:8" x14ac:dyDescent="0.35">
      <c r="A6686" s="21"/>
      <c r="B6686" t="s">
        <v>56</v>
      </c>
      <c r="C6686" t="s">
        <v>6</v>
      </c>
      <c r="D6686" t="s">
        <v>452</v>
      </c>
      <c r="F6686" s="1">
        <v>45714</v>
      </c>
      <c r="G6686" t="str">
        <f>IF(Table3[[#This Row],[Top Parent Account]]="",Table3[[#This Row],[Account Legal Name]],Table3[[#This Row],[Top Parent Account]])</f>
        <v>Tiendas Tres B</v>
      </c>
      <c r="H6686" s="1"/>
    </row>
    <row r="6687" spans="1:8" x14ac:dyDescent="0.35">
      <c r="A6687" s="21"/>
      <c r="B6687" t="s">
        <v>28</v>
      </c>
      <c r="C6687" t="s">
        <v>6</v>
      </c>
      <c r="D6687" t="s">
        <v>1311</v>
      </c>
      <c r="F6687" s="1">
        <v>45714</v>
      </c>
      <c r="G6687" t="str">
        <f>IF(Table3[[#This Row],[Top Parent Account]]="",Table3[[#This Row],[Account Legal Name]],Table3[[#This Row],[Top Parent Account]])</f>
        <v>Enlace Logistico Industrial</v>
      </c>
      <c r="H6687" s="1"/>
    </row>
    <row r="6688" spans="1:8" x14ac:dyDescent="0.35">
      <c r="A6688" s="21"/>
      <c r="B6688" t="s">
        <v>51</v>
      </c>
      <c r="C6688" t="s">
        <v>6</v>
      </c>
      <c r="D6688" t="s">
        <v>767</v>
      </c>
      <c r="E6688" t="s">
        <v>768</v>
      </c>
      <c r="F6688" s="1">
        <v>45714</v>
      </c>
      <c r="G6688" t="str">
        <f>IF(Table3[[#This Row],[Top Parent Account]]="",Table3[[#This Row],[Account Legal Name]],Table3[[#This Row],[Top Parent Account]])</f>
        <v>Grupo Caor</v>
      </c>
      <c r="H6688" s="1"/>
    </row>
    <row r="6689" spans="1:8" x14ac:dyDescent="0.35">
      <c r="A6689" s="21"/>
      <c r="B6689" t="s">
        <v>114</v>
      </c>
      <c r="C6689" t="s">
        <v>6</v>
      </c>
      <c r="D6689" t="s">
        <v>222</v>
      </c>
      <c r="F6689" s="1">
        <v>45714</v>
      </c>
      <c r="G6689" t="str">
        <f>IF(Table3[[#This Row],[Top Parent Account]]="",Table3[[#This Row],[Account Legal Name]],Table3[[#This Row],[Top Parent Account]])</f>
        <v>Vensi Ventajas En Servicios Integrales</v>
      </c>
      <c r="H6689" s="1"/>
    </row>
    <row r="6690" spans="1:8" x14ac:dyDescent="0.35">
      <c r="A6690" s="21"/>
      <c r="B6690" t="s">
        <v>280</v>
      </c>
      <c r="C6690" t="s">
        <v>6</v>
      </c>
      <c r="D6690" t="s">
        <v>1254</v>
      </c>
      <c r="F6690" s="1">
        <v>45714</v>
      </c>
      <c r="G6690" t="str">
        <f>IF(Table3[[#This Row],[Top Parent Account]]="",Table3[[#This Row],[Account Legal Name]],Table3[[#This Row],[Top Parent Account]])</f>
        <v>ENERGIAS RENOVABLES EXACTA</v>
      </c>
      <c r="H6690" s="1"/>
    </row>
    <row r="6691" spans="1:8" x14ac:dyDescent="0.35">
      <c r="A6691" s="21"/>
      <c r="B6691" t="s">
        <v>4581</v>
      </c>
      <c r="C6691" t="s">
        <v>1253</v>
      </c>
      <c r="D6691" t="s">
        <v>219</v>
      </c>
      <c r="F6691" s="1">
        <v>45714</v>
      </c>
      <c r="G6691" t="str">
        <f>IF(Table3[[#This Row],[Top Parent Account]]="",Table3[[#This Row],[Account Legal Name]],Table3[[#This Row],[Top Parent Account]])</f>
        <v>Atento Mexico Holdco</v>
      </c>
      <c r="H6691" s="1"/>
    </row>
    <row r="6692" spans="1:8" x14ac:dyDescent="0.35">
      <c r="A6692" s="21"/>
      <c r="B6692" t="s">
        <v>880</v>
      </c>
      <c r="C6692" t="s">
        <v>1253</v>
      </c>
      <c r="D6692" t="s">
        <v>219</v>
      </c>
      <c r="F6692" s="1">
        <v>45714</v>
      </c>
      <c r="G6692" t="str">
        <f>IF(Table3[[#This Row],[Top Parent Account]]="",Table3[[#This Row],[Account Legal Name]],Table3[[#This Row],[Top Parent Account]])</f>
        <v>Atento Mexico Holdco</v>
      </c>
      <c r="H6692" s="1"/>
    </row>
    <row r="6693" spans="1:8" x14ac:dyDescent="0.35">
      <c r="A6693" s="21"/>
      <c r="B6693" t="s">
        <v>54</v>
      </c>
      <c r="C6693" t="s">
        <v>1253</v>
      </c>
      <c r="D6693" t="s">
        <v>219</v>
      </c>
      <c r="F6693" s="1">
        <v>45714</v>
      </c>
      <c r="G6693" t="str">
        <f>IF(Table3[[#This Row],[Top Parent Account]]="",Table3[[#This Row],[Account Legal Name]],Table3[[#This Row],[Top Parent Account]])</f>
        <v>Atento Mexico Holdco</v>
      </c>
      <c r="H6693" s="1"/>
    </row>
    <row r="6694" spans="1:8" x14ac:dyDescent="0.35">
      <c r="A6694" s="21"/>
      <c r="B6694" t="s">
        <v>192</v>
      </c>
      <c r="C6694" t="s">
        <v>49</v>
      </c>
      <c r="D6694" t="s">
        <v>1325</v>
      </c>
      <c r="F6694" s="1">
        <v>45714</v>
      </c>
      <c r="G6694" t="str">
        <f>IF(Table3[[#This Row],[Top Parent Account]]="",Table3[[#This Row],[Account Legal Name]],Table3[[#This Row],[Top Parent Account]])</f>
        <v>Sistemas Kinedyne</v>
      </c>
      <c r="H6694" s="1"/>
    </row>
    <row r="6695" spans="1:8" x14ac:dyDescent="0.35">
      <c r="A6695" s="21"/>
      <c r="B6695" t="s">
        <v>116</v>
      </c>
      <c r="C6695" t="s">
        <v>49</v>
      </c>
      <c r="D6695" t="s">
        <v>1095</v>
      </c>
      <c r="F6695" s="1">
        <v>45714</v>
      </c>
      <c r="G6695" t="str">
        <f>IF(Table3[[#This Row],[Top Parent Account]]="",Table3[[#This Row],[Account Legal Name]],Table3[[#This Row],[Top Parent Account]])</f>
        <v>Pilgrims Pride</v>
      </c>
      <c r="H6695" s="1"/>
    </row>
    <row r="6696" spans="1:8" x14ac:dyDescent="0.35">
      <c r="A6696" s="21"/>
      <c r="B6696" t="s">
        <v>38</v>
      </c>
      <c r="C6696" t="s">
        <v>6</v>
      </c>
      <c r="D6696" t="s">
        <v>478</v>
      </c>
      <c r="F6696" s="1">
        <v>45714</v>
      </c>
      <c r="G6696" t="str">
        <f>IF(Table3[[#This Row],[Top Parent Account]]="",Table3[[#This Row],[Account Legal Name]],Table3[[#This Row],[Top Parent Account]])</f>
        <v>Industrial Papelera San Luis</v>
      </c>
      <c r="H6696" s="1"/>
    </row>
    <row r="6697" spans="1:8" x14ac:dyDescent="0.35">
      <c r="A6697" s="21"/>
      <c r="B6697" t="s">
        <v>21</v>
      </c>
      <c r="C6697" t="s">
        <v>6</v>
      </c>
      <c r="D6697" t="s">
        <v>1256</v>
      </c>
      <c r="F6697" s="1">
        <v>45714</v>
      </c>
      <c r="G6697" t="str">
        <f>IF(Table3[[#This Row],[Top Parent Account]]="",Table3[[#This Row],[Account Legal Name]],Table3[[#This Row],[Top Parent Account]])</f>
        <v>ZAGO TRANSPORTES ESPECIALIZADOS</v>
      </c>
      <c r="H6697" s="1"/>
    </row>
    <row r="6698" spans="1:8" x14ac:dyDescent="0.35">
      <c r="A6698" s="21"/>
      <c r="B6698" t="s">
        <v>589</v>
      </c>
      <c r="C6698" t="s">
        <v>6</v>
      </c>
      <c r="D6698" t="s">
        <v>1255</v>
      </c>
      <c r="F6698" s="1">
        <v>45714</v>
      </c>
      <c r="G6698" t="str">
        <f>IF(Table3[[#This Row],[Top Parent Account]]="",Table3[[#This Row],[Account Legal Name]],Table3[[#This Row],[Top Parent Account]])</f>
        <v>Grupo Minco</v>
      </c>
      <c r="H6698" s="1"/>
    </row>
    <row r="6699" spans="1:8" x14ac:dyDescent="0.35">
      <c r="A6699" s="21"/>
      <c r="B6699" t="s">
        <v>78</v>
      </c>
      <c r="C6699" t="s">
        <v>6</v>
      </c>
      <c r="D6699" t="s">
        <v>521</v>
      </c>
      <c r="F6699" s="1">
        <v>45714</v>
      </c>
      <c r="G6699" t="str">
        <f>IF(Table3[[#This Row],[Top Parent Account]]="",Table3[[#This Row],[Account Legal Name]],Table3[[#This Row],[Top Parent Account]])</f>
        <v>IMPORTACIÓN DE MAQUINARIA PESADA DE ORIENTE</v>
      </c>
      <c r="H6699" s="1"/>
    </row>
    <row r="6700" spans="1:8" x14ac:dyDescent="0.35">
      <c r="A6700" s="21"/>
      <c r="B6700" t="s">
        <v>172</v>
      </c>
      <c r="C6700" t="s">
        <v>6</v>
      </c>
      <c r="D6700" t="s">
        <v>737</v>
      </c>
      <c r="F6700" s="1">
        <v>45714</v>
      </c>
      <c r="G6700" t="str">
        <f>IF(Table3[[#This Row],[Top Parent Account]]="",Table3[[#This Row],[Account Legal Name]],Table3[[#This Row],[Top Parent Account]])</f>
        <v>Abastecedora De Carnes San Gabriel</v>
      </c>
      <c r="H6700" s="1"/>
    </row>
    <row r="6701" spans="1:8" x14ac:dyDescent="0.35">
      <c r="A6701" s="21"/>
      <c r="B6701" t="s">
        <v>24</v>
      </c>
      <c r="C6701" t="s">
        <v>1149</v>
      </c>
      <c r="D6701" t="s">
        <v>1313</v>
      </c>
      <c r="F6701" s="1">
        <v>45714</v>
      </c>
      <c r="G6701" t="str">
        <f>IF(Table3[[#This Row],[Top Parent Account]]="",Table3[[#This Row],[Account Legal Name]],Table3[[#This Row],[Top Parent Account]])</f>
        <v>Kay Alimentos</v>
      </c>
      <c r="H6701" s="1"/>
    </row>
    <row r="6702" spans="1:8" x14ac:dyDescent="0.35">
      <c r="A6702" s="21"/>
      <c r="B6702" t="s">
        <v>8</v>
      </c>
      <c r="C6702" t="s">
        <v>6</v>
      </c>
      <c r="D6702" t="s">
        <v>1106</v>
      </c>
      <c r="F6702" s="1">
        <v>45714</v>
      </c>
      <c r="G6702" t="str">
        <f>IF(Table3[[#This Row],[Top Parent Account]]="",Table3[[#This Row],[Account Legal Name]],Table3[[#This Row],[Top Parent Account]])</f>
        <v>Proin Laguna</v>
      </c>
      <c r="H6702" s="1"/>
    </row>
    <row r="6703" spans="1:8" x14ac:dyDescent="0.35">
      <c r="A6703" s="21"/>
      <c r="B6703" t="s">
        <v>28</v>
      </c>
      <c r="C6703" t="s">
        <v>6</v>
      </c>
      <c r="D6703" t="s">
        <v>1106</v>
      </c>
      <c r="F6703" s="1">
        <v>45714</v>
      </c>
      <c r="G6703" t="str">
        <f>IF(Table3[[#This Row],[Top Parent Account]]="",Table3[[#This Row],[Account Legal Name]],Table3[[#This Row],[Top Parent Account]])</f>
        <v>Proin Laguna</v>
      </c>
      <c r="H6703" s="1"/>
    </row>
    <row r="6704" spans="1:8" x14ac:dyDescent="0.35">
      <c r="A6704" s="21"/>
      <c r="B6704" t="s">
        <v>589</v>
      </c>
      <c r="C6704" t="s">
        <v>6</v>
      </c>
      <c r="D6704" t="s">
        <v>1312</v>
      </c>
      <c r="F6704" s="1">
        <v>45714</v>
      </c>
      <c r="G6704" t="str">
        <f>IF(Table3[[#This Row],[Top Parent Account]]="",Table3[[#This Row],[Account Legal Name]],Table3[[#This Row],[Top Parent Account]])</f>
        <v>Empacadora Santa Engracia</v>
      </c>
      <c r="H6704" s="1"/>
    </row>
    <row r="6705" spans="1:8" x14ac:dyDescent="0.35">
      <c r="A6705" s="21"/>
      <c r="B6705" t="s">
        <v>70</v>
      </c>
      <c r="C6705" t="s">
        <v>6</v>
      </c>
      <c r="D6705" t="s">
        <v>1161</v>
      </c>
      <c r="F6705" s="1">
        <v>45714</v>
      </c>
      <c r="G6705" t="str">
        <f>IF(Table3[[#This Row],[Top Parent Account]]="",Table3[[#This Row],[Account Legal Name]],Table3[[#This Row],[Top Parent Account]])</f>
        <v>Prestadora de Servicios Alencastre</v>
      </c>
      <c r="H6705" s="1"/>
    </row>
    <row r="6706" spans="1:8" x14ac:dyDescent="0.35">
      <c r="A6706" s="21"/>
      <c r="B6706" t="s">
        <v>38</v>
      </c>
      <c r="C6706" t="s">
        <v>6</v>
      </c>
      <c r="D6706" t="s">
        <v>505</v>
      </c>
      <c r="F6706" s="1">
        <v>45714</v>
      </c>
      <c r="G6706" t="str">
        <f>IF(Table3[[#This Row],[Top Parent Account]]="",Table3[[#This Row],[Account Legal Name]],Table3[[#This Row],[Top Parent Account]])</f>
        <v>Grupo Solave (Antes Mieles Campos Azules)</v>
      </c>
      <c r="H6706" s="1"/>
    </row>
    <row r="6707" spans="1:8" x14ac:dyDescent="0.35">
      <c r="A6707" s="21"/>
      <c r="B6707" t="s">
        <v>38</v>
      </c>
      <c r="C6707" t="s">
        <v>6</v>
      </c>
      <c r="D6707" t="s">
        <v>881</v>
      </c>
      <c r="F6707" s="1">
        <v>45714</v>
      </c>
      <c r="G6707" t="str">
        <f>IF(Table3[[#This Row],[Top Parent Account]]="",Table3[[#This Row],[Account Legal Name]],Table3[[#This Row],[Top Parent Account]])</f>
        <v>Merit Technologies Worldwide</v>
      </c>
      <c r="H6707" s="1"/>
    </row>
    <row r="6708" spans="1:8" x14ac:dyDescent="0.35">
      <c r="A6708" s="21"/>
      <c r="B6708" t="s">
        <v>192</v>
      </c>
      <c r="C6708" t="s">
        <v>49</v>
      </c>
      <c r="D6708" t="s">
        <v>1326</v>
      </c>
      <c r="F6708" s="1">
        <v>45714</v>
      </c>
      <c r="G6708" t="str">
        <f>IF(Table3[[#This Row],[Top Parent Account]]="",Table3[[#This Row],[Account Legal Name]],Table3[[#This Row],[Top Parent Account]])</f>
        <v>Cms International</v>
      </c>
      <c r="H6708" s="1"/>
    </row>
    <row r="6709" spans="1:8" x14ac:dyDescent="0.35">
      <c r="A6709" s="21"/>
      <c r="B6709" t="s">
        <v>18</v>
      </c>
      <c r="C6709" t="s">
        <v>6</v>
      </c>
      <c r="D6709" t="s">
        <v>1314</v>
      </c>
      <c r="F6709" s="1">
        <v>45714</v>
      </c>
      <c r="G6709" t="str">
        <f>IF(Table3[[#This Row],[Top Parent Account]]="",Table3[[#This Row],[Account Legal Name]],Table3[[#This Row],[Top Parent Account]])</f>
        <v>Transportes Santa Maria</v>
      </c>
      <c r="H6709" s="1"/>
    </row>
    <row r="6710" spans="1:8" x14ac:dyDescent="0.35">
      <c r="A6710" s="21"/>
      <c r="B6710" t="s">
        <v>970</v>
      </c>
      <c r="C6710" t="s">
        <v>6</v>
      </c>
      <c r="D6710" t="s">
        <v>814</v>
      </c>
      <c r="F6710" s="1">
        <v>45714</v>
      </c>
      <c r="G6710" t="str">
        <f>IF(Table3[[#This Row],[Top Parent Account]]="",Table3[[#This Row],[Account Legal Name]],Table3[[#This Row],[Top Parent Account]])</f>
        <v>Peri Cimbras y Andamios</v>
      </c>
      <c r="H6710" s="1"/>
    </row>
    <row r="6711" spans="1:8" x14ac:dyDescent="0.35">
      <c r="A6711" s="21"/>
      <c r="B6711" t="s">
        <v>43</v>
      </c>
      <c r="C6711" t="s">
        <v>22</v>
      </c>
      <c r="D6711" t="s">
        <v>1257</v>
      </c>
      <c r="F6711" s="1">
        <v>45714</v>
      </c>
      <c r="G6711" t="str">
        <f>IF(Table3[[#This Row],[Top Parent Account]]="",Table3[[#This Row],[Account Legal Name]],Table3[[#This Row],[Top Parent Account]])</f>
        <v>AGUA PURIFICADA LOS VOLCANES</v>
      </c>
      <c r="H6711" s="1"/>
    </row>
    <row r="6712" spans="1:8" x14ac:dyDescent="0.35">
      <c r="A6712" s="21"/>
      <c r="B6712" t="s">
        <v>121</v>
      </c>
      <c r="C6712" t="s">
        <v>6</v>
      </c>
      <c r="D6712" t="s">
        <v>241</v>
      </c>
      <c r="F6712" s="1">
        <v>45714</v>
      </c>
      <c r="G6712" t="str">
        <f>IF(Table3[[#This Row],[Top Parent Account]]="",Table3[[#This Row],[Account Legal Name]],Table3[[#This Row],[Top Parent Account]])</f>
        <v>Esfuerzo de Productores del valle de San Lorenzo</v>
      </c>
      <c r="H6712" s="1"/>
    </row>
    <row r="6713" spans="1:8" x14ac:dyDescent="0.35">
      <c r="A6713" s="21"/>
      <c r="B6713" t="s">
        <v>739</v>
      </c>
      <c r="C6713" t="s">
        <v>6</v>
      </c>
      <c r="D6713" t="s">
        <v>905</v>
      </c>
      <c r="F6713" s="1">
        <v>45714</v>
      </c>
      <c r="G6713" t="str">
        <f>IF(Table3[[#This Row],[Top Parent Account]]="",Table3[[#This Row],[Account Legal Name]],Table3[[#This Row],[Top Parent Account]])</f>
        <v>Imagen Cosmetica</v>
      </c>
      <c r="H6713" s="1"/>
    </row>
    <row r="6714" spans="1:8" x14ac:dyDescent="0.35">
      <c r="A6714" s="21"/>
      <c r="B6714" t="s">
        <v>739</v>
      </c>
      <c r="C6714" t="s">
        <v>6</v>
      </c>
      <c r="D6714" t="s">
        <v>1225</v>
      </c>
      <c r="F6714" s="1">
        <v>45714</v>
      </c>
      <c r="G6714" t="str">
        <f>IF(Table3[[#This Row],[Top Parent Account]]="",Table3[[#This Row],[Account Legal Name]],Table3[[#This Row],[Top Parent Account]])</f>
        <v>COMERCIALIZADORA MAYORISTA DEL GOLFO</v>
      </c>
      <c r="H6714" s="1"/>
    </row>
    <row r="6715" spans="1:8" x14ac:dyDescent="0.35">
      <c r="A6715" s="21"/>
      <c r="B6715" t="s">
        <v>24</v>
      </c>
      <c r="C6715" t="s">
        <v>6</v>
      </c>
      <c r="D6715" t="s">
        <v>346</v>
      </c>
      <c r="F6715" s="1">
        <v>45714</v>
      </c>
      <c r="G6715" t="str">
        <f>IF(Table3[[#This Row],[Top Parent Account]]="",Table3[[#This Row],[Account Legal Name]],Table3[[#This Row],[Top Parent Account]])</f>
        <v>Productora Pecuaria Alpera</v>
      </c>
      <c r="H6715" s="1"/>
    </row>
    <row r="6716" spans="1:8" x14ac:dyDescent="0.35">
      <c r="A6716" s="21"/>
      <c r="B6716" t="s">
        <v>7</v>
      </c>
      <c r="C6716" t="s">
        <v>6</v>
      </c>
      <c r="D6716" t="s">
        <v>605</v>
      </c>
      <c r="F6716" s="1">
        <v>45714</v>
      </c>
      <c r="G6716" t="str">
        <f>IF(Table3[[#This Row],[Top Parent Account]]="",Table3[[#This Row],[Account Legal Name]],Table3[[#This Row],[Top Parent Account]])</f>
        <v>IRONSTAR MANUFACTURING</v>
      </c>
      <c r="H6716" s="1"/>
    </row>
    <row r="6717" spans="1:8" x14ac:dyDescent="0.35">
      <c r="A6717" s="21"/>
      <c r="B6717" t="s">
        <v>78</v>
      </c>
      <c r="C6717" t="s">
        <v>6</v>
      </c>
      <c r="D6717" t="s">
        <v>543</v>
      </c>
      <c r="F6717" s="1">
        <v>45714</v>
      </c>
      <c r="G6717" t="str">
        <f>IF(Table3[[#This Row],[Top Parent Account]]="",Table3[[#This Row],[Account Legal Name]],Table3[[#This Row],[Top Parent Account]])</f>
        <v>CABCA Ingeniería y Servicios</v>
      </c>
      <c r="H6717" s="1"/>
    </row>
    <row r="6718" spans="1:8" x14ac:dyDescent="0.35">
      <c r="A6718" s="21"/>
      <c r="B6718" t="s">
        <v>589</v>
      </c>
      <c r="C6718" t="s">
        <v>6</v>
      </c>
      <c r="D6718" t="s">
        <v>1315</v>
      </c>
      <c r="F6718" s="1">
        <v>45714</v>
      </c>
      <c r="G6718" t="str">
        <f>IF(Table3[[#This Row],[Top Parent Account]]="",Table3[[#This Row],[Account Legal Name]],Table3[[#This Row],[Top Parent Account]])</f>
        <v>LEMONHEZ</v>
      </c>
      <c r="H6718" s="1"/>
    </row>
    <row r="6719" spans="1:8" x14ac:dyDescent="0.35">
      <c r="A6719" s="21"/>
      <c r="B6719" t="s">
        <v>32</v>
      </c>
      <c r="C6719" t="s">
        <v>6</v>
      </c>
      <c r="D6719" t="s">
        <v>495</v>
      </c>
      <c r="F6719" s="1">
        <v>45714</v>
      </c>
      <c r="G6719" t="str">
        <f>IF(Table3[[#This Row],[Top Parent Account]]="",Table3[[#This Row],[Account Legal Name]],Table3[[#This Row],[Top Parent Account]])</f>
        <v>Mota-Engil México</v>
      </c>
      <c r="H6719" s="1"/>
    </row>
    <row r="6720" spans="1:8" x14ac:dyDescent="0.35">
      <c r="A6720" s="21"/>
      <c r="B6720" t="s">
        <v>32</v>
      </c>
      <c r="C6720" t="s">
        <v>6</v>
      </c>
      <c r="D6720" t="s">
        <v>954</v>
      </c>
      <c r="F6720" s="1">
        <v>45714</v>
      </c>
      <c r="G6720" t="str">
        <f>IF(Table3[[#This Row],[Top Parent Account]]="",Table3[[#This Row],[Account Legal Name]],Table3[[#This Row],[Top Parent Account]])</f>
        <v>ACCIONA INFRAESTRUCTURAS MÉXICO</v>
      </c>
      <c r="H6720" s="1"/>
    </row>
    <row r="6721" spans="1:8" x14ac:dyDescent="0.35">
      <c r="A6721" s="21"/>
      <c r="B6721" t="s">
        <v>37</v>
      </c>
      <c r="C6721" t="s">
        <v>6</v>
      </c>
      <c r="D6721" t="s">
        <v>1258</v>
      </c>
      <c r="E6721" t="s">
        <v>312</v>
      </c>
      <c r="F6721" s="1">
        <v>45713</v>
      </c>
      <c r="G6721" t="str">
        <f>IF(Table3[[#This Row],[Top Parent Account]]="",Table3[[#This Row],[Account Legal Name]],Table3[[#This Row],[Top Parent Account]])</f>
        <v>Alinsumos</v>
      </c>
      <c r="H6721" s="1"/>
    </row>
    <row r="6722" spans="1:8" x14ac:dyDescent="0.35">
      <c r="A6722" s="21"/>
      <c r="B6722" t="s">
        <v>932</v>
      </c>
      <c r="C6722" t="s">
        <v>1259</v>
      </c>
      <c r="D6722" t="s">
        <v>609</v>
      </c>
      <c r="F6722" s="1">
        <v>45713</v>
      </c>
      <c r="G6722" t="str">
        <f>IF(Table3[[#This Row],[Top Parent Account]]="",Table3[[#This Row],[Account Legal Name]],Table3[[#This Row],[Top Parent Account]])</f>
        <v>Aleatica</v>
      </c>
      <c r="H6722" s="1"/>
    </row>
    <row r="6723" spans="1:8" x14ac:dyDescent="0.35">
      <c r="A6723" s="21"/>
      <c r="B6723" t="s">
        <v>30</v>
      </c>
      <c r="C6723" t="s">
        <v>6</v>
      </c>
      <c r="D6723" t="s">
        <v>622</v>
      </c>
      <c r="E6723" t="s">
        <v>311</v>
      </c>
      <c r="F6723" s="1">
        <v>45713</v>
      </c>
      <c r="G6723" t="str">
        <f>IF(Table3[[#This Row],[Top Parent Account]]="",Table3[[#This Row],[Account Legal Name]],Table3[[#This Row],[Top Parent Account]])</f>
        <v>Grupo Gigante</v>
      </c>
      <c r="H6723" s="1"/>
    </row>
    <row r="6724" spans="1:8" x14ac:dyDescent="0.35">
      <c r="A6724" s="21"/>
      <c r="B6724" t="s">
        <v>54</v>
      </c>
      <c r="C6724" t="s">
        <v>1260</v>
      </c>
      <c r="D6724" t="s">
        <v>59</v>
      </c>
      <c r="F6724" s="1">
        <v>45713</v>
      </c>
      <c r="G6724" t="str">
        <f>IF(Table3[[#This Row],[Top Parent Account]]="",Table3[[#This Row],[Account Legal Name]],Table3[[#This Row],[Top Parent Account]])</f>
        <v>Usk Internacional</v>
      </c>
      <c r="H6724" s="1"/>
    </row>
    <row r="6725" spans="1:8" x14ac:dyDescent="0.35">
      <c r="A6725" s="21"/>
      <c r="B6725" t="s">
        <v>590</v>
      </c>
      <c r="C6725" t="s">
        <v>6</v>
      </c>
      <c r="D6725" t="s">
        <v>1261</v>
      </c>
      <c r="F6725" s="1">
        <v>45713</v>
      </c>
      <c r="G6725" t="str">
        <f>IF(Table3[[#This Row],[Top Parent Account]]="",Table3[[#This Row],[Account Legal Name]],Table3[[#This Row],[Top Parent Account]])</f>
        <v>Nava Hermanos</v>
      </c>
      <c r="H6725" s="1"/>
    </row>
    <row r="6726" spans="1:8" x14ac:dyDescent="0.35">
      <c r="A6726" s="21"/>
      <c r="B6726" t="s">
        <v>116</v>
      </c>
      <c r="C6726" t="s">
        <v>49</v>
      </c>
      <c r="D6726" t="s">
        <v>1262</v>
      </c>
      <c r="F6726" s="1">
        <v>45713</v>
      </c>
      <c r="G6726" t="str">
        <f>IF(Table3[[#This Row],[Top Parent Account]]="",Table3[[#This Row],[Account Legal Name]],Table3[[#This Row],[Top Parent Account]])</f>
        <v>Tzinapu</v>
      </c>
      <c r="H6726" s="1"/>
    </row>
    <row r="6727" spans="1:8" x14ac:dyDescent="0.35">
      <c r="A6727" s="21"/>
      <c r="B6727" t="s">
        <v>37</v>
      </c>
      <c r="C6727" t="s">
        <v>6</v>
      </c>
      <c r="D6727" t="s">
        <v>1327</v>
      </c>
      <c r="F6727" s="1">
        <v>45713</v>
      </c>
      <c r="G6727" t="str">
        <f>IF(Table3[[#This Row],[Top Parent Account]]="",Table3[[#This Row],[Account Legal Name]],Table3[[#This Row],[Top Parent Account]])</f>
        <v>Agriexport</v>
      </c>
      <c r="H6727" s="1"/>
    </row>
    <row r="6728" spans="1:8" x14ac:dyDescent="0.35">
      <c r="A6728" s="21"/>
      <c r="B6728" t="s">
        <v>989</v>
      </c>
      <c r="C6728" t="s">
        <v>6</v>
      </c>
      <c r="D6728" t="s">
        <v>350</v>
      </c>
      <c r="F6728" s="1">
        <v>45713</v>
      </c>
      <c r="G6728" t="str">
        <f>IF(Table3[[#This Row],[Top Parent Account]]="",Table3[[#This Row],[Account Legal Name]],Table3[[#This Row],[Top Parent Account]])</f>
        <v>Petro Asfaltos del Sureste</v>
      </c>
      <c r="H6728" s="1"/>
    </row>
    <row r="6729" spans="1:8" x14ac:dyDescent="0.35">
      <c r="A6729" s="21"/>
      <c r="B6729" t="s">
        <v>989</v>
      </c>
      <c r="C6729" t="s">
        <v>6</v>
      </c>
      <c r="D6729" t="s">
        <v>1135</v>
      </c>
      <c r="F6729" s="1">
        <v>45713</v>
      </c>
      <c r="G6729" t="str">
        <f>IF(Table3[[#This Row],[Top Parent Account]]="",Table3[[#This Row],[Account Legal Name]],Table3[[#This Row],[Top Parent Account]])</f>
        <v>Vadifar</v>
      </c>
      <c r="H6729" s="1"/>
    </row>
    <row r="6730" spans="1:8" x14ac:dyDescent="0.35">
      <c r="A6730" s="21"/>
      <c r="B6730" t="s">
        <v>54</v>
      </c>
      <c r="C6730" t="s">
        <v>6</v>
      </c>
      <c r="D6730" t="s">
        <v>200</v>
      </c>
      <c r="F6730" s="1">
        <v>45713</v>
      </c>
      <c r="G6730" t="str">
        <f>IF(Table3[[#This Row],[Top Parent Account]]="",Table3[[#This Row],[Account Legal Name]],Table3[[#This Row],[Top Parent Account]])</f>
        <v>Grupo Industrial Summa</v>
      </c>
      <c r="H6730" s="1"/>
    </row>
    <row r="6731" spans="1:8" x14ac:dyDescent="0.35">
      <c r="A6731" s="21"/>
      <c r="B6731" t="s">
        <v>114</v>
      </c>
      <c r="C6731" t="s">
        <v>6</v>
      </c>
      <c r="D6731" t="s">
        <v>1263</v>
      </c>
      <c r="F6731" s="1">
        <v>45713</v>
      </c>
      <c r="G6731" t="str">
        <f>IF(Table3[[#This Row],[Top Parent Account]]="",Table3[[#This Row],[Account Legal Name]],Table3[[#This Row],[Top Parent Account]])</f>
        <v>Aquanima</v>
      </c>
      <c r="H6731" s="1"/>
    </row>
    <row r="6732" spans="1:8" x14ac:dyDescent="0.35">
      <c r="A6732" s="21"/>
      <c r="B6732" t="s">
        <v>10</v>
      </c>
      <c r="C6732" t="s">
        <v>6</v>
      </c>
      <c r="D6732" t="s">
        <v>1317</v>
      </c>
      <c r="F6732" s="1">
        <v>45713</v>
      </c>
      <c r="G6732" t="str">
        <f>IF(Table3[[#This Row],[Top Parent Account]]="",Table3[[#This Row],[Account Legal Name]],Table3[[#This Row],[Top Parent Account]])</f>
        <v>Laboratorios Pisa</v>
      </c>
      <c r="H6732" s="1"/>
    </row>
    <row r="6733" spans="1:8" x14ac:dyDescent="0.35">
      <c r="A6733" s="21"/>
      <c r="B6733" t="s">
        <v>70</v>
      </c>
      <c r="C6733" t="s">
        <v>6</v>
      </c>
      <c r="D6733" t="s">
        <v>568</v>
      </c>
      <c r="F6733" s="1">
        <v>45713</v>
      </c>
      <c r="G6733" t="str">
        <f>IF(Table3[[#This Row],[Top Parent Account]]="",Table3[[#This Row],[Account Legal Name]],Table3[[#This Row],[Top Parent Account]])</f>
        <v>COI Centro Oncológico Internacional</v>
      </c>
      <c r="H6733" s="1"/>
    </row>
    <row r="6734" spans="1:8" x14ac:dyDescent="0.35">
      <c r="A6734" s="21"/>
      <c r="B6734" t="s">
        <v>208</v>
      </c>
      <c r="C6734" t="s">
        <v>6</v>
      </c>
      <c r="D6734" t="s">
        <v>1264</v>
      </c>
      <c r="F6734" s="1">
        <v>45713</v>
      </c>
      <c r="G6734" t="str">
        <f>IF(Table3[[#This Row],[Top Parent Account]]="",Table3[[#This Row],[Account Legal Name]],Table3[[#This Row],[Top Parent Account]])</f>
        <v>STUDIO 36 MEX</v>
      </c>
      <c r="H6734" s="1"/>
    </row>
    <row r="6735" spans="1:8" x14ac:dyDescent="0.35">
      <c r="A6735" s="21"/>
      <c r="B6735" t="s">
        <v>11</v>
      </c>
      <c r="C6735" t="s">
        <v>6</v>
      </c>
      <c r="D6735" t="s">
        <v>836</v>
      </c>
      <c r="F6735" s="1">
        <v>45713</v>
      </c>
      <c r="G6735" t="str">
        <f>IF(Table3[[#This Row],[Top Parent Account]]="",Table3[[#This Row],[Account Legal Name]],Table3[[#This Row],[Top Parent Account]])</f>
        <v>Bestop</v>
      </c>
      <c r="H6735" s="1"/>
    </row>
    <row r="6736" spans="1:8" x14ac:dyDescent="0.35">
      <c r="A6736" s="21"/>
      <c r="B6736" t="s">
        <v>30</v>
      </c>
      <c r="C6736" t="s">
        <v>6</v>
      </c>
      <c r="D6736" t="s">
        <v>431</v>
      </c>
      <c r="F6736" s="1">
        <v>45713</v>
      </c>
      <c r="G6736" t="str">
        <f>IF(Table3[[#This Row],[Top Parent Account]]="",Table3[[#This Row],[Account Legal Name]],Table3[[#This Row],[Top Parent Account]])</f>
        <v>Derivados De Gasa</v>
      </c>
      <c r="H6736" s="1"/>
    </row>
    <row r="6737" spans="1:8" x14ac:dyDescent="0.35">
      <c r="A6737" s="21"/>
      <c r="B6737" t="s">
        <v>25</v>
      </c>
      <c r="C6737" t="s">
        <v>6</v>
      </c>
      <c r="D6737" t="s">
        <v>580</v>
      </c>
      <c r="F6737" s="1">
        <v>45713</v>
      </c>
      <c r="G6737" t="str">
        <f>IF(Table3[[#This Row],[Top Parent Account]]="",Table3[[#This Row],[Account Legal Name]],Table3[[#This Row],[Top Parent Account]])</f>
        <v>Auto Traf Toluca</v>
      </c>
      <c r="H6737" s="1"/>
    </row>
    <row r="6738" spans="1:8" x14ac:dyDescent="0.35">
      <c r="A6738" s="21"/>
      <c r="B6738" t="s">
        <v>258</v>
      </c>
      <c r="C6738" t="s">
        <v>6</v>
      </c>
      <c r="D6738" t="s">
        <v>1083</v>
      </c>
      <c r="F6738" s="1">
        <v>45713</v>
      </c>
      <c r="G6738" t="str">
        <f>IF(Table3[[#This Row],[Top Parent Account]]="",Table3[[#This Row],[Account Legal Name]],Table3[[#This Row],[Top Parent Account]])</f>
        <v>Centro de Reciclaje de Altiplano</v>
      </c>
      <c r="H6738" s="1"/>
    </row>
    <row r="6739" spans="1:8" x14ac:dyDescent="0.35">
      <c r="A6739" s="21"/>
      <c r="B6739" t="s">
        <v>989</v>
      </c>
      <c r="C6739" t="s">
        <v>6</v>
      </c>
      <c r="D6739" t="s">
        <v>1265</v>
      </c>
      <c r="F6739" s="1">
        <v>45713</v>
      </c>
      <c r="G6739" t="str">
        <f>IF(Table3[[#This Row],[Top Parent Account]]="",Table3[[#This Row],[Account Legal Name]],Table3[[#This Row],[Top Parent Account]])</f>
        <v>Comercializadora Soluciones Lumínicas Plus</v>
      </c>
      <c r="H6739" s="1"/>
    </row>
    <row r="6740" spans="1:8" x14ac:dyDescent="0.35">
      <c r="A6740" s="21"/>
      <c r="B6740" t="s">
        <v>116</v>
      </c>
      <c r="C6740" t="s">
        <v>49</v>
      </c>
      <c r="D6740" t="s">
        <v>536</v>
      </c>
      <c r="F6740" s="1">
        <v>45713</v>
      </c>
      <c r="G6740" t="str">
        <f>IF(Table3[[#This Row],[Top Parent Account]]="",Table3[[#This Row],[Account Legal Name]],Table3[[#This Row],[Top Parent Account]])</f>
        <v>Inox Market Messico</v>
      </c>
      <c r="H6740" s="1"/>
    </row>
    <row r="6741" spans="1:8" x14ac:dyDescent="0.35">
      <c r="A6741" s="21"/>
      <c r="B6741" t="s">
        <v>121</v>
      </c>
      <c r="C6741" t="s">
        <v>6</v>
      </c>
      <c r="D6741" t="s">
        <v>1212</v>
      </c>
      <c r="F6741" s="1">
        <v>45713</v>
      </c>
      <c r="G6741" t="str">
        <f>IF(Table3[[#This Row],[Top Parent Account]]="",Table3[[#This Row],[Account Legal Name]],Table3[[#This Row],[Top Parent Account]])</f>
        <v>Sazón Natural (Genaro Robles Serrano) (Persona Física)</v>
      </c>
      <c r="H6741" s="1"/>
    </row>
    <row r="6742" spans="1:8" x14ac:dyDescent="0.35">
      <c r="A6742" s="21"/>
      <c r="B6742" t="s">
        <v>29</v>
      </c>
      <c r="C6742" t="s">
        <v>6</v>
      </c>
      <c r="D6742" t="s">
        <v>171</v>
      </c>
      <c r="F6742" s="1">
        <v>45713</v>
      </c>
      <c r="G6742" t="str">
        <f>IF(Table3[[#This Row],[Top Parent Account]]="",Table3[[#This Row],[Account Legal Name]],Table3[[#This Row],[Top Parent Account]])</f>
        <v>Soluciones Logisticas Inteligentes</v>
      </c>
      <c r="H6742" s="1"/>
    </row>
    <row r="6743" spans="1:8" x14ac:dyDescent="0.35">
      <c r="A6743" s="21"/>
      <c r="B6743" t="s">
        <v>286</v>
      </c>
      <c r="C6743" t="s">
        <v>6</v>
      </c>
      <c r="D6743" t="s">
        <v>1122</v>
      </c>
      <c r="F6743" s="1">
        <v>45713</v>
      </c>
      <c r="G6743" t="str">
        <f>IF(Table3[[#This Row],[Top Parent Account]]="",Table3[[#This Row],[Account Legal Name]],Table3[[#This Row],[Top Parent Account]])</f>
        <v>JDA STUDIO</v>
      </c>
      <c r="H6743" s="1"/>
    </row>
    <row r="6744" spans="1:8" x14ac:dyDescent="0.35">
      <c r="A6744" s="21"/>
      <c r="B6744" t="s">
        <v>78</v>
      </c>
      <c r="C6744" t="s">
        <v>6</v>
      </c>
      <c r="D6744" t="s">
        <v>1229</v>
      </c>
      <c r="F6744" s="1">
        <v>45713</v>
      </c>
      <c r="G6744" t="str">
        <f>IF(Table3[[#This Row],[Top Parent Account]]="",Table3[[#This Row],[Account Legal Name]],Table3[[#This Row],[Top Parent Account]])</f>
        <v>LANDMARK FBC</v>
      </c>
      <c r="H6744" s="1"/>
    </row>
    <row r="6745" spans="1:8" x14ac:dyDescent="0.35">
      <c r="A6745" s="21"/>
      <c r="B6745" t="s">
        <v>54</v>
      </c>
      <c r="C6745" t="s">
        <v>1267</v>
      </c>
      <c r="D6745" t="s">
        <v>188</v>
      </c>
      <c r="F6745" s="1">
        <v>45713</v>
      </c>
      <c r="G6745" t="str">
        <f>IF(Table3[[#This Row],[Top Parent Account]]="",Table3[[#This Row],[Account Legal Name]],Table3[[#This Row],[Top Parent Account]])</f>
        <v>Camiones y Tractocamiones JR</v>
      </c>
      <c r="H6745" s="1"/>
    </row>
    <row r="6746" spans="1:8" x14ac:dyDescent="0.35">
      <c r="A6746" s="21"/>
      <c r="B6746" t="s">
        <v>970</v>
      </c>
      <c r="C6746" t="s">
        <v>6</v>
      </c>
      <c r="D6746" t="s">
        <v>814</v>
      </c>
      <c r="F6746" s="1">
        <v>45713</v>
      </c>
      <c r="G6746" t="str">
        <f>IF(Table3[[#This Row],[Top Parent Account]]="",Table3[[#This Row],[Account Legal Name]],Table3[[#This Row],[Top Parent Account]])</f>
        <v>Peri Cimbras y Andamios</v>
      </c>
      <c r="H6746" s="1"/>
    </row>
    <row r="6747" spans="1:8" x14ac:dyDescent="0.35">
      <c r="A6747" s="21"/>
      <c r="B6747" t="s">
        <v>207</v>
      </c>
      <c r="C6747" t="s">
        <v>6</v>
      </c>
      <c r="D6747" t="s">
        <v>1266</v>
      </c>
      <c r="F6747" s="1">
        <v>45713</v>
      </c>
      <c r="G6747" t="str">
        <f>IF(Table3[[#This Row],[Top Parent Account]]="",Table3[[#This Row],[Account Legal Name]],Table3[[#This Row],[Top Parent Account]])</f>
        <v>José Manuel Aragón.</v>
      </c>
      <c r="H6747" s="1"/>
    </row>
    <row r="6748" spans="1:8" x14ac:dyDescent="0.35">
      <c r="A6748" s="21"/>
      <c r="B6748" t="s">
        <v>258</v>
      </c>
      <c r="C6748" t="s">
        <v>6</v>
      </c>
      <c r="D6748" t="s">
        <v>1232</v>
      </c>
      <c r="F6748" s="1">
        <v>45713</v>
      </c>
      <c r="G6748" t="str">
        <f>IF(Table3[[#This Row],[Top Parent Account]]="",Table3[[#This Row],[Account Legal Name]],Table3[[#This Row],[Top Parent Account]])</f>
        <v>Suministros Básicos Industriales</v>
      </c>
      <c r="H6748" s="1"/>
    </row>
    <row r="6749" spans="1:8" x14ac:dyDescent="0.35">
      <c r="A6749" s="21"/>
      <c r="B6749" t="s">
        <v>739</v>
      </c>
      <c r="C6749" t="s">
        <v>6</v>
      </c>
      <c r="D6749" t="s">
        <v>370</v>
      </c>
      <c r="F6749" s="1">
        <v>45713</v>
      </c>
      <c r="G6749" t="str">
        <f>IF(Table3[[#This Row],[Top Parent Account]]="",Table3[[#This Row],[Account Legal Name]],Table3[[#This Row],[Top Parent Account]])</f>
        <v>Grupo Kuo</v>
      </c>
      <c r="H6749" s="1"/>
    </row>
    <row r="6750" spans="1:8" x14ac:dyDescent="0.35">
      <c r="A6750" s="21"/>
      <c r="B6750" t="s">
        <v>820</v>
      </c>
      <c r="C6750" t="s">
        <v>6</v>
      </c>
      <c r="D6750" t="s">
        <v>1233</v>
      </c>
      <c r="E6750" t="s">
        <v>741</v>
      </c>
      <c r="F6750" s="1">
        <v>45713</v>
      </c>
      <c r="G6750" t="str">
        <f>IF(Table3[[#This Row],[Top Parent Account]]="",Table3[[#This Row],[Account Legal Name]],Table3[[#This Row],[Top Parent Account]])</f>
        <v>Reto Industrial</v>
      </c>
      <c r="H6750" s="1"/>
    </row>
    <row r="6751" spans="1:8" x14ac:dyDescent="0.35">
      <c r="A6751" s="21"/>
      <c r="B6751" t="s">
        <v>172</v>
      </c>
      <c r="C6751" t="s">
        <v>6</v>
      </c>
      <c r="D6751" t="s">
        <v>105</v>
      </c>
      <c r="F6751" s="1">
        <v>45713</v>
      </c>
      <c r="G6751" t="str">
        <f>IF(Table3[[#This Row],[Top Parent Account]]="",Table3[[#This Row],[Account Legal Name]],Table3[[#This Row],[Top Parent Account]])</f>
        <v>NORCAST</v>
      </c>
      <c r="H6751" s="1"/>
    </row>
    <row r="6752" spans="1:8" x14ac:dyDescent="0.35">
      <c r="A6752" s="21"/>
      <c r="B6752" t="s">
        <v>51</v>
      </c>
      <c r="C6752" t="s">
        <v>6</v>
      </c>
      <c r="D6752" t="s">
        <v>539</v>
      </c>
      <c r="F6752" s="1">
        <v>45713</v>
      </c>
      <c r="G6752" t="str">
        <f>IF(Table3[[#This Row],[Top Parent Account]]="",Table3[[#This Row],[Account Legal Name]],Table3[[#This Row],[Top Parent Account]])</f>
        <v>Grupo Industrial Ortiz</v>
      </c>
      <c r="H6752" s="1"/>
    </row>
    <row r="6753" spans="1:8" x14ac:dyDescent="0.35">
      <c r="A6753" s="21"/>
      <c r="B6753" t="s">
        <v>23</v>
      </c>
      <c r="C6753" t="s">
        <v>6</v>
      </c>
      <c r="D6753" t="s">
        <v>1268</v>
      </c>
      <c r="E6753" t="s">
        <v>371</v>
      </c>
      <c r="F6753" s="1">
        <v>45713</v>
      </c>
      <c r="G6753" t="str">
        <f>IF(Table3[[#This Row],[Top Parent Account]]="",Table3[[#This Row],[Account Legal Name]],Table3[[#This Row],[Top Parent Account]])</f>
        <v>Terminales Mexicanas De Carga y Almacenaje</v>
      </c>
      <c r="H6753" s="1"/>
    </row>
    <row r="6754" spans="1:8" x14ac:dyDescent="0.35">
      <c r="A6754" s="21"/>
      <c r="B6754" t="s">
        <v>56</v>
      </c>
      <c r="C6754" t="s">
        <v>6</v>
      </c>
      <c r="D6754" t="s">
        <v>1269</v>
      </c>
      <c r="E6754" t="s">
        <v>173</v>
      </c>
      <c r="F6754" s="1">
        <v>45713</v>
      </c>
      <c r="G6754" t="str">
        <f>IF(Table3[[#This Row],[Top Parent Account]]="",Table3[[#This Row],[Account Legal Name]],Table3[[#This Row],[Top Parent Account]])</f>
        <v>Campeche Oil Mill</v>
      </c>
      <c r="H6754" s="1"/>
    </row>
    <row r="6755" spans="1:8" x14ac:dyDescent="0.35">
      <c r="A6755" s="21"/>
      <c r="B6755" t="s">
        <v>25</v>
      </c>
      <c r="C6755" t="s">
        <v>6</v>
      </c>
      <c r="D6755" t="s">
        <v>1015</v>
      </c>
      <c r="F6755" s="1">
        <v>45713</v>
      </c>
      <c r="G6755" t="str">
        <f>IF(Table3[[#This Row],[Top Parent Account]]="",Table3[[#This Row],[Account Legal Name]],Table3[[#This Row],[Top Parent Account]])</f>
        <v>Operbus</v>
      </c>
      <c r="H6755" s="1"/>
    </row>
    <row r="6756" spans="1:8" x14ac:dyDescent="0.35">
      <c r="A6756" s="21"/>
      <c r="B6756" t="s">
        <v>30</v>
      </c>
      <c r="C6756" t="s">
        <v>6</v>
      </c>
      <c r="D6756" t="s">
        <v>587</v>
      </c>
      <c r="F6756" s="1">
        <v>45713</v>
      </c>
      <c r="G6756" t="str">
        <f>IF(Table3[[#This Row],[Top Parent Account]]="",Table3[[#This Row],[Account Legal Name]],Table3[[#This Row],[Top Parent Account]])</f>
        <v>Mabe de México</v>
      </c>
      <c r="H6756" s="1"/>
    </row>
    <row r="6757" spans="1:8" x14ac:dyDescent="0.35">
      <c r="A6757" s="21"/>
      <c r="B6757" t="s">
        <v>70</v>
      </c>
      <c r="C6757" t="s">
        <v>6</v>
      </c>
      <c r="D6757" t="s">
        <v>747</v>
      </c>
      <c r="F6757" s="1">
        <v>45713</v>
      </c>
      <c r="G6757" t="str">
        <f>IF(Table3[[#This Row],[Top Parent Account]]="",Table3[[#This Row],[Account Legal Name]],Table3[[#This Row],[Top Parent Account]])</f>
        <v>HOSPICLEAN</v>
      </c>
      <c r="H6757" s="1"/>
    </row>
    <row r="6758" spans="1:8" x14ac:dyDescent="0.35">
      <c r="A6758" s="21"/>
      <c r="B6758" t="s">
        <v>7</v>
      </c>
      <c r="C6758" t="s">
        <v>6</v>
      </c>
      <c r="D6758" t="s">
        <v>1413</v>
      </c>
      <c r="F6758" s="1">
        <v>45713</v>
      </c>
      <c r="G6758" t="str">
        <f>IF(Table3[[#This Row],[Top Parent Account]]="",Table3[[#This Row],[Account Legal Name]],Table3[[#This Row],[Top Parent Account]])</f>
        <v>Lacteos Menonitas de Chihuahua</v>
      </c>
      <c r="H6758" s="1"/>
    </row>
    <row r="6759" spans="1:8" x14ac:dyDescent="0.35">
      <c r="A6759" s="21"/>
      <c r="B6759" t="s">
        <v>169</v>
      </c>
      <c r="C6759" t="s">
        <v>6</v>
      </c>
      <c r="D6759" t="s">
        <v>1270</v>
      </c>
      <c r="F6759" s="1">
        <v>45713</v>
      </c>
      <c r="G6759" t="str">
        <f>IF(Table3[[#This Row],[Top Parent Account]]="",Table3[[#This Row],[Account Legal Name]],Table3[[#This Row],[Top Parent Account]])</f>
        <v>GRUPO EMPRESARIAL MIXERPLUS</v>
      </c>
      <c r="H6759" s="1"/>
    </row>
    <row r="6760" spans="1:8" x14ac:dyDescent="0.35">
      <c r="A6760" s="21"/>
      <c r="B6760" t="s">
        <v>14</v>
      </c>
      <c r="C6760" t="s">
        <v>6</v>
      </c>
      <c r="D6760" t="s">
        <v>1414</v>
      </c>
      <c r="F6760" s="1">
        <v>45713</v>
      </c>
      <c r="G6760" t="str">
        <f>IF(Table3[[#This Row],[Top Parent Account]]="",Table3[[#This Row],[Account Legal Name]],Table3[[#This Row],[Top Parent Account]])</f>
        <v>Carducci</v>
      </c>
      <c r="H6760" s="1"/>
    </row>
    <row r="6761" spans="1:8" x14ac:dyDescent="0.35">
      <c r="A6761" s="21"/>
      <c r="B6761" t="s">
        <v>970</v>
      </c>
      <c r="C6761" t="s">
        <v>6</v>
      </c>
      <c r="D6761" t="s">
        <v>343</v>
      </c>
      <c r="F6761" s="1">
        <v>45712</v>
      </c>
      <c r="G6761" t="str">
        <f>IF(Table3[[#This Row],[Top Parent Account]]="",Table3[[#This Row],[Account Legal Name]],Table3[[#This Row],[Top Parent Account]])</f>
        <v>Envases Bh</v>
      </c>
      <c r="H6761" s="1"/>
    </row>
    <row r="6762" spans="1:8" x14ac:dyDescent="0.35">
      <c r="A6762" s="21"/>
      <c r="B6762" t="s">
        <v>28</v>
      </c>
      <c r="C6762" t="s">
        <v>6</v>
      </c>
      <c r="D6762" t="s">
        <v>722</v>
      </c>
      <c r="F6762" s="1">
        <v>45712</v>
      </c>
      <c r="G6762" t="str">
        <f>IF(Table3[[#This Row],[Top Parent Account]]="",Table3[[#This Row],[Account Legal Name]],Table3[[#This Row],[Top Parent Account]])</f>
        <v>ARCILLAS INDUSTRIALES DE DURANGO</v>
      </c>
      <c r="H6762" s="1"/>
    </row>
    <row r="6763" spans="1:8" x14ac:dyDescent="0.35">
      <c r="A6763" s="21"/>
      <c r="B6763" t="s">
        <v>989</v>
      </c>
      <c r="C6763" t="s">
        <v>22</v>
      </c>
      <c r="D6763" t="s">
        <v>1265</v>
      </c>
      <c r="F6763" s="1">
        <v>45712</v>
      </c>
      <c r="G6763" t="str">
        <f>IF(Table3[[#This Row],[Top Parent Account]]="",Table3[[#This Row],[Account Legal Name]],Table3[[#This Row],[Top Parent Account]])</f>
        <v>Comercializadora Soluciones Lumínicas Plus</v>
      </c>
      <c r="H6763" s="1"/>
    </row>
    <row r="6764" spans="1:8" x14ac:dyDescent="0.35">
      <c r="A6764" s="21"/>
      <c r="B6764" t="s">
        <v>29</v>
      </c>
      <c r="C6764" t="s">
        <v>6</v>
      </c>
      <c r="D6764" t="s">
        <v>443</v>
      </c>
      <c r="E6764" t="s">
        <v>444</v>
      </c>
      <c r="F6764" s="1">
        <v>45712</v>
      </c>
      <c r="G6764" t="str">
        <f>IF(Table3[[#This Row],[Top Parent Account]]="",Table3[[#This Row],[Account Legal Name]],Table3[[#This Row],[Top Parent Account]])</f>
        <v>Ugasa</v>
      </c>
      <c r="H6764" s="1"/>
    </row>
    <row r="6765" spans="1:8" x14ac:dyDescent="0.35">
      <c r="A6765" s="21"/>
      <c r="B6765" t="s">
        <v>208</v>
      </c>
      <c r="C6765" t="s">
        <v>6</v>
      </c>
      <c r="D6765" t="s">
        <v>1271</v>
      </c>
      <c r="F6765" s="1">
        <v>45712</v>
      </c>
      <c r="G6765" t="str">
        <f>IF(Table3[[#This Row],[Top Parent Account]]="",Table3[[#This Row],[Account Legal Name]],Table3[[#This Row],[Top Parent Account]])</f>
        <v>GGD Bandas y Servicios</v>
      </c>
      <c r="H6765" s="1"/>
    </row>
    <row r="6766" spans="1:8" x14ac:dyDescent="0.35">
      <c r="A6766" s="21"/>
      <c r="B6766" t="s">
        <v>26</v>
      </c>
      <c r="C6766" t="s">
        <v>6</v>
      </c>
      <c r="D6766" t="s">
        <v>256</v>
      </c>
      <c r="F6766" s="1">
        <v>45712</v>
      </c>
      <c r="G6766" t="str">
        <f>IF(Table3[[#This Row],[Top Parent Account]]="",Table3[[#This Row],[Account Legal Name]],Table3[[#This Row],[Top Parent Account]])</f>
        <v>Productos Aramo</v>
      </c>
      <c r="H6766" s="1"/>
    </row>
    <row r="6767" spans="1:8" x14ac:dyDescent="0.35">
      <c r="A6767" s="21"/>
      <c r="B6767" t="s">
        <v>26</v>
      </c>
      <c r="C6767" t="s">
        <v>6</v>
      </c>
      <c r="D6767" t="s">
        <v>437</v>
      </c>
      <c r="F6767" s="1">
        <v>45712</v>
      </c>
      <c r="G6767" t="str">
        <f>IF(Table3[[#This Row],[Top Parent Account]]="",Table3[[#This Row],[Account Legal Name]],Table3[[#This Row],[Top Parent Account]])</f>
        <v>Industrias Cazel</v>
      </c>
      <c r="H6767" s="1"/>
    </row>
    <row r="6768" spans="1:8" x14ac:dyDescent="0.35">
      <c r="A6768" s="21"/>
      <c r="B6768" t="s">
        <v>29</v>
      </c>
      <c r="C6768" t="s">
        <v>6</v>
      </c>
      <c r="D6768" t="s">
        <v>1272</v>
      </c>
      <c r="F6768" s="1">
        <v>45712</v>
      </c>
      <c r="G6768" t="str">
        <f>IF(Table3[[#This Row],[Top Parent Account]]="",Table3[[#This Row],[Account Legal Name]],Table3[[#This Row],[Top Parent Account]])</f>
        <v>SUMA GLOBAL PACK</v>
      </c>
      <c r="H6768" s="1"/>
    </row>
    <row r="6769" spans="1:8" x14ac:dyDescent="0.35">
      <c r="A6769" s="21"/>
      <c r="B6769" t="s">
        <v>208</v>
      </c>
      <c r="C6769" t="s">
        <v>6</v>
      </c>
      <c r="D6769" t="s">
        <v>1273</v>
      </c>
      <c r="F6769" s="1">
        <v>45712</v>
      </c>
      <c r="G6769" t="str">
        <f>IF(Table3[[#This Row],[Top Parent Account]]="",Table3[[#This Row],[Account Legal Name]],Table3[[#This Row],[Top Parent Account]])</f>
        <v>Distribución y Almacenaje Argo</v>
      </c>
      <c r="H6769" s="1"/>
    </row>
    <row r="6770" spans="1:8" x14ac:dyDescent="0.35">
      <c r="A6770" s="21"/>
      <c r="B6770" t="s">
        <v>78</v>
      </c>
      <c r="C6770" t="s">
        <v>6</v>
      </c>
      <c r="D6770" t="s">
        <v>553</v>
      </c>
      <c r="F6770" s="1">
        <v>45712</v>
      </c>
      <c r="G6770" t="str">
        <f>IF(Table3[[#This Row],[Top Parent Account]]="",Table3[[#This Row],[Account Legal Name]],Table3[[#This Row],[Top Parent Account]])</f>
        <v>ACADEMIA CAPITAL</v>
      </c>
      <c r="H6770" s="1"/>
    </row>
    <row r="6771" spans="1:8" x14ac:dyDescent="0.35">
      <c r="A6771" s="21"/>
      <c r="B6771" t="s">
        <v>58</v>
      </c>
      <c r="C6771" t="s">
        <v>6</v>
      </c>
      <c r="D6771" t="s">
        <v>1274</v>
      </c>
      <c r="F6771" s="1">
        <v>45712</v>
      </c>
      <c r="G6771" t="str">
        <f>IF(Table3[[#This Row],[Top Parent Account]]="",Table3[[#This Row],[Account Legal Name]],Table3[[#This Row],[Top Parent Account]])</f>
        <v>Cementation USA</v>
      </c>
      <c r="H6771" s="1"/>
    </row>
    <row r="6772" spans="1:8" x14ac:dyDescent="0.35">
      <c r="A6772" s="21"/>
      <c r="B6772" t="s">
        <v>208</v>
      </c>
      <c r="C6772" t="s">
        <v>6</v>
      </c>
      <c r="D6772" t="s">
        <v>1276</v>
      </c>
      <c r="F6772" s="1">
        <v>45712</v>
      </c>
      <c r="G6772" t="str">
        <f>IF(Table3[[#This Row],[Top Parent Account]]="",Table3[[#This Row],[Account Legal Name]],Table3[[#This Row],[Top Parent Account]])</f>
        <v>TRANSPORTE DIRZO</v>
      </c>
      <c r="H6772" s="1"/>
    </row>
    <row r="6773" spans="1:8" x14ac:dyDescent="0.35">
      <c r="A6773" s="21"/>
      <c r="B6773" t="s">
        <v>820</v>
      </c>
      <c r="C6773" t="s">
        <v>6</v>
      </c>
      <c r="D6773" t="s">
        <v>1275</v>
      </c>
      <c r="F6773" s="1">
        <v>45712</v>
      </c>
      <c r="G6773" t="str">
        <f>IF(Table3[[#This Row],[Top Parent Account]]="",Table3[[#This Row],[Account Legal Name]],Table3[[#This Row],[Top Parent Account]])</f>
        <v>Odis Asversa</v>
      </c>
      <c r="H6773" s="1"/>
    </row>
    <row r="6774" spans="1:8" x14ac:dyDescent="0.35">
      <c r="A6774" s="21"/>
      <c r="B6774" t="s">
        <v>192</v>
      </c>
      <c r="C6774" t="s">
        <v>49</v>
      </c>
      <c r="D6774" t="s">
        <v>1328</v>
      </c>
      <c r="F6774" s="1">
        <v>45712</v>
      </c>
      <c r="G6774" t="str">
        <f>IF(Table3[[#This Row],[Top Parent Account]]="",Table3[[#This Row],[Account Legal Name]],Table3[[#This Row],[Top Parent Account]])</f>
        <v>Nutrinueces y más</v>
      </c>
      <c r="H6774" s="1"/>
    </row>
    <row r="6775" spans="1:8" x14ac:dyDescent="0.35">
      <c r="A6775" s="21"/>
      <c r="B6775" t="s">
        <v>14</v>
      </c>
      <c r="C6775" t="s">
        <v>6</v>
      </c>
      <c r="D6775" t="s">
        <v>1415</v>
      </c>
      <c r="F6775" s="1">
        <v>45712</v>
      </c>
      <c r="G6775" t="str">
        <f>IF(Table3[[#This Row],[Top Parent Account]]="",Table3[[#This Row],[Account Legal Name]],Table3[[#This Row],[Top Parent Account]])</f>
        <v>Tecnología y calidad en asfaltos</v>
      </c>
      <c r="H6775" s="1"/>
    </row>
    <row r="6776" spans="1:8" x14ac:dyDescent="0.35">
      <c r="A6776" s="21"/>
      <c r="B6776" t="s">
        <v>29</v>
      </c>
      <c r="C6776" t="s">
        <v>6</v>
      </c>
      <c r="D6776" t="s">
        <v>1641</v>
      </c>
      <c r="F6776" s="1">
        <v>45712</v>
      </c>
      <c r="G6776" t="str">
        <f>IF(Table3[[#This Row],[Top Parent Account]]="",Table3[[#This Row],[Account Legal Name]],Table3[[#This Row],[Top Parent Account]])</f>
        <v>Salud Digna Para Todos</v>
      </c>
      <c r="H6776" s="1"/>
    </row>
    <row r="6777" spans="1:8" x14ac:dyDescent="0.35">
      <c r="A6777" s="21"/>
      <c r="B6777" t="s">
        <v>56</v>
      </c>
      <c r="C6777" t="s">
        <v>6</v>
      </c>
      <c r="D6777" t="s">
        <v>1277</v>
      </c>
      <c r="F6777" s="1">
        <v>45712</v>
      </c>
      <c r="G6777" t="str">
        <f>IF(Table3[[#This Row],[Top Parent Account]]="",Table3[[#This Row],[Account Legal Name]],Table3[[#This Row],[Top Parent Account]])</f>
        <v>Nordstern Technologies</v>
      </c>
      <c r="H6777" s="1"/>
    </row>
    <row r="6778" spans="1:8" x14ac:dyDescent="0.35">
      <c r="A6778" s="21"/>
      <c r="B6778" t="s">
        <v>15</v>
      </c>
      <c r="C6778" t="s">
        <v>6</v>
      </c>
      <c r="D6778" t="s">
        <v>1279</v>
      </c>
      <c r="F6778" s="1">
        <v>45712</v>
      </c>
      <c r="G6778" t="str">
        <f>IF(Table3[[#This Row],[Top Parent Account]]="",Table3[[#This Row],[Account Legal Name]],Table3[[#This Row],[Top Parent Account]])</f>
        <v>Supervisión Técnica del Norte</v>
      </c>
      <c r="H6778" s="1"/>
    </row>
    <row r="6779" spans="1:8" x14ac:dyDescent="0.35">
      <c r="A6779" s="21"/>
      <c r="B6779" t="s">
        <v>375</v>
      </c>
      <c r="C6779" t="s">
        <v>6</v>
      </c>
      <c r="D6779" t="s">
        <v>726</v>
      </c>
      <c r="F6779" s="1">
        <v>45712</v>
      </c>
      <c r="G6779" t="str">
        <f>IF(Table3[[#This Row],[Top Parent Account]]="",Table3[[#This Row],[Account Legal Name]],Table3[[#This Row],[Top Parent Account]])</f>
        <v>Transportes Auto Tanques Ochoa</v>
      </c>
      <c r="H6779" s="1"/>
    </row>
    <row r="6780" spans="1:8" x14ac:dyDescent="0.35">
      <c r="A6780" s="21"/>
      <c r="B6780" t="s">
        <v>30</v>
      </c>
      <c r="C6780" t="s">
        <v>6</v>
      </c>
      <c r="D6780" t="s">
        <v>1278</v>
      </c>
      <c r="F6780" s="1">
        <v>45712</v>
      </c>
      <c r="G6780" t="str">
        <f>IF(Table3[[#This Row],[Top Parent Account]]="",Table3[[#This Row],[Account Legal Name]],Table3[[#This Row],[Top Parent Account]])</f>
        <v>Reckitt Benckiser México</v>
      </c>
      <c r="H6780" s="1"/>
    </row>
    <row r="6781" spans="1:8" x14ac:dyDescent="0.35">
      <c r="A6781" s="21"/>
      <c r="B6781" t="s">
        <v>29</v>
      </c>
      <c r="C6781" t="s">
        <v>6</v>
      </c>
      <c r="D6781" t="s">
        <v>935</v>
      </c>
      <c r="F6781" s="1">
        <v>45712</v>
      </c>
      <c r="G6781" t="str">
        <f>IF(Table3[[#This Row],[Top Parent Account]]="",Table3[[#This Row],[Account Legal Name]],Table3[[#This Row],[Top Parent Account]])</f>
        <v>TDA Telecomunicaciones</v>
      </c>
      <c r="H6781" s="1"/>
    </row>
    <row r="6782" spans="1:8" x14ac:dyDescent="0.35">
      <c r="A6782" s="21"/>
      <c r="B6782" t="s">
        <v>15</v>
      </c>
      <c r="C6782" t="s">
        <v>6</v>
      </c>
      <c r="D6782" t="s">
        <v>1234</v>
      </c>
      <c r="E6782" t="s">
        <v>1280</v>
      </c>
      <c r="F6782" s="1">
        <v>45712</v>
      </c>
      <c r="G6782" t="str">
        <f>IF(Table3[[#This Row],[Top Parent Account]]="",Table3[[#This Row],[Account Legal Name]],Table3[[#This Row],[Top Parent Account]])</f>
        <v>Saint Gobain Sekurit Servicios</v>
      </c>
      <c r="H6782" s="1"/>
    </row>
    <row r="6783" spans="1:8" x14ac:dyDescent="0.35">
      <c r="A6783" s="21"/>
      <c r="B6783" t="s">
        <v>989</v>
      </c>
      <c r="C6783" t="s">
        <v>6</v>
      </c>
      <c r="D6783" t="s">
        <v>1123</v>
      </c>
      <c r="F6783" s="1">
        <v>45712</v>
      </c>
      <c r="G6783" t="str">
        <f>IF(Table3[[#This Row],[Top Parent Account]]="",Table3[[#This Row],[Account Legal Name]],Table3[[#This Row],[Top Parent Account]])</f>
        <v>Exel Servigrafica</v>
      </c>
      <c r="H6783" s="1"/>
    </row>
    <row r="6784" spans="1:8" x14ac:dyDescent="0.35">
      <c r="A6784" s="21"/>
      <c r="B6784" t="s">
        <v>989</v>
      </c>
      <c r="C6784" t="s">
        <v>6</v>
      </c>
      <c r="D6784" t="s">
        <v>1117</v>
      </c>
      <c r="F6784" s="1">
        <v>45712</v>
      </c>
      <c r="G6784" t="str">
        <f>IF(Table3[[#This Row],[Top Parent Account]]="",Table3[[#This Row],[Account Legal Name]],Table3[[#This Row],[Top Parent Account]])</f>
        <v>Pastas Alimenticias Laziali</v>
      </c>
      <c r="H6784" s="1"/>
    </row>
    <row r="6785" spans="1:8" x14ac:dyDescent="0.35">
      <c r="A6785" s="21"/>
      <c r="B6785" t="s">
        <v>7</v>
      </c>
      <c r="C6785" t="s">
        <v>6</v>
      </c>
      <c r="D6785" t="s">
        <v>1281</v>
      </c>
      <c r="F6785" s="1">
        <v>45712</v>
      </c>
      <c r="G6785" t="str">
        <f>IF(Table3[[#This Row],[Top Parent Account]]="",Table3[[#This Row],[Account Legal Name]],Table3[[#This Row],[Top Parent Account]])</f>
        <v>Airdonkey</v>
      </c>
      <c r="H6785" s="1"/>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G56"/>
  <sheetViews>
    <sheetView topLeftCell="C13" zoomScale="83" zoomScaleNormal="70" workbookViewId="0">
      <selection activeCell="AG24" sqref="AG24"/>
    </sheetView>
  </sheetViews>
  <sheetFormatPr baseColWidth="10" defaultColWidth="9.1796875" defaultRowHeight="14.5" x14ac:dyDescent="0.35"/>
  <cols>
    <col min="1" max="1" width="7.6328125" hidden="1" customWidth="1"/>
    <col min="2" max="2" width="15" hidden="1" customWidth="1"/>
    <col min="3" max="3" width="9.6328125" customWidth="1"/>
    <col min="4" max="4" width="18.6328125" bestFit="1" customWidth="1"/>
    <col min="5" max="5" width="24.6328125" customWidth="1"/>
    <col min="6" max="6" width="19.26953125" hidden="1" customWidth="1"/>
    <col min="7" max="7" width="19.90625" bestFit="1" customWidth="1"/>
    <col min="8" max="8" width="19.453125" customWidth="1"/>
    <col min="9" max="9" width="13.36328125" style="27" customWidth="1"/>
    <col min="10" max="10" width="28.81640625" hidden="1" customWidth="1"/>
    <col min="11" max="11" width="26.36328125" hidden="1" customWidth="1"/>
    <col min="12" max="13" width="20.90625" hidden="1" customWidth="1"/>
    <col min="14" max="14" width="19" hidden="1" customWidth="1"/>
    <col min="15" max="15" width="20.26953125" hidden="1" customWidth="1"/>
    <col min="16" max="16" width="21.90625" hidden="1" customWidth="1"/>
    <col min="17" max="17" width="26.26953125" hidden="1" customWidth="1"/>
    <col min="18" max="18" width="25.7265625" style="19" hidden="1" customWidth="1"/>
    <col min="19" max="19" width="16.54296875" hidden="1" customWidth="1"/>
    <col min="20" max="20" width="16.7265625" hidden="1" customWidth="1"/>
    <col min="21" max="21" width="19.54296875" hidden="1" customWidth="1"/>
    <col min="22" max="22" width="31.26953125" hidden="1" customWidth="1"/>
    <col min="23" max="23" width="33.6328125" hidden="1" customWidth="1"/>
    <col min="24" max="24" width="15.6328125" hidden="1" customWidth="1"/>
    <col min="25" max="25" width="25.81640625" hidden="1" customWidth="1"/>
    <col min="26" max="26" width="12.54296875" hidden="1" customWidth="1"/>
    <col min="27" max="27" width="13.08984375" hidden="1" customWidth="1"/>
    <col min="28" max="28" width="26.81640625" hidden="1" customWidth="1"/>
    <col min="29" max="29" width="18.6328125" hidden="1" customWidth="1"/>
    <col min="30" max="30" width="21.6328125" hidden="1" customWidth="1"/>
    <col min="31" max="31" width="25.36328125" hidden="1" customWidth="1"/>
    <col min="32" max="32" width="21.54296875" bestFit="1" customWidth="1"/>
    <col min="33" max="33" width="31" bestFit="1" customWidth="1"/>
  </cols>
  <sheetData>
    <row r="1" spans="1:33" x14ac:dyDescent="0.35">
      <c r="A1" t="s">
        <v>133</v>
      </c>
      <c r="B1" t="s">
        <v>134</v>
      </c>
      <c r="C1" t="s">
        <v>0</v>
      </c>
      <c r="D1" t="s">
        <v>135</v>
      </c>
      <c r="E1" t="s">
        <v>3</v>
      </c>
      <c r="F1" t="s">
        <v>136</v>
      </c>
      <c r="G1" t="s">
        <v>137</v>
      </c>
      <c r="H1" t="s">
        <v>138</v>
      </c>
      <c r="I1" s="27" t="s">
        <v>139</v>
      </c>
      <c r="J1" t="s">
        <v>140</v>
      </c>
      <c r="K1" t="s">
        <v>141</v>
      </c>
      <c r="L1" t="s">
        <v>142</v>
      </c>
      <c r="M1" t="s">
        <v>143</v>
      </c>
      <c r="N1" t="s">
        <v>144</v>
      </c>
      <c r="O1" t="s">
        <v>145</v>
      </c>
      <c r="P1" t="s">
        <v>146</v>
      </c>
      <c r="Q1" t="s">
        <v>147</v>
      </c>
      <c r="R1" s="19" t="s">
        <v>275</v>
      </c>
      <c r="S1" t="s">
        <v>148</v>
      </c>
      <c r="T1" t="s">
        <v>149</v>
      </c>
      <c r="U1" t="s">
        <v>150</v>
      </c>
      <c r="V1" t="s">
        <v>151</v>
      </c>
      <c r="W1" t="s">
        <v>152</v>
      </c>
      <c r="X1" t="s">
        <v>153</v>
      </c>
      <c r="Y1" t="s">
        <v>154</v>
      </c>
      <c r="Z1" t="s">
        <v>155</v>
      </c>
      <c r="AA1" t="s">
        <v>156</v>
      </c>
      <c r="AB1" t="s">
        <v>157</v>
      </c>
      <c r="AC1" t="s">
        <v>158</v>
      </c>
      <c r="AD1" t="s">
        <v>266</v>
      </c>
      <c r="AE1" t="s">
        <v>267</v>
      </c>
      <c r="AF1" t="s">
        <v>4978</v>
      </c>
      <c r="AG1" t="s">
        <v>4979</v>
      </c>
    </row>
    <row r="2" spans="1:33" hidden="1" x14ac:dyDescent="0.35">
      <c r="A2" t="s">
        <v>159</v>
      </c>
      <c r="B2" t="s">
        <v>5304</v>
      </c>
      <c r="C2" t="s">
        <v>4726</v>
      </c>
      <c r="D2" t="s">
        <v>160</v>
      </c>
      <c r="E2" t="s">
        <v>5305</v>
      </c>
      <c r="F2" t="s">
        <v>5306</v>
      </c>
      <c r="G2" t="s">
        <v>5051</v>
      </c>
      <c r="H2" t="s">
        <v>5307</v>
      </c>
      <c r="I2" s="27">
        <v>10000000</v>
      </c>
      <c r="J2" t="s">
        <v>159</v>
      </c>
      <c r="L2" t="s">
        <v>101</v>
      </c>
      <c r="M2" t="s">
        <v>101</v>
      </c>
      <c r="N2" t="s">
        <v>101</v>
      </c>
      <c r="O2" t="s">
        <v>101</v>
      </c>
      <c r="P2" t="s">
        <v>101</v>
      </c>
      <c r="R2" s="19">
        <v>10000000</v>
      </c>
      <c r="S2" t="s">
        <v>101</v>
      </c>
      <c r="T2" t="s">
        <v>4726</v>
      </c>
      <c r="U2" t="s">
        <v>161</v>
      </c>
      <c r="V2" t="s">
        <v>101</v>
      </c>
      <c r="W2" t="s">
        <v>101</v>
      </c>
      <c r="X2" t="s">
        <v>4727</v>
      </c>
      <c r="Y2" t="s">
        <v>4728</v>
      </c>
      <c r="Z2" t="s">
        <v>4729</v>
      </c>
      <c r="AA2" t="s">
        <v>166</v>
      </c>
      <c r="AB2" s="1">
        <v>46078</v>
      </c>
      <c r="AC2" t="s">
        <v>160</v>
      </c>
      <c r="AD2" t="s">
        <v>268</v>
      </c>
      <c r="AE2" t="s">
        <v>268</v>
      </c>
      <c r="AF2" s="26" t="s">
        <v>4716</v>
      </c>
      <c r="AG2" s="26" t="s">
        <v>4663</v>
      </c>
    </row>
    <row r="3" spans="1:33" hidden="1" x14ac:dyDescent="0.35">
      <c r="A3" t="s">
        <v>159</v>
      </c>
      <c r="B3" t="s">
        <v>5378</v>
      </c>
      <c r="C3" t="s">
        <v>4735</v>
      </c>
      <c r="D3" t="s">
        <v>160</v>
      </c>
      <c r="E3" t="s">
        <v>548</v>
      </c>
      <c r="F3" t="s">
        <v>5379</v>
      </c>
      <c r="G3" t="s">
        <v>10</v>
      </c>
      <c r="H3" t="s">
        <v>5380</v>
      </c>
      <c r="I3" s="27">
        <v>15000000</v>
      </c>
      <c r="J3" t="s">
        <v>159</v>
      </c>
      <c r="L3" t="s">
        <v>101</v>
      </c>
      <c r="M3" t="s">
        <v>101</v>
      </c>
      <c r="N3" t="s">
        <v>101</v>
      </c>
      <c r="O3" t="s">
        <v>101</v>
      </c>
      <c r="P3" t="s">
        <v>101</v>
      </c>
      <c r="R3" s="19">
        <v>15000000</v>
      </c>
      <c r="S3" t="s">
        <v>101</v>
      </c>
      <c r="T3" t="s">
        <v>167</v>
      </c>
      <c r="U3" t="s">
        <v>161</v>
      </c>
      <c r="V3" t="s">
        <v>52</v>
      </c>
      <c r="W3" t="s">
        <v>101</v>
      </c>
      <c r="X3" t="s">
        <v>163</v>
      </c>
      <c r="Y3" t="s">
        <v>4732</v>
      </c>
      <c r="Z3" t="s">
        <v>165</v>
      </c>
      <c r="AA3" t="s">
        <v>166</v>
      </c>
      <c r="AB3" s="1">
        <v>46080</v>
      </c>
      <c r="AC3" t="s">
        <v>160</v>
      </c>
      <c r="AD3" t="s">
        <v>268</v>
      </c>
      <c r="AE3" t="s">
        <v>268</v>
      </c>
      <c r="AF3" s="26" t="s">
        <v>5285</v>
      </c>
      <c r="AG3" s="26" t="s">
        <v>4981</v>
      </c>
    </row>
    <row r="4" spans="1:33" hidden="1" x14ac:dyDescent="0.35">
      <c r="A4" t="s">
        <v>159</v>
      </c>
      <c r="B4" t="s">
        <v>5390</v>
      </c>
      <c r="C4" t="s">
        <v>4735</v>
      </c>
      <c r="D4" t="s">
        <v>276</v>
      </c>
      <c r="E4" t="s">
        <v>453</v>
      </c>
      <c r="F4" t="s">
        <v>5379</v>
      </c>
      <c r="G4" t="s">
        <v>10</v>
      </c>
      <c r="H4" t="s">
        <v>5391</v>
      </c>
      <c r="I4" s="27">
        <v>20000000</v>
      </c>
      <c r="J4" t="s">
        <v>159</v>
      </c>
      <c r="L4" t="s">
        <v>101</v>
      </c>
      <c r="M4" t="s">
        <v>101</v>
      </c>
      <c r="N4" t="s">
        <v>101</v>
      </c>
      <c r="O4" t="s">
        <v>101</v>
      </c>
      <c r="P4" t="s">
        <v>101</v>
      </c>
      <c r="R4" s="19">
        <v>20000000</v>
      </c>
      <c r="S4" t="s">
        <v>101</v>
      </c>
      <c r="T4" t="s">
        <v>167</v>
      </c>
      <c r="U4" t="s">
        <v>161</v>
      </c>
      <c r="V4" t="s">
        <v>4723</v>
      </c>
      <c r="W4" t="s">
        <v>101</v>
      </c>
      <c r="X4" t="s">
        <v>163</v>
      </c>
      <c r="Y4" t="s">
        <v>4732</v>
      </c>
      <c r="Z4" t="s">
        <v>165</v>
      </c>
      <c r="AA4" t="s">
        <v>166</v>
      </c>
      <c r="AB4" s="1">
        <v>46081</v>
      </c>
      <c r="AC4" t="s">
        <v>276</v>
      </c>
      <c r="AD4" t="s">
        <v>268</v>
      </c>
      <c r="AE4" t="s">
        <v>268</v>
      </c>
      <c r="AF4" s="26" t="s">
        <v>4716</v>
      </c>
      <c r="AG4" s="26" t="s">
        <v>4984</v>
      </c>
    </row>
    <row r="5" spans="1:33" hidden="1" x14ac:dyDescent="0.35">
      <c r="A5" t="s">
        <v>159</v>
      </c>
      <c r="B5" t="s">
        <v>5394</v>
      </c>
      <c r="C5" t="s">
        <v>4735</v>
      </c>
      <c r="D5" t="s">
        <v>160</v>
      </c>
      <c r="E5" t="s">
        <v>5395</v>
      </c>
      <c r="F5" t="s">
        <v>5379</v>
      </c>
      <c r="G5" t="s">
        <v>51</v>
      </c>
      <c r="H5" t="s">
        <v>5396</v>
      </c>
      <c r="I5" s="27">
        <v>20000000</v>
      </c>
      <c r="J5" t="s">
        <v>159</v>
      </c>
      <c r="L5" t="s">
        <v>101</v>
      </c>
      <c r="M5" t="s">
        <v>101</v>
      </c>
      <c r="N5" t="s">
        <v>101</v>
      </c>
      <c r="O5" t="s">
        <v>101</v>
      </c>
      <c r="P5" t="s">
        <v>101</v>
      </c>
      <c r="R5" s="19">
        <v>20000000</v>
      </c>
      <c r="S5" t="s">
        <v>101</v>
      </c>
      <c r="T5" t="s">
        <v>167</v>
      </c>
      <c r="U5" t="s">
        <v>161</v>
      </c>
      <c r="V5" t="s">
        <v>4495</v>
      </c>
      <c r="W5" t="s">
        <v>162</v>
      </c>
      <c r="X5" t="s">
        <v>163</v>
      </c>
      <c r="Y5" t="s">
        <v>164</v>
      </c>
      <c r="Z5" t="s">
        <v>165</v>
      </c>
      <c r="AA5" t="s">
        <v>166</v>
      </c>
      <c r="AB5" s="1">
        <v>46080</v>
      </c>
      <c r="AC5" t="s">
        <v>160</v>
      </c>
      <c r="AD5" t="s">
        <v>268</v>
      </c>
      <c r="AE5" t="s">
        <v>268</v>
      </c>
      <c r="AF5" s="26" t="s">
        <v>4809</v>
      </c>
      <c r="AG5" s="26" t="s">
        <v>5045</v>
      </c>
    </row>
    <row r="6" spans="1:33" hidden="1" x14ac:dyDescent="0.35">
      <c r="A6" t="s">
        <v>3479</v>
      </c>
      <c r="B6" t="s">
        <v>5341</v>
      </c>
      <c r="C6" t="s">
        <v>4735</v>
      </c>
      <c r="D6" t="s">
        <v>160</v>
      </c>
      <c r="E6" t="s">
        <v>5130</v>
      </c>
      <c r="F6" t="s">
        <v>29</v>
      </c>
      <c r="G6" t="s">
        <v>29</v>
      </c>
      <c r="H6" t="s">
        <v>5342</v>
      </c>
      <c r="I6" s="27">
        <v>8626600</v>
      </c>
      <c r="J6" t="s">
        <v>159</v>
      </c>
      <c r="L6" t="s">
        <v>101</v>
      </c>
      <c r="M6" t="s">
        <v>101</v>
      </c>
      <c r="N6" t="s">
        <v>101</v>
      </c>
      <c r="O6" t="s">
        <v>101</v>
      </c>
      <c r="P6" t="s">
        <v>101</v>
      </c>
      <c r="R6" s="19">
        <v>8626600</v>
      </c>
      <c r="S6" t="s">
        <v>101</v>
      </c>
      <c r="T6" t="s">
        <v>167</v>
      </c>
      <c r="U6" t="s">
        <v>161</v>
      </c>
      <c r="V6" t="s">
        <v>4495</v>
      </c>
      <c r="W6" t="s">
        <v>162</v>
      </c>
      <c r="X6" t="s">
        <v>163</v>
      </c>
      <c r="Y6" t="s">
        <v>164</v>
      </c>
      <c r="Z6" t="s">
        <v>4738</v>
      </c>
      <c r="AA6" t="s">
        <v>166</v>
      </c>
      <c r="AB6" s="1">
        <v>46079</v>
      </c>
      <c r="AC6" t="s">
        <v>160</v>
      </c>
      <c r="AD6" t="s">
        <v>268</v>
      </c>
      <c r="AE6" t="s">
        <v>268</v>
      </c>
      <c r="AF6" s="26" t="s">
        <v>4716</v>
      </c>
      <c r="AG6" s="26" t="s">
        <v>5045</v>
      </c>
    </row>
    <row r="7" spans="1:33" x14ac:dyDescent="0.35">
      <c r="A7" t="s">
        <v>159</v>
      </c>
      <c r="B7" t="s">
        <v>5362</v>
      </c>
      <c r="C7" t="s">
        <v>19</v>
      </c>
      <c r="D7" t="s">
        <v>160</v>
      </c>
      <c r="E7" t="s">
        <v>5007</v>
      </c>
      <c r="F7" t="s">
        <v>4734</v>
      </c>
      <c r="G7" t="s">
        <v>14</v>
      </c>
      <c r="H7" t="s">
        <v>5363</v>
      </c>
      <c r="I7" s="27">
        <v>4000000</v>
      </c>
      <c r="J7" t="s">
        <v>159</v>
      </c>
      <c r="L7" t="s">
        <v>101</v>
      </c>
      <c r="M7" t="s">
        <v>101</v>
      </c>
      <c r="N7" t="s">
        <v>4722</v>
      </c>
      <c r="O7" t="s">
        <v>101</v>
      </c>
      <c r="P7" t="s">
        <v>101</v>
      </c>
      <c r="R7" s="19">
        <v>4000000</v>
      </c>
      <c r="S7" t="s">
        <v>101</v>
      </c>
      <c r="T7" t="s">
        <v>44</v>
      </c>
      <c r="U7" t="s">
        <v>161</v>
      </c>
      <c r="V7" t="s">
        <v>4725</v>
      </c>
      <c r="W7" t="s">
        <v>162</v>
      </c>
      <c r="X7" t="s">
        <v>163</v>
      </c>
      <c r="Y7" t="s">
        <v>164</v>
      </c>
      <c r="Z7" t="s">
        <v>165</v>
      </c>
      <c r="AA7" t="s">
        <v>166</v>
      </c>
      <c r="AB7" s="1">
        <v>46080</v>
      </c>
      <c r="AC7" t="s">
        <v>160</v>
      </c>
      <c r="AD7" t="s">
        <v>268</v>
      </c>
      <c r="AE7" t="s">
        <v>268</v>
      </c>
      <c r="AF7" s="26" t="s">
        <v>4977</v>
      </c>
      <c r="AG7" s="26" t="s">
        <v>5109</v>
      </c>
    </row>
    <row r="8" spans="1:33" x14ac:dyDescent="0.35">
      <c r="A8" t="s">
        <v>159</v>
      </c>
      <c r="B8" t="s">
        <v>5302</v>
      </c>
      <c r="C8" t="s">
        <v>19</v>
      </c>
      <c r="D8" t="s">
        <v>160</v>
      </c>
      <c r="E8" t="s">
        <v>5007</v>
      </c>
      <c r="F8" t="s">
        <v>4734</v>
      </c>
      <c r="G8" t="s">
        <v>14</v>
      </c>
      <c r="H8" t="s">
        <v>5303</v>
      </c>
      <c r="I8" s="27">
        <v>10000000</v>
      </c>
      <c r="J8" t="s">
        <v>159</v>
      </c>
      <c r="L8" t="s">
        <v>101</v>
      </c>
      <c r="M8" t="s">
        <v>101</v>
      </c>
      <c r="N8" t="s">
        <v>101</v>
      </c>
      <c r="O8" t="s">
        <v>101</v>
      </c>
      <c r="P8" t="s">
        <v>101</v>
      </c>
      <c r="R8" s="19">
        <v>10000000</v>
      </c>
      <c r="S8" t="s">
        <v>101</v>
      </c>
      <c r="T8" t="s">
        <v>4726</v>
      </c>
      <c r="U8" t="s">
        <v>161</v>
      </c>
      <c r="V8" t="s">
        <v>101</v>
      </c>
      <c r="W8" t="s">
        <v>101</v>
      </c>
      <c r="X8" t="s">
        <v>4733</v>
      </c>
      <c r="Y8" t="s">
        <v>101</v>
      </c>
      <c r="Z8" t="s">
        <v>4729</v>
      </c>
      <c r="AA8" t="s">
        <v>166</v>
      </c>
      <c r="AB8" s="1">
        <v>46078</v>
      </c>
      <c r="AC8" t="s">
        <v>160</v>
      </c>
      <c r="AD8" t="s">
        <v>268</v>
      </c>
      <c r="AE8" t="s">
        <v>268</v>
      </c>
      <c r="AF8" s="26" t="s">
        <v>4977</v>
      </c>
      <c r="AG8" s="26" t="s">
        <v>5109</v>
      </c>
    </row>
    <row r="9" spans="1:33" x14ac:dyDescent="0.35">
      <c r="A9" t="s">
        <v>159</v>
      </c>
      <c r="B9" t="s">
        <v>5310</v>
      </c>
      <c r="C9" t="s">
        <v>19</v>
      </c>
      <c r="D9" t="s">
        <v>160</v>
      </c>
      <c r="E9" t="s">
        <v>1458</v>
      </c>
      <c r="F9" t="s">
        <v>4734</v>
      </c>
      <c r="G9" t="s">
        <v>14</v>
      </c>
      <c r="H9" t="s">
        <v>5311</v>
      </c>
      <c r="I9" s="27">
        <v>12154275</v>
      </c>
      <c r="J9" t="s">
        <v>159</v>
      </c>
      <c r="L9" t="s">
        <v>101</v>
      </c>
      <c r="M9" t="s">
        <v>101</v>
      </c>
      <c r="N9" t="s">
        <v>4722</v>
      </c>
      <c r="O9" t="s">
        <v>101</v>
      </c>
      <c r="P9" t="s">
        <v>101</v>
      </c>
      <c r="R9" s="19">
        <v>12154275</v>
      </c>
      <c r="S9" t="s">
        <v>101</v>
      </c>
      <c r="T9" t="s">
        <v>167</v>
      </c>
      <c r="U9" t="s">
        <v>161</v>
      </c>
      <c r="V9" t="s">
        <v>5044</v>
      </c>
      <c r="W9" t="s">
        <v>162</v>
      </c>
      <c r="X9" t="s">
        <v>5312</v>
      </c>
      <c r="Y9" t="s">
        <v>164</v>
      </c>
      <c r="Z9" t="s">
        <v>165</v>
      </c>
      <c r="AA9" t="s">
        <v>166</v>
      </c>
      <c r="AB9" s="1">
        <v>46079</v>
      </c>
      <c r="AC9" t="s">
        <v>160</v>
      </c>
      <c r="AD9" t="s">
        <v>268</v>
      </c>
      <c r="AE9" t="s">
        <v>268</v>
      </c>
      <c r="AF9" s="26" t="s">
        <v>4716</v>
      </c>
      <c r="AG9" s="26" t="s">
        <v>5045</v>
      </c>
    </row>
    <row r="10" spans="1:33" x14ac:dyDescent="0.35">
      <c r="A10" t="s">
        <v>159</v>
      </c>
      <c r="B10" t="s">
        <v>5359</v>
      </c>
      <c r="C10" t="s">
        <v>19</v>
      </c>
      <c r="D10" t="s">
        <v>160</v>
      </c>
      <c r="E10" t="s">
        <v>5141</v>
      </c>
      <c r="F10" t="s">
        <v>121</v>
      </c>
      <c r="G10" t="s">
        <v>121</v>
      </c>
      <c r="H10" t="s">
        <v>5360</v>
      </c>
      <c r="I10" s="27">
        <v>3000000</v>
      </c>
      <c r="J10" t="s">
        <v>159</v>
      </c>
      <c r="L10" t="s">
        <v>101</v>
      </c>
      <c r="M10" t="s">
        <v>101</v>
      </c>
      <c r="N10" t="s">
        <v>101</v>
      </c>
      <c r="O10" t="s">
        <v>101</v>
      </c>
      <c r="P10" t="s">
        <v>101</v>
      </c>
      <c r="R10" s="19">
        <v>3000000</v>
      </c>
      <c r="S10" t="s">
        <v>101</v>
      </c>
      <c r="T10" t="s">
        <v>44</v>
      </c>
      <c r="U10" t="s">
        <v>161</v>
      </c>
      <c r="V10" t="s">
        <v>5361</v>
      </c>
      <c r="W10" t="s">
        <v>101</v>
      </c>
      <c r="X10" t="s">
        <v>163</v>
      </c>
      <c r="Y10" t="s">
        <v>164</v>
      </c>
      <c r="Z10" t="s">
        <v>165</v>
      </c>
      <c r="AA10" t="s">
        <v>166</v>
      </c>
      <c r="AB10" s="1">
        <v>46080</v>
      </c>
      <c r="AC10" t="s">
        <v>160</v>
      </c>
      <c r="AD10" t="s">
        <v>268</v>
      </c>
      <c r="AE10" t="s">
        <v>268</v>
      </c>
      <c r="AF10" s="26" t="s">
        <v>4976</v>
      </c>
      <c r="AG10" s="26" t="s">
        <v>4985</v>
      </c>
    </row>
    <row r="11" spans="1:33" x14ac:dyDescent="0.35">
      <c r="A11" t="s">
        <v>159</v>
      </c>
      <c r="B11" t="s">
        <v>5364</v>
      </c>
      <c r="C11" t="s">
        <v>19</v>
      </c>
      <c r="D11" t="s">
        <v>4720</v>
      </c>
      <c r="E11" t="s">
        <v>5127</v>
      </c>
      <c r="F11" t="s">
        <v>121</v>
      </c>
      <c r="G11" t="s">
        <v>121</v>
      </c>
      <c r="H11" t="s">
        <v>5365</v>
      </c>
      <c r="I11" s="27">
        <v>4000000</v>
      </c>
      <c r="J11" t="s">
        <v>159</v>
      </c>
      <c r="L11" t="s">
        <v>101</v>
      </c>
      <c r="M11" t="s">
        <v>101</v>
      </c>
      <c r="N11" t="s">
        <v>101</v>
      </c>
      <c r="O11" t="s">
        <v>101</v>
      </c>
      <c r="P11" t="s">
        <v>101</v>
      </c>
      <c r="R11" s="19">
        <v>4000000</v>
      </c>
      <c r="S11" t="s">
        <v>101</v>
      </c>
      <c r="T11" t="s">
        <v>44</v>
      </c>
      <c r="U11" t="s">
        <v>161</v>
      </c>
      <c r="V11" t="s">
        <v>5043</v>
      </c>
      <c r="W11" t="s">
        <v>101</v>
      </c>
      <c r="X11" t="s">
        <v>101</v>
      </c>
      <c r="Y11" t="s">
        <v>101</v>
      </c>
      <c r="Z11" t="s">
        <v>101</v>
      </c>
      <c r="AA11" t="s">
        <v>166</v>
      </c>
      <c r="AB11" s="1">
        <v>46080</v>
      </c>
      <c r="AC11" t="s">
        <v>4720</v>
      </c>
      <c r="AD11" t="s">
        <v>268</v>
      </c>
      <c r="AE11" t="s">
        <v>268</v>
      </c>
      <c r="AF11" s="26" t="s">
        <v>4976</v>
      </c>
      <c r="AG11" s="26" t="s">
        <v>4981</v>
      </c>
    </row>
    <row r="12" spans="1:33" x14ac:dyDescent="0.35">
      <c r="A12" t="s">
        <v>159</v>
      </c>
      <c r="B12" t="s">
        <v>5315</v>
      </c>
      <c r="C12" t="s">
        <v>19</v>
      </c>
      <c r="D12" t="s">
        <v>160</v>
      </c>
      <c r="E12" t="s">
        <v>1618</v>
      </c>
      <c r="F12" t="s">
        <v>121</v>
      </c>
      <c r="G12" t="s">
        <v>121</v>
      </c>
      <c r="H12" t="s">
        <v>5316</v>
      </c>
      <c r="I12" s="27">
        <v>18000000</v>
      </c>
      <c r="J12" t="s">
        <v>159</v>
      </c>
      <c r="L12" t="s">
        <v>101</v>
      </c>
      <c r="M12" t="s">
        <v>101</v>
      </c>
      <c r="N12" t="s">
        <v>5317</v>
      </c>
      <c r="O12" t="s">
        <v>101</v>
      </c>
      <c r="P12" t="s">
        <v>101</v>
      </c>
      <c r="R12" s="19">
        <v>18000000</v>
      </c>
      <c r="S12" t="s">
        <v>101</v>
      </c>
      <c r="T12" t="s">
        <v>4726</v>
      </c>
      <c r="U12" t="s">
        <v>161</v>
      </c>
      <c r="V12" t="s">
        <v>101</v>
      </c>
      <c r="W12" t="s">
        <v>101</v>
      </c>
      <c r="X12" t="s">
        <v>101</v>
      </c>
      <c r="Y12" t="s">
        <v>101</v>
      </c>
      <c r="Z12" t="s">
        <v>101</v>
      </c>
      <c r="AA12" t="s">
        <v>166</v>
      </c>
      <c r="AB12" s="1">
        <v>46079</v>
      </c>
      <c r="AC12" t="s">
        <v>160</v>
      </c>
      <c r="AD12" t="s">
        <v>268</v>
      </c>
      <c r="AE12" t="s">
        <v>268</v>
      </c>
      <c r="AF12" s="26" t="s">
        <v>4716</v>
      </c>
      <c r="AG12" s="26" t="s">
        <v>4981</v>
      </c>
    </row>
    <row r="13" spans="1:33" x14ac:dyDescent="0.35">
      <c r="A13" t="s">
        <v>159</v>
      </c>
      <c r="B13" t="s">
        <v>5280</v>
      </c>
      <c r="C13" t="s">
        <v>19</v>
      </c>
      <c r="D13" t="s">
        <v>160</v>
      </c>
      <c r="E13" t="s">
        <v>5009</v>
      </c>
      <c r="F13" t="s">
        <v>4734</v>
      </c>
      <c r="G13" t="s">
        <v>3092</v>
      </c>
      <c r="H13" t="s">
        <v>5281</v>
      </c>
      <c r="I13" s="27">
        <v>1021370</v>
      </c>
      <c r="J13" t="s">
        <v>159</v>
      </c>
      <c r="L13" t="s">
        <v>101</v>
      </c>
      <c r="M13" t="s">
        <v>101</v>
      </c>
      <c r="N13" t="s">
        <v>4722</v>
      </c>
      <c r="O13" t="s">
        <v>101</v>
      </c>
      <c r="P13" t="s">
        <v>101</v>
      </c>
      <c r="R13" s="19">
        <v>1021370</v>
      </c>
      <c r="S13" t="s">
        <v>101</v>
      </c>
      <c r="T13" t="s">
        <v>167</v>
      </c>
      <c r="U13" t="s">
        <v>161</v>
      </c>
      <c r="V13" t="s">
        <v>5062</v>
      </c>
      <c r="W13" t="s">
        <v>101</v>
      </c>
      <c r="X13" t="s">
        <v>101</v>
      </c>
      <c r="Y13" t="s">
        <v>164</v>
      </c>
      <c r="Z13" t="s">
        <v>165</v>
      </c>
      <c r="AA13" t="s">
        <v>166</v>
      </c>
      <c r="AB13" s="1">
        <v>46079</v>
      </c>
      <c r="AC13" t="s">
        <v>160</v>
      </c>
      <c r="AD13" t="s">
        <v>268</v>
      </c>
      <c r="AE13" t="s">
        <v>268</v>
      </c>
      <c r="AF13" s="26" t="s">
        <v>4716</v>
      </c>
      <c r="AG13" s="26" t="s">
        <v>4984</v>
      </c>
    </row>
    <row r="14" spans="1:33" x14ac:dyDescent="0.35">
      <c r="A14" t="s">
        <v>159</v>
      </c>
      <c r="B14" t="s">
        <v>5290</v>
      </c>
      <c r="C14" t="s">
        <v>19</v>
      </c>
      <c r="D14" t="s">
        <v>160</v>
      </c>
      <c r="E14" t="s">
        <v>5020</v>
      </c>
      <c r="F14" t="s">
        <v>4734</v>
      </c>
      <c r="G14" t="s">
        <v>3092</v>
      </c>
      <c r="H14" t="s">
        <v>5291</v>
      </c>
      <c r="I14" s="27">
        <v>3000000</v>
      </c>
      <c r="J14" t="s">
        <v>159</v>
      </c>
      <c r="L14" t="s">
        <v>101</v>
      </c>
      <c r="M14" t="s">
        <v>101</v>
      </c>
      <c r="N14" t="s">
        <v>101</v>
      </c>
      <c r="O14" t="s">
        <v>101</v>
      </c>
      <c r="P14" t="s">
        <v>101</v>
      </c>
      <c r="R14" s="19">
        <v>3000000</v>
      </c>
      <c r="S14" t="s">
        <v>101</v>
      </c>
      <c r="T14" t="s">
        <v>167</v>
      </c>
      <c r="U14" t="s">
        <v>161</v>
      </c>
      <c r="V14" t="s">
        <v>4723</v>
      </c>
      <c r="W14" t="s">
        <v>101</v>
      </c>
      <c r="X14" t="s">
        <v>101</v>
      </c>
      <c r="Y14" t="s">
        <v>101</v>
      </c>
      <c r="Z14" t="s">
        <v>165</v>
      </c>
      <c r="AA14" t="s">
        <v>166</v>
      </c>
      <c r="AB14" s="1">
        <v>46079</v>
      </c>
      <c r="AC14" t="s">
        <v>160</v>
      </c>
      <c r="AD14" t="s">
        <v>268</v>
      </c>
      <c r="AE14" t="s">
        <v>268</v>
      </c>
      <c r="AF14" s="26" t="s">
        <v>5033</v>
      </c>
      <c r="AG14" s="26" t="s">
        <v>4984</v>
      </c>
    </row>
    <row r="15" spans="1:33" x14ac:dyDescent="0.35">
      <c r="A15" t="s">
        <v>159</v>
      </c>
      <c r="B15" t="s">
        <v>5300</v>
      </c>
      <c r="C15" t="s">
        <v>16</v>
      </c>
      <c r="D15" t="s">
        <v>4720</v>
      </c>
      <c r="E15" t="s">
        <v>2200</v>
      </c>
      <c r="F15" t="s">
        <v>4724</v>
      </c>
      <c r="G15" t="s">
        <v>25</v>
      </c>
      <c r="H15" t="s">
        <v>5301</v>
      </c>
      <c r="I15" s="27">
        <v>9000000</v>
      </c>
      <c r="J15" t="s">
        <v>159</v>
      </c>
      <c r="L15" t="s">
        <v>101</v>
      </c>
      <c r="M15" t="s">
        <v>101</v>
      </c>
      <c r="N15" t="s">
        <v>101</v>
      </c>
      <c r="O15" t="s">
        <v>101</v>
      </c>
      <c r="P15" t="s">
        <v>101</v>
      </c>
      <c r="R15" s="19">
        <v>9000000</v>
      </c>
      <c r="S15" t="s">
        <v>101</v>
      </c>
      <c r="T15" t="s">
        <v>167</v>
      </c>
      <c r="U15" t="s">
        <v>161</v>
      </c>
      <c r="V15" t="s">
        <v>4723</v>
      </c>
      <c r="W15" t="s">
        <v>162</v>
      </c>
      <c r="X15" t="s">
        <v>163</v>
      </c>
      <c r="Y15" t="s">
        <v>164</v>
      </c>
      <c r="Z15" t="s">
        <v>165</v>
      </c>
      <c r="AA15" t="s">
        <v>166</v>
      </c>
      <c r="AB15" s="1">
        <v>46079</v>
      </c>
      <c r="AC15" t="s">
        <v>4720</v>
      </c>
      <c r="AD15" t="s">
        <v>268</v>
      </c>
      <c r="AE15" t="s">
        <v>268</v>
      </c>
      <c r="AF15" s="26" t="s">
        <v>4615</v>
      </c>
      <c r="AG15" s="26" t="s">
        <v>4982</v>
      </c>
    </row>
    <row r="16" spans="1:33" x14ac:dyDescent="0.35">
      <c r="A16" t="s">
        <v>3479</v>
      </c>
      <c r="B16" t="s">
        <v>5343</v>
      </c>
      <c r="C16" t="s">
        <v>16</v>
      </c>
      <c r="D16" t="s">
        <v>276</v>
      </c>
      <c r="E16" t="s">
        <v>4915</v>
      </c>
      <c r="F16" t="s">
        <v>4724</v>
      </c>
      <c r="G16" t="s">
        <v>25</v>
      </c>
      <c r="H16" t="s">
        <v>5344</v>
      </c>
      <c r="I16" s="27">
        <v>8626600</v>
      </c>
      <c r="J16" t="s">
        <v>159</v>
      </c>
      <c r="L16" t="s">
        <v>101</v>
      </c>
      <c r="M16" t="s">
        <v>101</v>
      </c>
      <c r="N16" t="s">
        <v>101</v>
      </c>
      <c r="O16" t="s">
        <v>101</v>
      </c>
      <c r="P16" t="s">
        <v>101</v>
      </c>
      <c r="R16" s="19">
        <v>8983350</v>
      </c>
      <c r="S16" t="s">
        <v>101</v>
      </c>
      <c r="T16" t="s">
        <v>4726</v>
      </c>
      <c r="U16" t="s">
        <v>161</v>
      </c>
      <c r="V16" t="s">
        <v>101</v>
      </c>
      <c r="W16" t="s">
        <v>101</v>
      </c>
      <c r="X16" t="s">
        <v>4733</v>
      </c>
      <c r="Y16" t="s">
        <v>5333</v>
      </c>
      <c r="Z16" t="s">
        <v>5345</v>
      </c>
      <c r="AA16" t="s">
        <v>166</v>
      </c>
      <c r="AB16" s="1">
        <v>46078</v>
      </c>
      <c r="AC16" t="s">
        <v>276</v>
      </c>
      <c r="AD16" t="s">
        <v>268</v>
      </c>
      <c r="AE16" t="s">
        <v>268</v>
      </c>
      <c r="AF16" s="26" t="s">
        <v>1129</v>
      </c>
      <c r="AG16" s="26" t="s">
        <v>4616</v>
      </c>
    </row>
    <row r="17" spans="1:33" x14ac:dyDescent="0.35">
      <c r="A17" t="s">
        <v>159</v>
      </c>
      <c r="B17" t="s">
        <v>5294</v>
      </c>
      <c r="C17" t="s">
        <v>16</v>
      </c>
      <c r="D17" t="s">
        <v>4720</v>
      </c>
      <c r="E17" t="s">
        <v>4835</v>
      </c>
      <c r="F17" t="s">
        <v>208</v>
      </c>
      <c r="G17" t="s">
        <v>208</v>
      </c>
      <c r="H17" t="s">
        <v>5295</v>
      </c>
      <c r="I17" s="27">
        <v>4000000</v>
      </c>
      <c r="J17" t="s">
        <v>159</v>
      </c>
      <c r="L17" t="s">
        <v>101</v>
      </c>
      <c r="M17" t="s">
        <v>101</v>
      </c>
      <c r="N17" t="s">
        <v>5296</v>
      </c>
      <c r="O17" t="s">
        <v>5296</v>
      </c>
      <c r="P17" t="s">
        <v>4677</v>
      </c>
      <c r="R17" s="19">
        <v>4000000</v>
      </c>
      <c r="S17" t="s">
        <v>101</v>
      </c>
      <c r="T17" t="s">
        <v>44</v>
      </c>
      <c r="U17" t="s">
        <v>161</v>
      </c>
      <c r="V17" t="s">
        <v>4725</v>
      </c>
      <c r="W17" t="s">
        <v>162</v>
      </c>
      <c r="X17" t="s">
        <v>163</v>
      </c>
      <c r="Y17" t="s">
        <v>164</v>
      </c>
      <c r="Z17" t="s">
        <v>165</v>
      </c>
      <c r="AA17" t="s">
        <v>166</v>
      </c>
      <c r="AB17" s="1">
        <v>46076</v>
      </c>
      <c r="AC17" t="s">
        <v>4720</v>
      </c>
      <c r="AD17" t="s">
        <v>268</v>
      </c>
      <c r="AE17" t="s">
        <v>268</v>
      </c>
      <c r="AF17" s="26" t="s">
        <v>1129</v>
      </c>
      <c r="AG17" s="26" t="s">
        <v>4982</v>
      </c>
    </row>
    <row r="18" spans="1:33" x14ac:dyDescent="0.35">
      <c r="A18" t="s">
        <v>159</v>
      </c>
      <c r="B18" t="s">
        <v>5388</v>
      </c>
      <c r="C18" t="s">
        <v>16</v>
      </c>
      <c r="D18" t="s">
        <v>160</v>
      </c>
      <c r="E18" t="s">
        <v>1924</v>
      </c>
      <c r="F18" t="s">
        <v>208</v>
      </c>
      <c r="G18" t="s">
        <v>208</v>
      </c>
      <c r="H18" t="s">
        <v>5389</v>
      </c>
      <c r="I18" s="27">
        <v>18000000</v>
      </c>
      <c r="J18" t="s">
        <v>159</v>
      </c>
      <c r="L18" t="s">
        <v>101</v>
      </c>
      <c r="M18" t="s">
        <v>101</v>
      </c>
      <c r="N18" t="s">
        <v>5296</v>
      </c>
      <c r="O18" t="s">
        <v>5296</v>
      </c>
      <c r="P18" t="s">
        <v>4677</v>
      </c>
      <c r="R18" s="19">
        <v>18000000</v>
      </c>
      <c r="S18" t="s">
        <v>101</v>
      </c>
      <c r="T18" t="s">
        <v>167</v>
      </c>
      <c r="U18" t="s">
        <v>161</v>
      </c>
      <c r="V18" t="s">
        <v>5062</v>
      </c>
      <c r="W18" t="s">
        <v>162</v>
      </c>
      <c r="X18" t="s">
        <v>163</v>
      </c>
      <c r="Y18" t="s">
        <v>4732</v>
      </c>
      <c r="Z18" t="s">
        <v>165</v>
      </c>
      <c r="AA18" t="s">
        <v>166</v>
      </c>
      <c r="AB18" s="1">
        <v>46080</v>
      </c>
      <c r="AC18" t="s">
        <v>160</v>
      </c>
      <c r="AD18" t="s">
        <v>268</v>
      </c>
      <c r="AE18" t="s">
        <v>268</v>
      </c>
      <c r="AF18" s="26" t="s">
        <v>1223</v>
      </c>
      <c r="AG18" s="26" t="s">
        <v>4981</v>
      </c>
    </row>
    <row r="19" spans="1:33" x14ac:dyDescent="0.35">
      <c r="A19" t="s">
        <v>3479</v>
      </c>
      <c r="B19" t="s">
        <v>5339</v>
      </c>
      <c r="C19" t="s">
        <v>16</v>
      </c>
      <c r="D19" t="s">
        <v>160</v>
      </c>
      <c r="E19" t="s">
        <v>3709</v>
      </c>
      <c r="F19" t="s">
        <v>208</v>
      </c>
      <c r="G19" t="s">
        <v>208</v>
      </c>
      <c r="H19" t="s">
        <v>5340</v>
      </c>
      <c r="I19" s="27">
        <v>6556216</v>
      </c>
      <c r="J19" t="s">
        <v>159</v>
      </c>
      <c r="L19" t="s">
        <v>101</v>
      </c>
      <c r="M19" t="s">
        <v>101</v>
      </c>
      <c r="N19" t="s">
        <v>5296</v>
      </c>
      <c r="O19" t="s">
        <v>5296</v>
      </c>
      <c r="P19" t="s">
        <v>4677</v>
      </c>
      <c r="R19" s="19">
        <v>6556216</v>
      </c>
      <c r="S19" t="s">
        <v>101</v>
      </c>
      <c r="T19" t="s">
        <v>167</v>
      </c>
      <c r="U19" t="s">
        <v>161</v>
      </c>
      <c r="V19" t="s">
        <v>5048</v>
      </c>
      <c r="W19" t="s">
        <v>162</v>
      </c>
      <c r="X19" t="s">
        <v>163</v>
      </c>
      <c r="Y19" t="s">
        <v>4732</v>
      </c>
      <c r="Z19" t="s">
        <v>165</v>
      </c>
      <c r="AA19" t="s">
        <v>166</v>
      </c>
      <c r="AB19" s="1">
        <v>46077</v>
      </c>
      <c r="AC19" t="s">
        <v>160</v>
      </c>
      <c r="AD19" t="s">
        <v>268</v>
      </c>
      <c r="AE19" t="s">
        <v>268</v>
      </c>
      <c r="AF19" s="26" t="s">
        <v>1223</v>
      </c>
      <c r="AG19" s="26" t="s">
        <v>4987</v>
      </c>
    </row>
    <row r="20" spans="1:33" x14ac:dyDescent="0.35">
      <c r="A20" t="s">
        <v>159</v>
      </c>
      <c r="B20" t="s">
        <v>5371</v>
      </c>
      <c r="C20" t="s">
        <v>16</v>
      </c>
      <c r="D20" t="s">
        <v>160</v>
      </c>
      <c r="E20" t="s">
        <v>4797</v>
      </c>
      <c r="F20" t="s">
        <v>4696</v>
      </c>
      <c r="G20" t="s">
        <v>4696</v>
      </c>
      <c r="H20" t="s">
        <v>5372</v>
      </c>
      <c r="I20" s="27">
        <v>5000000</v>
      </c>
      <c r="J20" t="s">
        <v>159</v>
      </c>
      <c r="L20" t="s">
        <v>101</v>
      </c>
      <c r="M20" t="s">
        <v>101</v>
      </c>
      <c r="N20" t="s">
        <v>101</v>
      </c>
      <c r="O20" t="s">
        <v>101</v>
      </c>
      <c r="P20" t="s">
        <v>101</v>
      </c>
      <c r="R20" s="19">
        <v>5000000</v>
      </c>
      <c r="S20" t="s">
        <v>101</v>
      </c>
      <c r="T20" t="s">
        <v>44</v>
      </c>
      <c r="U20" t="s">
        <v>161</v>
      </c>
      <c r="V20" t="s">
        <v>5043</v>
      </c>
      <c r="W20" t="s">
        <v>101</v>
      </c>
      <c r="X20" t="s">
        <v>163</v>
      </c>
      <c r="Y20" t="s">
        <v>164</v>
      </c>
      <c r="Z20" t="s">
        <v>165</v>
      </c>
      <c r="AA20" t="s">
        <v>166</v>
      </c>
      <c r="AB20" s="1">
        <v>46080</v>
      </c>
      <c r="AC20" t="s">
        <v>160</v>
      </c>
      <c r="AD20" t="s">
        <v>268</v>
      </c>
      <c r="AE20" t="s">
        <v>268</v>
      </c>
      <c r="AF20" s="26" t="s">
        <v>4629</v>
      </c>
      <c r="AG20" s="26" t="s">
        <v>4980</v>
      </c>
    </row>
    <row r="21" spans="1:33" x14ac:dyDescent="0.35">
      <c r="A21" t="s">
        <v>159</v>
      </c>
      <c r="B21" t="s">
        <v>5292</v>
      </c>
      <c r="C21" t="s">
        <v>17</v>
      </c>
      <c r="D21" t="s">
        <v>4720</v>
      </c>
      <c r="E21" t="s">
        <v>5213</v>
      </c>
      <c r="F21" t="s">
        <v>4699</v>
      </c>
      <c r="G21" t="s">
        <v>37</v>
      </c>
      <c r="H21" t="s">
        <v>5293</v>
      </c>
      <c r="I21" s="27">
        <v>4000000</v>
      </c>
      <c r="J21" t="s">
        <v>159</v>
      </c>
      <c r="L21" t="s">
        <v>101</v>
      </c>
      <c r="M21" t="s">
        <v>101</v>
      </c>
      <c r="N21" t="s">
        <v>101</v>
      </c>
      <c r="O21" t="s">
        <v>101</v>
      </c>
      <c r="P21" t="s">
        <v>101</v>
      </c>
      <c r="R21" s="19">
        <v>4000000</v>
      </c>
      <c r="S21" t="s">
        <v>101</v>
      </c>
      <c r="T21" t="s">
        <v>167</v>
      </c>
      <c r="U21" t="s">
        <v>161</v>
      </c>
      <c r="V21" t="s">
        <v>4723</v>
      </c>
      <c r="W21" t="s">
        <v>101</v>
      </c>
      <c r="X21" t="s">
        <v>163</v>
      </c>
      <c r="Y21" t="s">
        <v>164</v>
      </c>
      <c r="Z21" t="s">
        <v>165</v>
      </c>
      <c r="AA21" t="s">
        <v>166</v>
      </c>
      <c r="AB21" s="1">
        <v>46076</v>
      </c>
      <c r="AC21" t="s">
        <v>4720</v>
      </c>
      <c r="AD21" t="s">
        <v>268</v>
      </c>
      <c r="AE21" t="s">
        <v>268</v>
      </c>
      <c r="AF21" s="26" t="s">
        <v>4714</v>
      </c>
      <c r="AG21" s="26" t="s">
        <v>4985</v>
      </c>
    </row>
    <row r="22" spans="1:33" x14ac:dyDescent="0.35">
      <c r="A22" t="s">
        <v>159</v>
      </c>
      <c r="B22" t="s">
        <v>5318</v>
      </c>
      <c r="C22" t="s">
        <v>17</v>
      </c>
      <c r="D22" t="s">
        <v>160</v>
      </c>
      <c r="E22" t="s">
        <v>1481</v>
      </c>
      <c r="F22" t="s">
        <v>4699</v>
      </c>
      <c r="G22" t="s">
        <v>28</v>
      </c>
      <c r="H22" t="s">
        <v>5319</v>
      </c>
      <c r="I22" s="27">
        <v>20000000</v>
      </c>
      <c r="J22" t="s">
        <v>159</v>
      </c>
      <c r="L22" t="s">
        <v>101</v>
      </c>
      <c r="M22" t="s">
        <v>101</v>
      </c>
      <c r="N22" t="s">
        <v>101</v>
      </c>
      <c r="O22" t="s">
        <v>101</v>
      </c>
      <c r="P22" t="s">
        <v>101</v>
      </c>
      <c r="R22" s="19">
        <v>20000000</v>
      </c>
      <c r="S22" t="s">
        <v>101</v>
      </c>
      <c r="T22" t="s">
        <v>167</v>
      </c>
      <c r="U22" t="s">
        <v>161</v>
      </c>
      <c r="V22" t="s">
        <v>4495</v>
      </c>
      <c r="W22" t="s">
        <v>162</v>
      </c>
      <c r="X22" t="s">
        <v>163</v>
      </c>
      <c r="Y22" t="s">
        <v>164</v>
      </c>
      <c r="Z22" t="s">
        <v>165</v>
      </c>
      <c r="AA22" t="s">
        <v>166</v>
      </c>
      <c r="AB22" s="1">
        <v>46079</v>
      </c>
      <c r="AC22" t="s">
        <v>160</v>
      </c>
      <c r="AD22" t="s">
        <v>268</v>
      </c>
      <c r="AE22" t="s">
        <v>268</v>
      </c>
      <c r="AF22" s="26" t="s">
        <v>4715</v>
      </c>
      <c r="AG22" s="26" t="s">
        <v>4984</v>
      </c>
    </row>
    <row r="23" spans="1:33" x14ac:dyDescent="0.35">
      <c r="A23" t="s">
        <v>3479</v>
      </c>
      <c r="B23" t="s">
        <v>5337</v>
      </c>
      <c r="C23" t="s">
        <v>17</v>
      </c>
      <c r="D23" t="s">
        <v>276</v>
      </c>
      <c r="E23" t="s">
        <v>4340</v>
      </c>
      <c r="F23" t="s">
        <v>4699</v>
      </c>
      <c r="G23" t="s">
        <v>28</v>
      </c>
      <c r="H23" t="s">
        <v>5338</v>
      </c>
      <c r="I23" s="27">
        <v>6297418</v>
      </c>
      <c r="J23" t="s">
        <v>159</v>
      </c>
      <c r="L23" t="s">
        <v>101</v>
      </c>
      <c r="M23" t="s">
        <v>101</v>
      </c>
      <c r="N23" t="s">
        <v>101</v>
      </c>
      <c r="O23" t="s">
        <v>101</v>
      </c>
      <c r="P23" t="s">
        <v>101</v>
      </c>
      <c r="R23" s="19">
        <v>6297418</v>
      </c>
      <c r="S23" t="s">
        <v>101</v>
      </c>
      <c r="T23" t="s">
        <v>167</v>
      </c>
      <c r="U23" t="s">
        <v>161</v>
      </c>
      <c r="V23" t="s">
        <v>4495</v>
      </c>
      <c r="W23" t="s">
        <v>162</v>
      </c>
      <c r="X23" t="s">
        <v>163</v>
      </c>
      <c r="Y23" t="s">
        <v>164</v>
      </c>
      <c r="Z23" t="s">
        <v>165</v>
      </c>
      <c r="AA23" t="s">
        <v>166</v>
      </c>
      <c r="AB23" s="1">
        <v>46079</v>
      </c>
      <c r="AC23" t="s">
        <v>276</v>
      </c>
      <c r="AD23" t="s">
        <v>268</v>
      </c>
      <c r="AE23" t="s">
        <v>268</v>
      </c>
      <c r="AF23" s="26" t="s">
        <v>1224</v>
      </c>
      <c r="AG23" s="26" t="s">
        <v>4982</v>
      </c>
    </row>
    <row r="24" spans="1:33" x14ac:dyDescent="0.35">
      <c r="A24" t="s">
        <v>159</v>
      </c>
      <c r="B24" t="s">
        <v>5366</v>
      </c>
      <c r="C24" t="s">
        <v>75</v>
      </c>
      <c r="D24" t="s">
        <v>160</v>
      </c>
      <c r="E24" t="s">
        <v>5367</v>
      </c>
      <c r="F24" t="s">
        <v>4721</v>
      </c>
      <c r="G24" t="s">
        <v>23</v>
      </c>
      <c r="H24" t="s">
        <v>5368</v>
      </c>
      <c r="I24" s="27">
        <v>4000000</v>
      </c>
      <c r="J24" t="s">
        <v>159</v>
      </c>
      <c r="L24" t="s">
        <v>101</v>
      </c>
      <c r="M24" t="s">
        <v>101</v>
      </c>
      <c r="N24" t="s">
        <v>101</v>
      </c>
      <c r="O24" t="s">
        <v>101</v>
      </c>
      <c r="P24" t="s">
        <v>101</v>
      </c>
      <c r="R24" s="19">
        <v>4000000</v>
      </c>
      <c r="S24" t="s">
        <v>101</v>
      </c>
      <c r="T24" t="s">
        <v>5348</v>
      </c>
      <c r="U24" t="s">
        <v>161</v>
      </c>
      <c r="V24" t="s">
        <v>5369</v>
      </c>
      <c r="W24" t="s">
        <v>162</v>
      </c>
      <c r="X24" t="s">
        <v>163</v>
      </c>
      <c r="Y24" t="s">
        <v>4732</v>
      </c>
      <c r="Z24" t="s">
        <v>165</v>
      </c>
      <c r="AA24" t="s">
        <v>166</v>
      </c>
      <c r="AB24" s="1">
        <v>46080</v>
      </c>
      <c r="AC24" t="s">
        <v>160</v>
      </c>
      <c r="AD24" t="s">
        <v>268</v>
      </c>
      <c r="AE24" t="s">
        <v>268</v>
      </c>
      <c r="AF24" s="26" t="s">
        <v>4719</v>
      </c>
      <c r="AG24" s="26" t="s">
        <v>5370</v>
      </c>
    </row>
    <row r="25" spans="1:33" x14ac:dyDescent="0.35">
      <c r="A25" t="s">
        <v>159</v>
      </c>
      <c r="B25" t="s">
        <v>5354</v>
      </c>
      <c r="C25" t="s">
        <v>75</v>
      </c>
      <c r="D25" t="s">
        <v>4720</v>
      </c>
      <c r="E25" t="s">
        <v>5181</v>
      </c>
      <c r="F25" t="s">
        <v>4721</v>
      </c>
      <c r="G25" t="s">
        <v>88</v>
      </c>
      <c r="H25" t="s">
        <v>5355</v>
      </c>
      <c r="I25" s="27">
        <v>1032183.72</v>
      </c>
      <c r="J25" t="s">
        <v>159</v>
      </c>
      <c r="L25" t="s">
        <v>101</v>
      </c>
      <c r="M25" t="s">
        <v>101</v>
      </c>
      <c r="N25" t="s">
        <v>5356</v>
      </c>
      <c r="O25" t="s">
        <v>101</v>
      </c>
      <c r="P25" t="s">
        <v>101</v>
      </c>
      <c r="Q25">
        <v>36</v>
      </c>
      <c r="R25" s="19">
        <v>1032183.72</v>
      </c>
      <c r="S25" t="s">
        <v>101</v>
      </c>
      <c r="T25" t="s">
        <v>167</v>
      </c>
      <c r="U25" t="s">
        <v>161</v>
      </c>
      <c r="V25" t="s">
        <v>5357</v>
      </c>
      <c r="W25" t="s">
        <v>162</v>
      </c>
      <c r="X25" t="s">
        <v>163</v>
      </c>
      <c r="Y25" t="s">
        <v>164</v>
      </c>
      <c r="Z25" t="s">
        <v>165</v>
      </c>
      <c r="AA25" t="s">
        <v>166</v>
      </c>
      <c r="AB25" s="1">
        <v>46080</v>
      </c>
      <c r="AC25" t="s">
        <v>4720</v>
      </c>
      <c r="AD25" t="s">
        <v>268</v>
      </c>
      <c r="AE25" t="s">
        <v>268</v>
      </c>
      <c r="AF25" s="26" t="s">
        <v>5053</v>
      </c>
      <c r="AG25" s="26" t="s">
        <v>4981</v>
      </c>
    </row>
    <row r="26" spans="1:33" x14ac:dyDescent="0.35">
      <c r="A26" t="s">
        <v>159</v>
      </c>
      <c r="B26" t="s">
        <v>5282</v>
      </c>
      <c r="C26" t="s">
        <v>75</v>
      </c>
      <c r="D26" t="s">
        <v>4720</v>
      </c>
      <c r="E26" t="s">
        <v>5283</v>
      </c>
      <c r="F26" t="s">
        <v>4721</v>
      </c>
      <c r="G26" t="s">
        <v>88</v>
      </c>
      <c r="H26" t="s">
        <v>5284</v>
      </c>
      <c r="I26" s="27">
        <v>2142241.38</v>
      </c>
      <c r="J26" t="s">
        <v>159</v>
      </c>
      <c r="L26" t="s">
        <v>101</v>
      </c>
      <c r="M26" t="s">
        <v>101</v>
      </c>
      <c r="N26" t="s">
        <v>101</v>
      </c>
      <c r="O26" t="s">
        <v>101</v>
      </c>
      <c r="P26" t="s">
        <v>101</v>
      </c>
      <c r="R26" s="19">
        <v>2142241.38</v>
      </c>
      <c r="S26" t="s">
        <v>101</v>
      </c>
      <c r="T26" t="s">
        <v>167</v>
      </c>
      <c r="U26" t="s">
        <v>5046</v>
      </c>
      <c r="V26" t="s">
        <v>4616</v>
      </c>
      <c r="W26" t="s">
        <v>162</v>
      </c>
      <c r="X26" t="s">
        <v>163</v>
      </c>
      <c r="Y26" t="s">
        <v>164</v>
      </c>
      <c r="Z26" t="s">
        <v>165</v>
      </c>
      <c r="AA26" t="s">
        <v>166</v>
      </c>
      <c r="AB26" s="1">
        <v>46078</v>
      </c>
      <c r="AC26" t="s">
        <v>4720</v>
      </c>
      <c r="AD26" t="s">
        <v>268</v>
      </c>
      <c r="AE26" t="s">
        <v>4664</v>
      </c>
      <c r="AF26" s="26" t="s">
        <v>5285</v>
      </c>
      <c r="AG26" s="26" t="s">
        <v>4991</v>
      </c>
    </row>
    <row r="27" spans="1:33" x14ac:dyDescent="0.35">
      <c r="A27" t="s">
        <v>159</v>
      </c>
      <c r="B27" t="s">
        <v>5320</v>
      </c>
      <c r="C27" t="s">
        <v>75</v>
      </c>
      <c r="D27" t="s">
        <v>160</v>
      </c>
      <c r="E27" t="s">
        <v>826</v>
      </c>
      <c r="F27" t="s">
        <v>4721</v>
      </c>
      <c r="G27" t="s">
        <v>925</v>
      </c>
      <c r="H27" t="s">
        <v>5321</v>
      </c>
      <c r="I27" s="27">
        <v>20000000</v>
      </c>
      <c r="J27" t="s">
        <v>159</v>
      </c>
      <c r="L27" t="s">
        <v>101</v>
      </c>
      <c r="M27" t="s">
        <v>101</v>
      </c>
      <c r="N27" t="s">
        <v>5296</v>
      </c>
      <c r="O27" t="s">
        <v>101</v>
      </c>
      <c r="P27" t="s">
        <v>101</v>
      </c>
      <c r="R27" s="19">
        <v>20000000</v>
      </c>
      <c r="S27" t="s">
        <v>101</v>
      </c>
      <c r="T27" t="s">
        <v>4756</v>
      </c>
      <c r="U27" t="s">
        <v>161</v>
      </c>
      <c r="V27" t="s">
        <v>5065</v>
      </c>
      <c r="W27" t="s">
        <v>162</v>
      </c>
      <c r="X27" t="s">
        <v>163</v>
      </c>
      <c r="Y27" t="s">
        <v>5064</v>
      </c>
      <c r="Z27" t="s">
        <v>5060</v>
      </c>
      <c r="AA27" t="s">
        <v>166</v>
      </c>
      <c r="AB27" s="1">
        <v>46080</v>
      </c>
      <c r="AC27" t="s">
        <v>160</v>
      </c>
      <c r="AD27" t="s">
        <v>268</v>
      </c>
      <c r="AE27" t="s">
        <v>268</v>
      </c>
      <c r="AF27" s="26" t="s">
        <v>1129</v>
      </c>
      <c r="AG27" s="26" t="s">
        <v>4989</v>
      </c>
    </row>
    <row r="28" spans="1:33" x14ac:dyDescent="0.35">
      <c r="A28" t="s">
        <v>159</v>
      </c>
      <c r="B28" t="s">
        <v>5298</v>
      </c>
      <c r="C28" t="s">
        <v>75</v>
      </c>
      <c r="D28" t="s">
        <v>160</v>
      </c>
      <c r="E28" t="s">
        <v>661</v>
      </c>
      <c r="F28" t="s">
        <v>4721</v>
      </c>
      <c r="G28" t="s">
        <v>207</v>
      </c>
      <c r="H28" t="s">
        <v>5299</v>
      </c>
      <c r="I28" s="27">
        <v>4000000</v>
      </c>
      <c r="J28" t="s">
        <v>159</v>
      </c>
      <c r="L28" t="s">
        <v>101</v>
      </c>
      <c r="M28" t="s">
        <v>101</v>
      </c>
      <c r="N28" t="s">
        <v>101</v>
      </c>
      <c r="O28" t="s">
        <v>101</v>
      </c>
      <c r="P28" t="s">
        <v>101</v>
      </c>
      <c r="R28" s="19">
        <v>4000000</v>
      </c>
      <c r="S28" t="s">
        <v>101</v>
      </c>
      <c r="T28" t="s">
        <v>44</v>
      </c>
      <c r="U28" t="s">
        <v>161</v>
      </c>
      <c r="V28" t="s">
        <v>5043</v>
      </c>
      <c r="W28" t="s">
        <v>101</v>
      </c>
      <c r="X28" t="s">
        <v>101</v>
      </c>
      <c r="Y28" t="s">
        <v>164</v>
      </c>
      <c r="Z28" t="s">
        <v>165</v>
      </c>
      <c r="AA28" t="s">
        <v>166</v>
      </c>
      <c r="AB28" s="1">
        <v>46076</v>
      </c>
      <c r="AC28" t="s">
        <v>160</v>
      </c>
      <c r="AD28" t="s">
        <v>268</v>
      </c>
      <c r="AE28" t="s">
        <v>268</v>
      </c>
      <c r="AF28" s="26" t="s">
        <v>1129</v>
      </c>
      <c r="AG28" s="26" t="s">
        <v>4981</v>
      </c>
    </row>
    <row r="29" spans="1:33" x14ac:dyDescent="0.35">
      <c r="A29" t="s">
        <v>159</v>
      </c>
      <c r="B29" t="s">
        <v>5406</v>
      </c>
      <c r="C29" t="s">
        <v>75</v>
      </c>
      <c r="D29" t="s">
        <v>160</v>
      </c>
      <c r="E29" t="s">
        <v>3250</v>
      </c>
      <c r="F29" t="s">
        <v>207</v>
      </c>
      <c r="G29" t="s">
        <v>207</v>
      </c>
      <c r="H29" t="s">
        <v>5407</v>
      </c>
      <c r="I29" s="27">
        <v>20000000</v>
      </c>
      <c r="J29" t="s">
        <v>159</v>
      </c>
      <c r="L29" t="s">
        <v>101</v>
      </c>
      <c r="M29" t="s">
        <v>101</v>
      </c>
      <c r="N29" t="s">
        <v>101</v>
      </c>
      <c r="O29" t="s">
        <v>101</v>
      </c>
      <c r="P29" t="s">
        <v>101</v>
      </c>
      <c r="R29" s="19">
        <v>20000000</v>
      </c>
      <c r="S29" t="s">
        <v>101</v>
      </c>
      <c r="T29" t="s">
        <v>167</v>
      </c>
      <c r="U29" t="s">
        <v>161</v>
      </c>
      <c r="V29" t="s">
        <v>4700</v>
      </c>
      <c r="W29" t="s">
        <v>101</v>
      </c>
      <c r="X29" t="s">
        <v>101</v>
      </c>
      <c r="Y29" t="s">
        <v>101</v>
      </c>
      <c r="Z29" t="s">
        <v>165</v>
      </c>
      <c r="AA29" t="s">
        <v>166</v>
      </c>
      <c r="AB29" s="1">
        <v>46080</v>
      </c>
      <c r="AC29" t="s">
        <v>160</v>
      </c>
      <c r="AD29" t="s">
        <v>268</v>
      </c>
      <c r="AE29" t="s">
        <v>268</v>
      </c>
      <c r="AF29" s="26" t="s">
        <v>1223</v>
      </c>
      <c r="AG29" s="26" t="s">
        <v>4981</v>
      </c>
    </row>
    <row r="30" spans="1:33" x14ac:dyDescent="0.35">
      <c r="A30" t="s">
        <v>159</v>
      </c>
      <c r="B30" t="s">
        <v>5297</v>
      </c>
      <c r="C30" t="s">
        <v>75</v>
      </c>
      <c r="D30" t="s">
        <v>160</v>
      </c>
      <c r="E30" t="s">
        <v>2542</v>
      </c>
      <c r="F30" t="s">
        <v>4721</v>
      </c>
      <c r="G30" t="s">
        <v>12</v>
      </c>
      <c r="H30" t="s">
        <v>44</v>
      </c>
      <c r="I30" s="27">
        <v>4000000</v>
      </c>
      <c r="J30" t="s">
        <v>159</v>
      </c>
      <c r="L30" t="s">
        <v>101</v>
      </c>
      <c r="M30" t="s">
        <v>101</v>
      </c>
      <c r="N30" t="s">
        <v>101</v>
      </c>
      <c r="O30" t="s">
        <v>101</v>
      </c>
      <c r="P30" t="s">
        <v>101</v>
      </c>
      <c r="R30" s="19">
        <v>4000000</v>
      </c>
      <c r="S30" t="s">
        <v>101</v>
      </c>
      <c r="T30" t="s">
        <v>44</v>
      </c>
      <c r="U30" t="s">
        <v>161</v>
      </c>
      <c r="V30" t="s">
        <v>4725</v>
      </c>
      <c r="W30" t="s">
        <v>162</v>
      </c>
      <c r="X30" t="s">
        <v>163</v>
      </c>
      <c r="Y30" t="s">
        <v>164</v>
      </c>
      <c r="Z30" t="s">
        <v>165</v>
      </c>
      <c r="AA30" t="s">
        <v>166</v>
      </c>
      <c r="AB30" s="1">
        <v>46080</v>
      </c>
      <c r="AC30" t="s">
        <v>160</v>
      </c>
      <c r="AD30" t="s">
        <v>268</v>
      </c>
      <c r="AE30" t="s">
        <v>268</v>
      </c>
      <c r="AF30" s="26" t="s">
        <v>4983</v>
      </c>
      <c r="AG30" s="26" t="s">
        <v>4987</v>
      </c>
    </row>
    <row r="31" spans="1:33" x14ac:dyDescent="0.35">
      <c r="A31" t="s">
        <v>159</v>
      </c>
      <c r="B31" t="s">
        <v>5330</v>
      </c>
      <c r="C31" t="s">
        <v>75</v>
      </c>
      <c r="D31" t="s">
        <v>276</v>
      </c>
      <c r="E31" t="s">
        <v>557</v>
      </c>
      <c r="F31" t="s">
        <v>4721</v>
      </c>
      <c r="G31" t="s">
        <v>12</v>
      </c>
      <c r="H31" t="s">
        <v>5331</v>
      </c>
      <c r="I31" s="27">
        <v>35000000</v>
      </c>
      <c r="J31" t="s">
        <v>159</v>
      </c>
      <c r="L31" t="s">
        <v>101</v>
      </c>
      <c r="M31" t="s">
        <v>101</v>
      </c>
      <c r="N31" t="s">
        <v>5332</v>
      </c>
      <c r="O31" t="s">
        <v>101</v>
      </c>
      <c r="P31" t="s">
        <v>101</v>
      </c>
      <c r="R31" s="19">
        <v>35000000</v>
      </c>
      <c r="S31" t="s">
        <v>101</v>
      </c>
      <c r="T31" t="s">
        <v>4726</v>
      </c>
      <c r="U31" t="s">
        <v>161</v>
      </c>
      <c r="V31" t="s">
        <v>101</v>
      </c>
      <c r="W31" t="s">
        <v>101</v>
      </c>
      <c r="X31" t="s">
        <v>4733</v>
      </c>
      <c r="Y31" t="s">
        <v>5333</v>
      </c>
      <c r="Z31" t="s">
        <v>5334</v>
      </c>
      <c r="AA31" t="s">
        <v>166</v>
      </c>
      <c r="AB31" s="1">
        <v>46076</v>
      </c>
      <c r="AC31" t="s">
        <v>276</v>
      </c>
      <c r="AD31" t="s">
        <v>268</v>
      </c>
      <c r="AE31" t="s">
        <v>268</v>
      </c>
      <c r="AF31" s="26" t="s">
        <v>4983</v>
      </c>
      <c r="AG31" s="26" t="s">
        <v>4990</v>
      </c>
    </row>
    <row r="32" spans="1:33" hidden="1" x14ac:dyDescent="0.35">
      <c r="A32" t="s">
        <v>159</v>
      </c>
      <c r="B32" t="s">
        <v>5373</v>
      </c>
      <c r="C32" t="s">
        <v>4617</v>
      </c>
      <c r="D32" t="s">
        <v>160</v>
      </c>
      <c r="E32" t="s">
        <v>72</v>
      </c>
      <c r="F32" t="s">
        <v>5374</v>
      </c>
      <c r="G32" t="s">
        <v>32</v>
      </c>
      <c r="H32" t="s">
        <v>5375</v>
      </c>
      <c r="I32" s="27">
        <v>10000000</v>
      </c>
      <c r="J32" t="s">
        <v>159</v>
      </c>
      <c r="L32" t="s">
        <v>101</v>
      </c>
      <c r="M32" t="s">
        <v>101</v>
      </c>
      <c r="N32" t="s">
        <v>101</v>
      </c>
      <c r="O32" t="s">
        <v>101</v>
      </c>
      <c r="P32" t="s">
        <v>101</v>
      </c>
      <c r="R32" s="19">
        <v>10000000</v>
      </c>
      <c r="S32" t="s">
        <v>101</v>
      </c>
      <c r="T32" t="s">
        <v>167</v>
      </c>
      <c r="U32" t="s">
        <v>161</v>
      </c>
      <c r="V32" t="s">
        <v>4700</v>
      </c>
      <c r="W32" t="s">
        <v>101</v>
      </c>
      <c r="X32" t="s">
        <v>163</v>
      </c>
      <c r="Y32" t="s">
        <v>164</v>
      </c>
      <c r="Z32" t="s">
        <v>165</v>
      </c>
      <c r="AA32" t="s">
        <v>166</v>
      </c>
      <c r="AB32" s="1">
        <v>46080</v>
      </c>
      <c r="AC32" t="s">
        <v>160</v>
      </c>
      <c r="AD32" t="s">
        <v>268</v>
      </c>
      <c r="AE32" t="s">
        <v>268</v>
      </c>
      <c r="AF32" s="26" t="s">
        <v>4615</v>
      </c>
      <c r="AG32" s="26" t="s">
        <v>4981</v>
      </c>
    </row>
    <row r="33" spans="1:33" hidden="1" x14ac:dyDescent="0.35">
      <c r="A33" t="s">
        <v>159</v>
      </c>
      <c r="B33" t="s">
        <v>5308</v>
      </c>
      <c r="C33" t="s">
        <v>4617</v>
      </c>
      <c r="D33" t="s">
        <v>160</v>
      </c>
      <c r="E33" t="s">
        <v>5094</v>
      </c>
      <c r="F33" t="s">
        <v>4736</v>
      </c>
      <c r="G33" t="s">
        <v>70</v>
      </c>
      <c r="H33" t="s">
        <v>5309</v>
      </c>
      <c r="I33" s="27">
        <v>12000000</v>
      </c>
      <c r="J33" t="s">
        <v>159</v>
      </c>
      <c r="L33" t="s">
        <v>101</v>
      </c>
      <c r="M33" t="s">
        <v>101</v>
      </c>
      <c r="N33" t="s">
        <v>4731</v>
      </c>
      <c r="O33" t="s">
        <v>101</v>
      </c>
      <c r="P33" t="s">
        <v>101</v>
      </c>
      <c r="R33" s="19">
        <v>12000000</v>
      </c>
      <c r="S33" t="s">
        <v>101</v>
      </c>
      <c r="T33" t="s">
        <v>167</v>
      </c>
      <c r="U33" t="s">
        <v>161</v>
      </c>
      <c r="V33" t="s">
        <v>4663</v>
      </c>
      <c r="W33" t="s">
        <v>162</v>
      </c>
      <c r="X33" t="s">
        <v>163</v>
      </c>
      <c r="Y33" t="s">
        <v>164</v>
      </c>
      <c r="Z33" t="s">
        <v>165</v>
      </c>
      <c r="AA33" t="s">
        <v>166</v>
      </c>
      <c r="AB33" s="1">
        <v>46080</v>
      </c>
      <c r="AC33" t="s">
        <v>160</v>
      </c>
      <c r="AD33" t="s">
        <v>268</v>
      </c>
      <c r="AE33" t="s">
        <v>268</v>
      </c>
      <c r="AF33" s="26" t="s">
        <v>4713</v>
      </c>
      <c r="AG33" s="26" t="s">
        <v>4663</v>
      </c>
    </row>
    <row r="34" spans="1:33" hidden="1" x14ac:dyDescent="0.35">
      <c r="A34" t="s">
        <v>159</v>
      </c>
      <c r="B34" t="s">
        <v>5313</v>
      </c>
      <c r="C34" t="s">
        <v>4617</v>
      </c>
      <c r="D34" t="s">
        <v>160</v>
      </c>
      <c r="E34" t="s">
        <v>1992</v>
      </c>
      <c r="F34" t="s">
        <v>4736</v>
      </c>
      <c r="G34" t="s">
        <v>70</v>
      </c>
      <c r="H34" t="s">
        <v>5314</v>
      </c>
      <c r="I34" s="27">
        <v>14000000</v>
      </c>
      <c r="J34" t="s">
        <v>159</v>
      </c>
      <c r="L34" t="s">
        <v>101</v>
      </c>
      <c r="M34" t="s">
        <v>101</v>
      </c>
      <c r="N34" t="s">
        <v>4942</v>
      </c>
      <c r="O34" t="s">
        <v>101</v>
      </c>
      <c r="P34" t="s">
        <v>101</v>
      </c>
      <c r="R34" s="19">
        <v>14000000</v>
      </c>
      <c r="S34" t="s">
        <v>101</v>
      </c>
      <c r="T34" t="s">
        <v>167</v>
      </c>
      <c r="U34" t="s">
        <v>161</v>
      </c>
      <c r="V34" t="s">
        <v>4663</v>
      </c>
      <c r="W34" t="s">
        <v>162</v>
      </c>
      <c r="X34" t="s">
        <v>163</v>
      </c>
      <c r="Y34" t="s">
        <v>164</v>
      </c>
      <c r="Z34" t="s">
        <v>165</v>
      </c>
      <c r="AA34" t="s">
        <v>166</v>
      </c>
      <c r="AB34" s="1">
        <v>46080</v>
      </c>
      <c r="AC34" t="s">
        <v>160</v>
      </c>
      <c r="AD34" t="s">
        <v>268</v>
      </c>
      <c r="AE34" t="s">
        <v>268</v>
      </c>
      <c r="AF34" s="26" t="s">
        <v>4713</v>
      </c>
      <c r="AG34" s="26" t="s">
        <v>4663</v>
      </c>
    </row>
    <row r="35" spans="1:33" hidden="1" x14ac:dyDescent="0.35">
      <c r="A35" t="s">
        <v>159</v>
      </c>
      <c r="B35" t="s">
        <v>5381</v>
      </c>
      <c r="C35" t="s">
        <v>4617</v>
      </c>
      <c r="D35" t="s">
        <v>160</v>
      </c>
      <c r="E35" t="s">
        <v>5382</v>
      </c>
      <c r="F35" t="s">
        <v>1511</v>
      </c>
      <c r="G35" t="s">
        <v>1511</v>
      </c>
      <c r="H35" t="s">
        <v>5383</v>
      </c>
      <c r="I35" s="27">
        <v>15000000</v>
      </c>
      <c r="J35" t="s">
        <v>159</v>
      </c>
      <c r="L35" t="s">
        <v>101</v>
      </c>
      <c r="M35" t="s">
        <v>101</v>
      </c>
      <c r="N35" t="s">
        <v>101</v>
      </c>
      <c r="O35" t="s">
        <v>101</v>
      </c>
      <c r="P35" t="s">
        <v>101</v>
      </c>
      <c r="R35" s="19">
        <v>15000000</v>
      </c>
      <c r="S35" t="s">
        <v>101</v>
      </c>
      <c r="T35" t="s">
        <v>5384</v>
      </c>
      <c r="U35" t="s">
        <v>161</v>
      </c>
      <c r="V35" t="s">
        <v>5385</v>
      </c>
      <c r="W35" t="s">
        <v>101</v>
      </c>
      <c r="X35" t="s">
        <v>163</v>
      </c>
      <c r="Y35" t="s">
        <v>164</v>
      </c>
      <c r="Z35" t="s">
        <v>165</v>
      </c>
      <c r="AA35" t="s">
        <v>166</v>
      </c>
      <c r="AB35" s="1">
        <v>46080</v>
      </c>
      <c r="AC35" t="s">
        <v>160</v>
      </c>
      <c r="AD35" t="s">
        <v>268</v>
      </c>
      <c r="AE35" t="s">
        <v>268</v>
      </c>
      <c r="AF35" s="26" t="s">
        <v>4714</v>
      </c>
      <c r="AG35" s="26" t="s">
        <v>4981</v>
      </c>
    </row>
    <row r="36" spans="1:33" hidden="1" x14ac:dyDescent="0.35">
      <c r="A36" t="s">
        <v>159</v>
      </c>
      <c r="B36" t="s">
        <v>5386</v>
      </c>
      <c r="C36" t="s">
        <v>4617</v>
      </c>
      <c r="D36" t="s">
        <v>276</v>
      </c>
      <c r="E36" t="s">
        <v>447</v>
      </c>
      <c r="F36" t="s">
        <v>4736</v>
      </c>
      <c r="G36" t="s">
        <v>70</v>
      </c>
      <c r="H36" t="s">
        <v>5387</v>
      </c>
      <c r="I36" s="27">
        <v>17000000</v>
      </c>
      <c r="J36" t="s">
        <v>159</v>
      </c>
      <c r="L36" t="s">
        <v>101</v>
      </c>
      <c r="M36" t="s">
        <v>101</v>
      </c>
      <c r="N36" t="s">
        <v>4722</v>
      </c>
      <c r="O36" t="s">
        <v>101</v>
      </c>
      <c r="P36" t="s">
        <v>101</v>
      </c>
      <c r="R36" s="19">
        <v>17000000</v>
      </c>
      <c r="S36" t="s">
        <v>101</v>
      </c>
      <c r="T36" t="s">
        <v>167</v>
      </c>
      <c r="U36" t="s">
        <v>161</v>
      </c>
      <c r="V36" t="s">
        <v>4663</v>
      </c>
      <c r="W36" t="s">
        <v>162</v>
      </c>
      <c r="X36" t="s">
        <v>163</v>
      </c>
      <c r="Y36" t="s">
        <v>4732</v>
      </c>
      <c r="Z36" t="s">
        <v>165</v>
      </c>
      <c r="AA36" t="s">
        <v>166</v>
      </c>
      <c r="AB36" s="1">
        <v>46080</v>
      </c>
      <c r="AC36" t="s">
        <v>276</v>
      </c>
      <c r="AD36" t="s">
        <v>268</v>
      </c>
      <c r="AE36" t="s">
        <v>268</v>
      </c>
      <c r="AF36" s="26" t="s">
        <v>1223</v>
      </c>
      <c r="AG36" s="26" t="s">
        <v>4663</v>
      </c>
    </row>
    <row r="37" spans="1:33" hidden="1" x14ac:dyDescent="0.35">
      <c r="A37" t="s">
        <v>159</v>
      </c>
      <c r="B37" t="s">
        <v>5392</v>
      </c>
      <c r="C37" t="s">
        <v>4617</v>
      </c>
      <c r="D37" t="s">
        <v>160</v>
      </c>
      <c r="E37" t="s">
        <v>5167</v>
      </c>
      <c r="F37" t="s">
        <v>5379</v>
      </c>
      <c r="G37" t="s">
        <v>24</v>
      </c>
      <c r="H37" t="s">
        <v>5393</v>
      </c>
      <c r="I37" s="27">
        <v>20000000</v>
      </c>
      <c r="J37" t="s">
        <v>159</v>
      </c>
      <c r="L37" t="s">
        <v>101</v>
      </c>
      <c r="M37" t="s">
        <v>101</v>
      </c>
      <c r="N37" t="s">
        <v>101</v>
      </c>
      <c r="O37" t="s">
        <v>101</v>
      </c>
      <c r="P37" t="s">
        <v>101</v>
      </c>
      <c r="R37" s="19">
        <v>20000000</v>
      </c>
      <c r="S37" t="s">
        <v>101</v>
      </c>
      <c r="T37" t="s">
        <v>167</v>
      </c>
      <c r="U37" t="s">
        <v>161</v>
      </c>
      <c r="V37" t="s">
        <v>4700</v>
      </c>
      <c r="W37" t="s">
        <v>101</v>
      </c>
      <c r="X37" t="s">
        <v>101</v>
      </c>
      <c r="Y37" t="s">
        <v>101</v>
      </c>
      <c r="Z37" t="s">
        <v>165</v>
      </c>
      <c r="AA37" t="s">
        <v>166</v>
      </c>
      <c r="AB37" s="1">
        <v>46080</v>
      </c>
      <c r="AC37" t="s">
        <v>160</v>
      </c>
      <c r="AD37" t="s">
        <v>268</v>
      </c>
      <c r="AE37" t="s">
        <v>268</v>
      </c>
      <c r="AF37" s="26" t="s">
        <v>4869</v>
      </c>
      <c r="AG37" s="26" t="s">
        <v>4981</v>
      </c>
    </row>
    <row r="38" spans="1:33" hidden="1" x14ac:dyDescent="0.35">
      <c r="A38" t="s">
        <v>159</v>
      </c>
      <c r="B38" t="s">
        <v>5397</v>
      </c>
      <c r="C38" t="s">
        <v>4617</v>
      </c>
      <c r="D38" t="s">
        <v>160</v>
      </c>
      <c r="E38" t="s">
        <v>5398</v>
      </c>
      <c r="F38" t="s">
        <v>4736</v>
      </c>
      <c r="G38" t="s">
        <v>26</v>
      </c>
      <c r="H38" t="s">
        <v>5399</v>
      </c>
      <c r="I38" s="27">
        <v>20000000</v>
      </c>
      <c r="J38" t="s">
        <v>159</v>
      </c>
      <c r="L38" t="s">
        <v>101</v>
      </c>
      <c r="M38" t="s">
        <v>101</v>
      </c>
      <c r="N38" t="s">
        <v>101</v>
      </c>
      <c r="O38" t="s">
        <v>101</v>
      </c>
      <c r="P38" t="s">
        <v>101</v>
      </c>
      <c r="R38" s="19">
        <v>20000000</v>
      </c>
      <c r="S38" t="s">
        <v>101</v>
      </c>
      <c r="T38" t="s">
        <v>4726</v>
      </c>
      <c r="U38" t="s">
        <v>161</v>
      </c>
      <c r="V38" t="s">
        <v>101</v>
      </c>
      <c r="W38" t="s">
        <v>101</v>
      </c>
      <c r="X38" t="s">
        <v>4733</v>
      </c>
      <c r="Y38" t="s">
        <v>5400</v>
      </c>
      <c r="Z38" t="s">
        <v>4729</v>
      </c>
      <c r="AA38" t="s">
        <v>166</v>
      </c>
      <c r="AB38" s="1">
        <v>46080</v>
      </c>
      <c r="AC38" t="s">
        <v>160</v>
      </c>
      <c r="AD38" t="s">
        <v>268</v>
      </c>
      <c r="AE38" t="s">
        <v>268</v>
      </c>
      <c r="AF38" s="26" t="s">
        <v>1223</v>
      </c>
      <c r="AG38" s="26" t="s">
        <v>4990</v>
      </c>
    </row>
    <row r="39" spans="1:33" hidden="1" x14ac:dyDescent="0.35">
      <c r="A39" t="s">
        <v>159</v>
      </c>
      <c r="B39" t="s">
        <v>5401</v>
      </c>
      <c r="C39" t="s">
        <v>4617</v>
      </c>
      <c r="D39" t="s">
        <v>276</v>
      </c>
      <c r="E39" t="s">
        <v>195</v>
      </c>
      <c r="F39" t="s">
        <v>5374</v>
      </c>
      <c r="G39" t="s">
        <v>32</v>
      </c>
      <c r="H39" t="s">
        <v>5402</v>
      </c>
      <c r="I39" s="27">
        <v>20000000</v>
      </c>
      <c r="J39" t="s">
        <v>159</v>
      </c>
      <c r="L39" t="s">
        <v>101</v>
      </c>
      <c r="M39" t="s">
        <v>101</v>
      </c>
      <c r="N39" t="s">
        <v>101</v>
      </c>
      <c r="O39" t="s">
        <v>101</v>
      </c>
      <c r="P39" t="s">
        <v>101</v>
      </c>
      <c r="R39" s="19">
        <v>20000000</v>
      </c>
      <c r="S39" t="s">
        <v>101</v>
      </c>
      <c r="T39" t="s">
        <v>167</v>
      </c>
      <c r="U39" t="s">
        <v>161</v>
      </c>
      <c r="V39" t="s">
        <v>4723</v>
      </c>
      <c r="W39" t="s">
        <v>101</v>
      </c>
      <c r="X39" t="s">
        <v>163</v>
      </c>
      <c r="Y39" t="s">
        <v>164</v>
      </c>
      <c r="Z39" t="s">
        <v>4738</v>
      </c>
      <c r="AA39" t="s">
        <v>166</v>
      </c>
      <c r="AB39" s="1">
        <v>46080</v>
      </c>
      <c r="AC39" t="s">
        <v>276</v>
      </c>
      <c r="AD39" t="s">
        <v>268</v>
      </c>
      <c r="AE39" t="s">
        <v>268</v>
      </c>
      <c r="AF39" s="26" t="s">
        <v>1223</v>
      </c>
      <c r="AG39" s="26" t="s">
        <v>4984</v>
      </c>
    </row>
    <row r="40" spans="1:33" hidden="1" x14ac:dyDescent="0.35">
      <c r="A40" t="s">
        <v>159</v>
      </c>
      <c r="B40" t="s">
        <v>5403</v>
      </c>
      <c r="C40" t="s">
        <v>4617</v>
      </c>
      <c r="D40" t="s">
        <v>5404</v>
      </c>
      <c r="E40" t="s">
        <v>93</v>
      </c>
      <c r="F40" t="s">
        <v>5374</v>
      </c>
      <c r="G40" t="s">
        <v>32</v>
      </c>
      <c r="H40" t="s">
        <v>5405</v>
      </c>
      <c r="I40" s="27">
        <v>20000000</v>
      </c>
      <c r="J40" t="s">
        <v>159</v>
      </c>
      <c r="L40" t="s">
        <v>101</v>
      </c>
      <c r="M40" t="s">
        <v>101</v>
      </c>
      <c r="N40" t="s">
        <v>101</v>
      </c>
      <c r="O40" t="s">
        <v>101</v>
      </c>
      <c r="P40" t="s">
        <v>101</v>
      </c>
      <c r="R40" s="19">
        <v>20000000</v>
      </c>
      <c r="S40" t="s">
        <v>101</v>
      </c>
      <c r="T40" t="s">
        <v>167</v>
      </c>
      <c r="U40" t="s">
        <v>161</v>
      </c>
      <c r="V40" t="s">
        <v>5047</v>
      </c>
      <c r="W40" t="s">
        <v>162</v>
      </c>
      <c r="X40" t="s">
        <v>163</v>
      </c>
      <c r="Y40" t="s">
        <v>164</v>
      </c>
      <c r="Z40" t="s">
        <v>165</v>
      </c>
      <c r="AA40" t="s">
        <v>166</v>
      </c>
      <c r="AB40" s="1">
        <v>46080</v>
      </c>
      <c r="AC40" t="s">
        <v>5404</v>
      </c>
      <c r="AD40" t="s">
        <v>268</v>
      </c>
      <c r="AE40" t="s">
        <v>268</v>
      </c>
      <c r="AF40" s="26" t="s">
        <v>1223</v>
      </c>
      <c r="AG40" s="26" t="s">
        <v>4981</v>
      </c>
    </row>
    <row r="41" spans="1:33" hidden="1" x14ac:dyDescent="0.35">
      <c r="A41" t="s">
        <v>159</v>
      </c>
      <c r="B41" t="s">
        <v>5412</v>
      </c>
      <c r="C41" t="s">
        <v>4617</v>
      </c>
      <c r="D41" t="s">
        <v>276</v>
      </c>
      <c r="E41" t="s">
        <v>447</v>
      </c>
      <c r="F41" t="s">
        <v>4736</v>
      </c>
      <c r="G41" t="s">
        <v>70</v>
      </c>
      <c r="H41" t="s">
        <v>5413</v>
      </c>
      <c r="I41" s="27">
        <v>50000000</v>
      </c>
      <c r="J41" t="s">
        <v>159</v>
      </c>
      <c r="L41" t="s">
        <v>101</v>
      </c>
      <c r="M41" t="s">
        <v>101</v>
      </c>
      <c r="N41" t="s">
        <v>4722</v>
      </c>
      <c r="O41" t="s">
        <v>101</v>
      </c>
      <c r="P41" t="s">
        <v>101</v>
      </c>
      <c r="R41" s="19">
        <v>50000000</v>
      </c>
      <c r="S41" t="s">
        <v>101</v>
      </c>
      <c r="T41" t="s">
        <v>167</v>
      </c>
      <c r="U41" t="s">
        <v>161</v>
      </c>
      <c r="V41" t="s">
        <v>4663</v>
      </c>
      <c r="W41" t="s">
        <v>162</v>
      </c>
      <c r="X41" t="s">
        <v>163</v>
      </c>
      <c r="Y41" t="s">
        <v>164</v>
      </c>
      <c r="Z41" t="s">
        <v>165</v>
      </c>
      <c r="AA41" t="s">
        <v>166</v>
      </c>
      <c r="AB41" s="1">
        <v>46080</v>
      </c>
      <c r="AC41" t="s">
        <v>276</v>
      </c>
      <c r="AD41" t="s">
        <v>268</v>
      </c>
      <c r="AE41" t="s">
        <v>268</v>
      </c>
      <c r="AF41" s="26" t="s">
        <v>1223</v>
      </c>
      <c r="AG41" s="26" t="s">
        <v>4663</v>
      </c>
    </row>
    <row r="42" spans="1:33" hidden="1" x14ac:dyDescent="0.35">
      <c r="A42" t="s">
        <v>3479</v>
      </c>
      <c r="B42" t="s">
        <v>5346</v>
      </c>
      <c r="C42" t="s">
        <v>4617</v>
      </c>
      <c r="D42" t="s">
        <v>4739</v>
      </c>
      <c r="E42" t="s">
        <v>418</v>
      </c>
      <c r="F42" t="s">
        <v>4736</v>
      </c>
      <c r="G42" t="s">
        <v>26</v>
      </c>
      <c r="H42" t="s">
        <v>5347</v>
      </c>
      <c r="I42" s="27">
        <v>10033563.953600001</v>
      </c>
      <c r="J42" t="s">
        <v>159</v>
      </c>
      <c r="L42" t="s">
        <v>101</v>
      </c>
      <c r="M42" t="s">
        <v>101</v>
      </c>
      <c r="N42" t="s">
        <v>101</v>
      </c>
      <c r="O42" t="s">
        <v>101</v>
      </c>
      <c r="P42" t="s">
        <v>101</v>
      </c>
      <c r="R42" s="19">
        <v>10033563.953600001</v>
      </c>
      <c r="S42" t="s">
        <v>101</v>
      </c>
      <c r="T42" t="s">
        <v>5348</v>
      </c>
      <c r="U42" t="s">
        <v>161</v>
      </c>
      <c r="V42" t="s">
        <v>5349</v>
      </c>
      <c r="W42" t="s">
        <v>4730</v>
      </c>
      <c r="X42" t="s">
        <v>163</v>
      </c>
      <c r="Y42" t="s">
        <v>164</v>
      </c>
      <c r="Z42" t="s">
        <v>165</v>
      </c>
      <c r="AA42" t="s">
        <v>166</v>
      </c>
      <c r="AB42" s="1">
        <v>46077</v>
      </c>
      <c r="AC42" t="s">
        <v>4739</v>
      </c>
      <c r="AD42" t="s">
        <v>268</v>
      </c>
      <c r="AE42" t="s">
        <v>268</v>
      </c>
      <c r="AF42" s="26" t="s">
        <v>1223</v>
      </c>
      <c r="AG42" s="26" t="s">
        <v>4981</v>
      </c>
    </row>
    <row r="43" spans="1:33" hidden="1" x14ac:dyDescent="0.35">
      <c r="A43" t="s">
        <v>3479</v>
      </c>
      <c r="B43" t="s">
        <v>5417</v>
      </c>
      <c r="C43" t="s">
        <v>4617</v>
      </c>
      <c r="D43" t="s">
        <v>276</v>
      </c>
      <c r="E43" t="s">
        <v>5178</v>
      </c>
      <c r="F43" t="s">
        <v>4736</v>
      </c>
      <c r="G43" t="s">
        <v>26</v>
      </c>
      <c r="H43" t="s">
        <v>5418</v>
      </c>
      <c r="I43" s="27">
        <v>10351920</v>
      </c>
      <c r="J43" t="s">
        <v>159</v>
      </c>
      <c r="L43" t="s">
        <v>101</v>
      </c>
      <c r="M43" t="s">
        <v>101</v>
      </c>
      <c r="N43" t="s">
        <v>101</v>
      </c>
      <c r="O43" t="s">
        <v>101</v>
      </c>
      <c r="P43" t="s">
        <v>101</v>
      </c>
      <c r="R43" s="19">
        <v>10351920</v>
      </c>
      <c r="S43" t="s">
        <v>101</v>
      </c>
      <c r="T43" t="s">
        <v>167</v>
      </c>
      <c r="U43" t="s">
        <v>161</v>
      </c>
      <c r="V43" t="s">
        <v>52</v>
      </c>
      <c r="W43" t="s">
        <v>162</v>
      </c>
      <c r="X43" t="s">
        <v>163</v>
      </c>
      <c r="Y43" t="s">
        <v>164</v>
      </c>
      <c r="Z43" t="s">
        <v>165</v>
      </c>
      <c r="AA43" t="s">
        <v>166</v>
      </c>
      <c r="AB43" s="1">
        <v>46080</v>
      </c>
      <c r="AC43" t="s">
        <v>276</v>
      </c>
      <c r="AD43" t="s">
        <v>268</v>
      </c>
      <c r="AE43" t="s">
        <v>268</v>
      </c>
      <c r="AF43" s="26" t="s">
        <v>1129</v>
      </c>
      <c r="AG43" s="26" t="s">
        <v>5108</v>
      </c>
    </row>
    <row r="44" spans="1:33" hidden="1" x14ac:dyDescent="0.35">
      <c r="A44" t="s">
        <v>159</v>
      </c>
      <c r="B44" t="s">
        <v>5376</v>
      </c>
      <c r="C44" t="s">
        <v>4737</v>
      </c>
      <c r="D44" t="s">
        <v>276</v>
      </c>
      <c r="E44" t="s">
        <v>3937</v>
      </c>
      <c r="F44" t="s">
        <v>3628</v>
      </c>
      <c r="G44" t="s">
        <v>3628</v>
      </c>
      <c r="H44" t="s">
        <v>5377</v>
      </c>
      <c r="I44" s="27">
        <v>10000000</v>
      </c>
      <c r="J44" t="s">
        <v>159</v>
      </c>
      <c r="L44" t="s">
        <v>101</v>
      </c>
      <c r="M44" t="s">
        <v>101</v>
      </c>
      <c r="N44" t="s">
        <v>4731</v>
      </c>
      <c r="O44" t="s">
        <v>101</v>
      </c>
      <c r="P44" t="s">
        <v>101</v>
      </c>
      <c r="R44" s="19">
        <v>10000000</v>
      </c>
      <c r="S44" t="s">
        <v>101</v>
      </c>
      <c r="T44" t="s">
        <v>4726</v>
      </c>
      <c r="U44" t="s">
        <v>161</v>
      </c>
      <c r="V44" t="s">
        <v>101</v>
      </c>
      <c r="W44" t="s">
        <v>101</v>
      </c>
      <c r="X44" t="s">
        <v>4733</v>
      </c>
      <c r="Y44" t="s">
        <v>4728</v>
      </c>
      <c r="Z44" t="s">
        <v>4729</v>
      </c>
      <c r="AA44" t="s">
        <v>166</v>
      </c>
      <c r="AB44" s="1">
        <v>46080</v>
      </c>
      <c r="AC44" t="s">
        <v>276</v>
      </c>
      <c r="AD44" t="s">
        <v>268</v>
      </c>
      <c r="AE44" t="s">
        <v>268</v>
      </c>
      <c r="AF44" s="26" t="s">
        <v>4715</v>
      </c>
      <c r="AG44" s="26" t="s">
        <v>4985</v>
      </c>
    </row>
    <row r="45" spans="1:33" hidden="1" x14ac:dyDescent="0.35">
      <c r="A45" t="s">
        <v>159</v>
      </c>
      <c r="B45" t="s">
        <v>5322</v>
      </c>
      <c r="C45" t="s">
        <v>4737</v>
      </c>
      <c r="D45" t="s">
        <v>160</v>
      </c>
      <c r="E45" t="s">
        <v>196</v>
      </c>
      <c r="F45" t="s">
        <v>3114</v>
      </c>
      <c r="G45" t="s">
        <v>3114</v>
      </c>
      <c r="H45" t="s">
        <v>5323</v>
      </c>
      <c r="I45" s="27">
        <v>20000000</v>
      </c>
      <c r="J45" t="s">
        <v>159</v>
      </c>
      <c r="L45" t="s">
        <v>101</v>
      </c>
      <c r="M45" t="s">
        <v>101</v>
      </c>
      <c r="N45" t="s">
        <v>101</v>
      </c>
      <c r="O45" t="s">
        <v>101</v>
      </c>
      <c r="P45" t="s">
        <v>101</v>
      </c>
      <c r="R45" s="19">
        <v>20000000</v>
      </c>
      <c r="S45" t="s">
        <v>101</v>
      </c>
      <c r="T45" t="s">
        <v>167</v>
      </c>
      <c r="U45" t="s">
        <v>5046</v>
      </c>
      <c r="V45" t="s">
        <v>4495</v>
      </c>
      <c r="W45" t="s">
        <v>101</v>
      </c>
      <c r="X45" t="s">
        <v>163</v>
      </c>
      <c r="Y45" t="s">
        <v>164</v>
      </c>
      <c r="Z45" t="s">
        <v>165</v>
      </c>
      <c r="AA45" t="s">
        <v>166</v>
      </c>
      <c r="AB45" s="1">
        <v>46076</v>
      </c>
      <c r="AC45" t="s">
        <v>160</v>
      </c>
      <c r="AD45" t="s">
        <v>268</v>
      </c>
      <c r="AE45" t="s">
        <v>268</v>
      </c>
      <c r="AF45" s="26" t="s">
        <v>1224</v>
      </c>
      <c r="AG45" s="26" t="s">
        <v>4989</v>
      </c>
    </row>
    <row r="46" spans="1:33" hidden="1" x14ac:dyDescent="0.35">
      <c r="A46" t="s">
        <v>159</v>
      </c>
      <c r="B46" t="s">
        <v>5408</v>
      </c>
      <c r="C46" t="s">
        <v>4737</v>
      </c>
      <c r="D46" t="s">
        <v>276</v>
      </c>
      <c r="E46" t="s">
        <v>4829</v>
      </c>
      <c r="F46" t="s">
        <v>3628</v>
      </c>
      <c r="G46" t="s">
        <v>3628</v>
      </c>
      <c r="H46" t="s">
        <v>5409</v>
      </c>
      <c r="I46" s="27">
        <v>30000000</v>
      </c>
      <c r="J46" t="s">
        <v>159</v>
      </c>
      <c r="L46" t="s">
        <v>101</v>
      </c>
      <c r="M46" t="s">
        <v>101</v>
      </c>
      <c r="N46" t="s">
        <v>5410</v>
      </c>
      <c r="O46" t="s">
        <v>5060</v>
      </c>
      <c r="P46" t="s">
        <v>101</v>
      </c>
      <c r="Q46">
        <v>84</v>
      </c>
      <c r="R46" s="19">
        <v>30000000</v>
      </c>
      <c r="S46" t="s">
        <v>101</v>
      </c>
      <c r="T46" t="s">
        <v>167</v>
      </c>
      <c r="U46" t="s">
        <v>161</v>
      </c>
      <c r="V46" t="s">
        <v>5411</v>
      </c>
      <c r="W46" t="s">
        <v>162</v>
      </c>
      <c r="X46" t="s">
        <v>163</v>
      </c>
      <c r="Y46" t="s">
        <v>101</v>
      </c>
      <c r="Z46" t="s">
        <v>165</v>
      </c>
      <c r="AA46" t="s">
        <v>166</v>
      </c>
      <c r="AB46" s="1">
        <v>46080</v>
      </c>
      <c r="AC46" t="s">
        <v>276</v>
      </c>
      <c r="AD46" t="s">
        <v>268</v>
      </c>
      <c r="AE46" t="s">
        <v>268</v>
      </c>
      <c r="AF46" s="26" t="s">
        <v>4715</v>
      </c>
      <c r="AG46" s="26" t="s">
        <v>4991</v>
      </c>
    </row>
    <row r="47" spans="1:33" hidden="1" x14ac:dyDescent="0.35">
      <c r="A47" t="s">
        <v>159</v>
      </c>
      <c r="B47" t="s">
        <v>5414</v>
      </c>
      <c r="C47" t="s">
        <v>4737</v>
      </c>
      <c r="D47" t="s">
        <v>276</v>
      </c>
      <c r="E47" t="s">
        <v>5415</v>
      </c>
      <c r="F47" t="s">
        <v>4472</v>
      </c>
      <c r="G47" t="s">
        <v>4472</v>
      </c>
      <c r="H47" t="s">
        <v>5416</v>
      </c>
      <c r="I47" s="27">
        <v>50000000</v>
      </c>
      <c r="J47" t="s">
        <v>159</v>
      </c>
      <c r="L47" t="s">
        <v>101</v>
      </c>
      <c r="M47" t="s">
        <v>101</v>
      </c>
      <c r="N47" t="s">
        <v>101</v>
      </c>
      <c r="O47" t="s">
        <v>101</v>
      </c>
      <c r="P47" t="s">
        <v>101</v>
      </c>
      <c r="R47" s="19">
        <v>50000000</v>
      </c>
      <c r="S47" t="s">
        <v>101</v>
      </c>
      <c r="T47" t="s">
        <v>44</v>
      </c>
      <c r="U47" t="s">
        <v>161</v>
      </c>
      <c r="V47" t="s">
        <v>4725</v>
      </c>
      <c r="W47" t="s">
        <v>101</v>
      </c>
      <c r="X47" t="s">
        <v>101</v>
      </c>
      <c r="Y47" t="s">
        <v>164</v>
      </c>
      <c r="Z47" t="s">
        <v>165</v>
      </c>
      <c r="AA47" t="s">
        <v>166</v>
      </c>
      <c r="AB47" s="1">
        <v>46081</v>
      </c>
      <c r="AC47" t="s">
        <v>276</v>
      </c>
      <c r="AD47" t="s">
        <v>268</v>
      </c>
      <c r="AE47" t="s">
        <v>268</v>
      </c>
      <c r="AF47" s="26" t="s">
        <v>4713</v>
      </c>
      <c r="AG47" s="26" t="s">
        <v>4982</v>
      </c>
    </row>
    <row r="48" spans="1:33" hidden="1" x14ac:dyDescent="0.35">
      <c r="A48" t="s">
        <v>159</v>
      </c>
      <c r="B48" t="s">
        <v>5335</v>
      </c>
      <c r="C48" t="s">
        <v>4737</v>
      </c>
      <c r="D48" t="s">
        <v>276</v>
      </c>
      <c r="E48" t="s">
        <v>423</v>
      </c>
      <c r="F48" t="s">
        <v>2658</v>
      </c>
      <c r="G48" t="s">
        <v>2658</v>
      </c>
      <c r="H48" t="s">
        <v>5336</v>
      </c>
      <c r="I48" s="27">
        <v>100000000</v>
      </c>
      <c r="J48" t="s">
        <v>159</v>
      </c>
      <c r="L48" t="s">
        <v>101</v>
      </c>
      <c r="M48" t="s">
        <v>101</v>
      </c>
      <c r="N48" t="s">
        <v>101</v>
      </c>
      <c r="O48" t="s">
        <v>101</v>
      </c>
      <c r="P48" t="s">
        <v>101</v>
      </c>
      <c r="R48" s="19">
        <v>100000000</v>
      </c>
      <c r="S48" t="s">
        <v>101</v>
      </c>
      <c r="T48" t="s">
        <v>167</v>
      </c>
      <c r="U48" t="s">
        <v>161</v>
      </c>
      <c r="V48" t="s">
        <v>4616</v>
      </c>
      <c r="W48" t="s">
        <v>101</v>
      </c>
      <c r="X48" t="s">
        <v>101</v>
      </c>
      <c r="Y48" t="s">
        <v>164</v>
      </c>
      <c r="Z48" t="s">
        <v>4738</v>
      </c>
      <c r="AA48" t="s">
        <v>166</v>
      </c>
      <c r="AB48" s="1">
        <v>46077</v>
      </c>
      <c r="AC48" t="s">
        <v>276</v>
      </c>
      <c r="AD48" t="s">
        <v>268</v>
      </c>
      <c r="AE48" t="s">
        <v>268</v>
      </c>
      <c r="AF48" s="26" t="s">
        <v>1224</v>
      </c>
      <c r="AG48" s="26" t="s">
        <v>4982</v>
      </c>
    </row>
    <row r="49" spans="1:33" hidden="1" x14ac:dyDescent="0.35">
      <c r="A49" t="s">
        <v>3479</v>
      </c>
      <c r="B49" t="s">
        <v>5419</v>
      </c>
      <c r="C49" t="s">
        <v>4737</v>
      </c>
      <c r="D49" t="s">
        <v>160</v>
      </c>
      <c r="E49" t="s">
        <v>5420</v>
      </c>
      <c r="F49" t="s">
        <v>5421</v>
      </c>
      <c r="G49" t="s">
        <v>172</v>
      </c>
      <c r="H49" t="s">
        <v>5422</v>
      </c>
      <c r="I49" s="27">
        <v>22429160</v>
      </c>
      <c r="J49" t="s">
        <v>159</v>
      </c>
      <c r="L49" t="s">
        <v>101</v>
      </c>
      <c r="M49" t="s">
        <v>101</v>
      </c>
      <c r="N49" t="s">
        <v>101</v>
      </c>
      <c r="O49" t="s">
        <v>101</v>
      </c>
      <c r="P49" t="s">
        <v>101</v>
      </c>
      <c r="R49" s="19">
        <v>22429160</v>
      </c>
      <c r="S49" t="s">
        <v>101</v>
      </c>
      <c r="T49" t="s">
        <v>167</v>
      </c>
      <c r="U49" t="s">
        <v>161</v>
      </c>
      <c r="V49" t="s">
        <v>5423</v>
      </c>
      <c r="W49" t="s">
        <v>101</v>
      </c>
      <c r="X49" t="s">
        <v>163</v>
      </c>
      <c r="Y49" t="s">
        <v>164</v>
      </c>
      <c r="Z49" t="s">
        <v>165</v>
      </c>
      <c r="AA49" t="s">
        <v>166</v>
      </c>
      <c r="AB49" s="1">
        <v>46080</v>
      </c>
      <c r="AC49" t="s">
        <v>160</v>
      </c>
      <c r="AD49" t="s">
        <v>268</v>
      </c>
      <c r="AE49" t="s">
        <v>268</v>
      </c>
      <c r="AF49" s="26" t="s">
        <v>4809</v>
      </c>
      <c r="AG49" s="26" t="s">
        <v>4984</v>
      </c>
    </row>
    <row r="50" spans="1:33" hidden="1" x14ac:dyDescent="0.35">
      <c r="A50" t="s">
        <v>3479</v>
      </c>
      <c r="B50" t="s">
        <v>5424</v>
      </c>
      <c r="C50" t="s">
        <v>4737</v>
      </c>
      <c r="D50" t="s">
        <v>160</v>
      </c>
      <c r="E50" t="s">
        <v>4965</v>
      </c>
      <c r="F50" t="s">
        <v>5421</v>
      </c>
      <c r="G50" t="s">
        <v>172</v>
      </c>
      <c r="H50" t="s">
        <v>5425</v>
      </c>
      <c r="I50" s="27">
        <v>34506400</v>
      </c>
      <c r="J50" t="s">
        <v>159</v>
      </c>
      <c r="L50" t="s">
        <v>101</v>
      </c>
      <c r="M50" t="s">
        <v>101</v>
      </c>
      <c r="N50" t="s">
        <v>101</v>
      </c>
      <c r="O50" t="s">
        <v>101</v>
      </c>
      <c r="P50" t="s">
        <v>101</v>
      </c>
      <c r="R50" s="19">
        <v>34506400</v>
      </c>
      <c r="S50" t="s">
        <v>101</v>
      </c>
      <c r="T50" t="s">
        <v>167</v>
      </c>
      <c r="U50" t="s">
        <v>161</v>
      </c>
      <c r="V50" t="s">
        <v>4723</v>
      </c>
      <c r="W50" t="s">
        <v>101</v>
      </c>
      <c r="X50" t="s">
        <v>163</v>
      </c>
      <c r="Y50" t="s">
        <v>164</v>
      </c>
      <c r="Z50" t="s">
        <v>165</v>
      </c>
      <c r="AA50" t="s">
        <v>166</v>
      </c>
      <c r="AB50" s="1">
        <v>46080</v>
      </c>
      <c r="AC50" t="s">
        <v>160</v>
      </c>
      <c r="AD50" t="s">
        <v>268</v>
      </c>
      <c r="AE50" t="s">
        <v>268</v>
      </c>
      <c r="AF50" s="26" t="s">
        <v>4713</v>
      </c>
      <c r="AG50" s="26" t="s">
        <v>4991</v>
      </c>
    </row>
    <row r="51" spans="1:33" hidden="1" x14ac:dyDescent="0.35">
      <c r="A51" t="s">
        <v>159</v>
      </c>
      <c r="B51" t="s">
        <v>5328</v>
      </c>
      <c r="C51" t="s">
        <v>5056</v>
      </c>
      <c r="D51" t="s">
        <v>276</v>
      </c>
      <c r="E51" t="s">
        <v>5208</v>
      </c>
      <c r="F51" t="s">
        <v>4721</v>
      </c>
      <c r="G51" t="s">
        <v>12</v>
      </c>
      <c r="H51" t="s">
        <v>5329</v>
      </c>
      <c r="I51" s="27">
        <v>30000000</v>
      </c>
      <c r="J51" t="s">
        <v>159</v>
      </c>
      <c r="L51" t="s">
        <v>101</v>
      </c>
      <c r="M51" t="s">
        <v>101</v>
      </c>
      <c r="N51" t="s">
        <v>101</v>
      </c>
      <c r="O51" t="s">
        <v>101</v>
      </c>
      <c r="P51" t="s">
        <v>101</v>
      </c>
      <c r="R51" s="19">
        <v>30000000</v>
      </c>
      <c r="S51" t="s">
        <v>101</v>
      </c>
      <c r="T51" t="s">
        <v>167</v>
      </c>
      <c r="U51" t="s">
        <v>161</v>
      </c>
      <c r="V51" t="s">
        <v>4700</v>
      </c>
      <c r="W51" t="s">
        <v>162</v>
      </c>
      <c r="X51" t="s">
        <v>163</v>
      </c>
      <c r="Y51" t="s">
        <v>164</v>
      </c>
      <c r="Z51" t="s">
        <v>165</v>
      </c>
      <c r="AA51" t="s">
        <v>166</v>
      </c>
      <c r="AB51" s="1">
        <v>46080</v>
      </c>
      <c r="AC51" t="s">
        <v>276</v>
      </c>
      <c r="AD51" t="s">
        <v>268</v>
      </c>
      <c r="AE51" t="s">
        <v>268</v>
      </c>
      <c r="AF51" s="26" t="s">
        <v>4983</v>
      </c>
      <c r="AG51" s="26" t="s">
        <v>4981</v>
      </c>
    </row>
    <row r="52" spans="1:33" hidden="1" x14ac:dyDescent="0.35">
      <c r="A52" t="s">
        <v>159</v>
      </c>
      <c r="B52" t="s">
        <v>5286</v>
      </c>
      <c r="C52" t="s">
        <v>5287</v>
      </c>
      <c r="D52" t="s">
        <v>160</v>
      </c>
      <c r="E52" t="s">
        <v>4506</v>
      </c>
      <c r="F52" t="s">
        <v>5288</v>
      </c>
      <c r="G52" t="s">
        <v>1899</v>
      </c>
      <c r="H52" t="s">
        <v>5289</v>
      </c>
      <c r="I52" s="27">
        <v>2790000</v>
      </c>
      <c r="J52" t="s">
        <v>159</v>
      </c>
      <c r="L52" t="s">
        <v>101</v>
      </c>
      <c r="M52" t="s">
        <v>101</v>
      </c>
      <c r="N52" t="s">
        <v>4946</v>
      </c>
      <c r="O52" t="s">
        <v>101</v>
      </c>
      <c r="P52" t="s">
        <v>101</v>
      </c>
      <c r="R52" s="19">
        <v>2790000</v>
      </c>
      <c r="S52" t="s">
        <v>101</v>
      </c>
      <c r="T52" t="s">
        <v>167</v>
      </c>
      <c r="U52" t="s">
        <v>5358</v>
      </c>
      <c r="V52" t="s">
        <v>5047</v>
      </c>
      <c r="W52" t="s">
        <v>162</v>
      </c>
      <c r="X52" t="s">
        <v>163</v>
      </c>
      <c r="Y52" t="s">
        <v>5064</v>
      </c>
      <c r="Z52" t="s">
        <v>5060</v>
      </c>
      <c r="AA52" t="s">
        <v>166</v>
      </c>
      <c r="AB52" s="1">
        <v>46079</v>
      </c>
      <c r="AC52" t="s">
        <v>160</v>
      </c>
      <c r="AD52" t="s">
        <v>268</v>
      </c>
      <c r="AE52" t="s">
        <v>268</v>
      </c>
      <c r="AF52" s="26" t="s">
        <v>1224</v>
      </c>
      <c r="AG52" s="26" t="s">
        <v>4616</v>
      </c>
    </row>
    <row r="53" spans="1:33" hidden="1" x14ac:dyDescent="0.35">
      <c r="A53" t="s">
        <v>159</v>
      </c>
      <c r="B53" t="s">
        <v>5324</v>
      </c>
      <c r="C53" t="s">
        <v>5325</v>
      </c>
      <c r="D53" t="s">
        <v>276</v>
      </c>
      <c r="E53" t="s">
        <v>1076</v>
      </c>
      <c r="F53" t="s">
        <v>5326</v>
      </c>
      <c r="G53" t="s">
        <v>43</v>
      </c>
      <c r="H53" t="s">
        <v>5327</v>
      </c>
      <c r="I53" s="27">
        <v>20065865.399999999</v>
      </c>
      <c r="J53" t="s">
        <v>159</v>
      </c>
      <c r="L53" t="s">
        <v>101</v>
      </c>
      <c r="M53" t="s">
        <v>101</v>
      </c>
      <c r="N53" t="s">
        <v>5067</v>
      </c>
      <c r="O53" t="s">
        <v>101</v>
      </c>
      <c r="P53" t="s">
        <v>101</v>
      </c>
      <c r="R53" s="19">
        <v>20065865.399999999</v>
      </c>
      <c r="S53" t="s">
        <v>101</v>
      </c>
      <c r="T53" t="s">
        <v>167</v>
      </c>
      <c r="U53" t="s">
        <v>161</v>
      </c>
      <c r="V53" t="s">
        <v>4495</v>
      </c>
      <c r="W53" t="s">
        <v>162</v>
      </c>
      <c r="X53" t="s">
        <v>163</v>
      </c>
      <c r="Y53" t="s">
        <v>164</v>
      </c>
      <c r="Z53" t="s">
        <v>165</v>
      </c>
      <c r="AA53" t="s">
        <v>166</v>
      </c>
      <c r="AB53" s="1">
        <v>46076</v>
      </c>
      <c r="AC53" t="s">
        <v>276</v>
      </c>
      <c r="AD53" t="s">
        <v>268</v>
      </c>
      <c r="AE53" t="s">
        <v>268</v>
      </c>
      <c r="AF53" s="26" t="s">
        <v>1129</v>
      </c>
      <c r="AG53" s="26" t="s">
        <v>4982</v>
      </c>
    </row>
    <row r="56" spans="1:33" ht="16" x14ac:dyDescent="0.45">
      <c r="H56" s="20"/>
      <c r="I56" s="28"/>
      <c r="J56" s="19"/>
    </row>
  </sheetData>
  <phoneticPr fontId="18" type="noConversion"/>
  <pageMargins left="0.7" right="0.7" top="0.75" bottom="0.75" header="0.3" footer="0.3"/>
  <pageSetup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31"/>
  <sheetViews>
    <sheetView topLeftCell="A90" zoomScale="168" workbookViewId="0">
      <selection activeCell="A98" sqref="A98"/>
    </sheetView>
  </sheetViews>
  <sheetFormatPr baseColWidth="10" defaultColWidth="9.1796875" defaultRowHeight="14.5" x14ac:dyDescent="0.35"/>
  <cols>
    <col min="1" max="1" width="19.26953125" customWidth="1"/>
  </cols>
  <sheetData>
    <row r="1" spans="1:2" x14ac:dyDescent="0.35">
      <c r="A1" s="2" t="s">
        <v>127</v>
      </c>
      <c r="B1" s="3" t="s">
        <v>0</v>
      </c>
    </row>
    <row r="2" spans="1:2" x14ac:dyDescent="0.35">
      <c r="A2" t="s">
        <v>128</v>
      </c>
      <c r="B2" t="s">
        <v>44</v>
      </c>
    </row>
    <row r="3" spans="1:2" x14ac:dyDescent="0.35">
      <c r="A3" t="s">
        <v>129</v>
      </c>
      <c r="B3" t="s">
        <v>44</v>
      </c>
    </row>
    <row r="4" spans="1:2" x14ac:dyDescent="0.35">
      <c r="A4" t="s">
        <v>130</v>
      </c>
      <c r="B4" t="s">
        <v>44</v>
      </c>
    </row>
    <row r="5" spans="1:2" x14ac:dyDescent="0.35">
      <c r="A5" s="4" t="s">
        <v>131</v>
      </c>
      <c r="B5" t="s">
        <v>44</v>
      </c>
    </row>
    <row r="6" spans="1:2" x14ac:dyDescent="0.35">
      <c r="A6" t="s">
        <v>132</v>
      </c>
      <c r="B6" t="s">
        <v>44</v>
      </c>
    </row>
    <row r="7" spans="1:2" x14ac:dyDescent="0.35">
      <c r="A7" s="5" t="s">
        <v>14</v>
      </c>
      <c r="B7" s="9" t="s">
        <v>19</v>
      </c>
    </row>
    <row r="8" spans="1:2" x14ac:dyDescent="0.35">
      <c r="A8" s="5" t="s">
        <v>3092</v>
      </c>
      <c r="B8" s="9" t="s">
        <v>19</v>
      </c>
    </row>
    <row r="9" spans="1:2" x14ac:dyDescent="0.35">
      <c r="A9" s="5" t="s">
        <v>2345</v>
      </c>
      <c r="B9" s="9" t="s">
        <v>19</v>
      </c>
    </row>
    <row r="10" spans="1:2" x14ac:dyDescent="0.35">
      <c r="A10" s="5" t="s">
        <v>121</v>
      </c>
      <c r="B10" s="9" t="s">
        <v>19</v>
      </c>
    </row>
    <row r="11" spans="1:2" x14ac:dyDescent="0.35">
      <c r="A11" s="5" t="s">
        <v>258</v>
      </c>
      <c r="B11" s="9" t="s">
        <v>19</v>
      </c>
    </row>
    <row r="12" spans="1:2" x14ac:dyDescent="0.35">
      <c r="A12" s="5" t="s">
        <v>281</v>
      </c>
      <c r="B12" s="9" t="s">
        <v>19</v>
      </c>
    </row>
    <row r="13" spans="1:2" x14ac:dyDescent="0.35">
      <c r="A13" s="5" t="s">
        <v>3095</v>
      </c>
      <c r="B13" s="9" t="s">
        <v>19</v>
      </c>
    </row>
    <row r="14" spans="1:2" x14ac:dyDescent="0.35">
      <c r="A14" s="6" t="s">
        <v>1006</v>
      </c>
      <c r="B14" s="9" t="s">
        <v>19</v>
      </c>
    </row>
    <row r="15" spans="1:2" x14ac:dyDescent="0.35">
      <c r="A15" s="5" t="s">
        <v>25</v>
      </c>
      <c r="B15" s="9" t="s">
        <v>16</v>
      </c>
    </row>
    <row r="16" spans="1:2" x14ac:dyDescent="0.35">
      <c r="A16" s="5" t="s">
        <v>925</v>
      </c>
      <c r="B16" s="9" t="s">
        <v>75</v>
      </c>
    </row>
    <row r="17" spans="1:2" x14ac:dyDescent="0.35">
      <c r="A17" s="5" t="s">
        <v>88</v>
      </c>
      <c r="B17" s="9" t="s">
        <v>75</v>
      </c>
    </row>
    <row r="18" spans="1:2" x14ac:dyDescent="0.35">
      <c r="A18" s="6" t="s">
        <v>989</v>
      </c>
      <c r="B18" s="9" t="s">
        <v>75</v>
      </c>
    </row>
    <row r="19" spans="1:2" x14ac:dyDescent="0.35">
      <c r="A19" s="16" t="s">
        <v>169</v>
      </c>
      <c r="B19" s="9" t="s">
        <v>16</v>
      </c>
    </row>
    <row r="20" spans="1:2" x14ac:dyDescent="0.35">
      <c r="A20" s="16" t="s">
        <v>214</v>
      </c>
      <c r="B20" s="9" t="s">
        <v>16</v>
      </c>
    </row>
    <row r="21" spans="1:2" x14ac:dyDescent="0.35">
      <c r="A21" s="16" t="s">
        <v>21</v>
      </c>
      <c r="B21" s="9" t="s">
        <v>16</v>
      </c>
    </row>
    <row r="22" spans="1:2" x14ac:dyDescent="0.35">
      <c r="A22" s="16" t="s">
        <v>12</v>
      </c>
      <c r="B22" s="9" t="s">
        <v>75</v>
      </c>
    </row>
    <row r="23" spans="1:2" x14ac:dyDescent="0.35">
      <c r="A23" s="6" t="s">
        <v>3175</v>
      </c>
      <c r="B23" s="9" t="s">
        <v>16</v>
      </c>
    </row>
    <row r="24" spans="1:2" x14ac:dyDescent="0.35">
      <c r="A24" s="16" t="s">
        <v>78</v>
      </c>
      <c r="B24" s="9" t="s">
        <v>16</v>
      </c>
    </row>
    <row r="25" spans="1:2" x14ac:dyDescent="0.35">
      <c r="A25" s="5" t="s">
        <v>969</v>
      </c>
      <c r="B25" s="9" t="s">
        <v>16</v>
      </c>
    </row>
    <row r="26" spans="1:2" x14ac:dyDescent="0.35">
      <c r="A26" s="16" t="s">
        <v>28</v>
      </c>
      <c r="B26" s="9" t="s">
        <v>17</v>
      </c>
    </row>
    <row r="27" spans="1:2" x14ac:dyDescent="0.35">
      <c r="A27" s="16" t="s">
        <v>18</v>
      </c>
      <c r="B27" s="9" t="s">
        <v>17</v>
      </c>
    </row>
    <row r="28" spans="1:2" x14ac:dyDescent="0.35">
      <c r="A28" s="16" t="s">
        <v>249</v>
      </c>
      <c r="B28" s="9" t="s">
        <v>17</v>
      </c>
    </row>
    <row r="29" spans="1:2" x14ac:dyDescent="0.35">
      <c r="A29" s="16" t="s">
        <v>37</v>
      </c>
      <c r="B29" s="9" t="s">
        <v>17</v>
      </c>
    </row>
    <row r="30" spans="1:2" x14ac:dyDescent="0.35">
      <c r="A30" s="16" t="s">
        <v>77</v>
      </c>
      <c r="B30" s="9" t="s">
        <v>17</v>
      </c>
    </row>
    <row r="31" spans="1:2" x14ac:dyDescent="0.35">
      <c r="A31" s="16" t="s">
        <v>332</v>
      </c>
      <c r="B31" s="9" t="s">
        <v>17</v>
      </c>
    </row>
    <row r="32" spans="1:2" x14ac:dyDescent="0.35">
      <c r="A32" s="5" t="s">
        <v>2693</v>
      </c>
      <c r="B32" s="9" t="s">
        <v>16</v>
      </c>
    </row>
    <row r="33" spans="1:2" x14ac:dyDescent="0.35">
      <c r="A33" s="16" t="s">
        <v>208</v>
      </c>
      <c r="B33" s="9" t="s">
        <v>16</v>
      </c>
    </row>
    <row r="34" spans="1:2" x14ac:dyDescent="0.35">
      <c r="A34" s="16" t="s">
        <v>207</v>
      </c>
      <c r="B34" s="9" t="s">
        <v>75</v>
      </c>
    </row>
    <row r="35" spans="1:2" x14ac:dyDescent="0.35">
      <c r="A35" s="16" t="s">
        <v>23</v>
      </c>
      <c r="B35" s="9" t="s">
        <v>75</v>
      </c>
    </row>
    <row r="36" spans="1:2" x14ac:dyDescent="0.35">
      <c r="A36" s="16" t="s">
        <v>932</v>
      </c>
      <c r="B36" s="9" t="s">
        <v>75</v>
      </c>
    </row>
    <row r="37" spans="1:2" x14ac:dyDescent="0.35">
      <c r="A37" s="16" t="s">
        <v>2309</v>
      </c>
      <c r="B37" s="9" t="s">
        <v>75</v>
      </c>
    </row>
    <row r="38" spans="1:2" x14ac:dyDescent="0.35">
      <c r="A38" s="5" t="s">
        <v>3553</v>
      </c>
      <c r="B38" s="9" t="s">
        <v>75</v>
      </c>
    </row>
    <row r="39" spans="1:2" x14ac:dyDescent="0.35">
      <c r="A39" s="12"/>
      <c r="B39" s="9" t="s">
        <v>75</v>
      </c>
    </row>
    <row r="40" spans="1:2" x14ac:dyDescent="0.35">
      <c r="A40" s="11" t="s">
        <v>340</v>
      </c>
      <c r="B40" s="9" t="s">
        <v>168</v>
      </c>
    </row>
    <row r="41" spans="1:2" x14ac:dyDescent="0.35">
      <c r="A41" s="15" t="s">
        <v>187</v>
      </c>
      <c r="B41" s="9" t="s">
        <v>168</v>
      </c>
    </row>
    <row r="42" spans="1:2" x14ac:dyDescent="0.35">
      <c r="A42" s="15" t="s">
        <v>187</v>
      </c>
      <c r="B42" s="9" t="s">
        <v>168</v>
      </c>
    </row>
    <row r="43" spans="1:2" x14ac:dyDescent="0.35">
      <c r="A43" s="12" t="s">
        <v>1195</v>
      </c>
      <c r="B43" s="9" t="s">
        <v>168</v>
      </c>
    </row>
    <row r="44" spans="1:2" x14ac:dyDescent="0.35">
      <c r="A44" s="11" t="s">
        <v>10</v>
      </c>
      <c r="B44" s="9" t="s">
        <v>334</v>
      </c>
    </row>
    <row r="45" spans="1:2" x14ac:dyDescent="0.35">
      <c r="A45" s="11" t="s">
        <v>24</v>
      </c>
      <c r="B45" s="9" t="s">
        <v>334</v>
      </c>
    </row>
    <row r="46" spans="1:2" x14ac:dyDescent="0.35">
      <c r="A46" s="11" t="s">
        <v>29</v>
      </c>
      <c r="B46" s="9" t="s">
        <v>334</v>
      </c>
    </row>
    <row r="47" spans="1:2" x14ac:dyDescent="0.35">
      <c r="A47" s="11" t="s">
        <v>62</v>
      </c>
      <c r="B47" s="9" t="s">
        <v>334</v>
      </c>
    </row>
    <row r="48" spans="1:2" x14ac:dyDescent="0.35">
      <c r="A48" s="11" t="s">
        <v>27</v>
      </c>
      <c r="B48" s="9" t="s">
        <v>334</v>
      </c>
    </row>
    <row r="49" spans="1:2" x14ac:dyDescent="0.35">
      <c r="A49" s="11" t="s">
        <v>51</v>
      </c>
      <c r="B49" s="9" t="s">
        <v>334</v>
      </c>
    </row>
    <row r="50" spans="1:2" x14ac:dyDescent="0.35">
      <c r="A50" s="11" t="s">
        <v>38</v>
      </c>
      <c r="B50" s="9" t="s">
        <v>334</v>
      </c>
    </row>
    <row r="51" spans="1:2" x14ac:dyDescent="0.35">
      <c r="A51" s="12"/>
      <c r="B51" s="9" t="s">
        <v>334</v>
      </c>
    </row>
    <row r="52" spans="1:2" x14ac:dyDescent="0.35">
      <c r="A52" s="11" t="s">
        <v>739</v>
      </c>
      <c r="B52" s="9" t="s">
        <v>335</v>
      </c>
    </row>
    <row r="53" spans="1:2" x14ac:dyDescent="0.35">
      <c r="A53" s="11" t="s">
        <v>820</v>
      </c>
      <c r="B53" s="9" t="s">
        <v>336</v>
      </c>
    </row>
    <row r="54" spans="1:2" x14ac:dyDescent="0.35">
      <c r="A54" s="11" t="s">
        <v>2884</v>
      </c>
      <c r="B54" s="9" t="s">
        <v>335</v>
      </c>
    </row>
    <row r="55" spans="1:2" x14ac:dyDescent="0.35">
      <c r="A55" s="11" t="s">
        <v>56</v>
      </c>
      <c r="B55" s="9" t="s">
        <v>335</v>
      </c>
    </row>
    <row r="56" spans="1:2" x14ac:dyDescent="0.35">
      <c r="A56" s="11" t="s">
        <v>101</v>
      </c>
      <c r="B56" s="9" t="s">
        <v>335</v>
      </c>
    </row>
    <row r="57" spans="1:2" x14ac:dyDescent="0.35">
      <c r="A57" s="11" t="s">
        <v>2912</v>
      </c>
      <c r="B57" s="9" t="s">
        <v>335</v>
      </c>
    </row>
    <row r="58" spans="1:2" x14ac:dyDescent="0.35">
      <c r="A58" s="12" t="s">
        <v>970</v>
      </c>
      <c r="B58" s="9" t="s">
        <v>335</v>
      </c>
    </row>
    <row r="59" spans="1:2" x14ac:dyDescent="0.35">
      <c r="A59" s="11" t="s">
        <v>32</v>
      </c>
      <c r="B59" s="9" t="s">
        <v>336</v>
      </c>
    </row>
    <row r="60" spans="1:2" x14ac:dyDescent="0.35">
      <c r="A60" s="11" t="s">
        <v>26</v>
      </c>
      <c r="B60" s="9" t="s">
        <v>336</v>
      </c>
    </row>
    <row r="61" spans="1:2" x14ac:dyDescent="0.35">
      <c r="A61" s="11" t="s">
        <v>125</v>
      </c>
      <c r="B61" s="9" t="s">
        <v>336</v>
      </c>
    </row>
    <row r="62" spans="1:2" x14ac:dyDescent="0.35">
      <c r="A62" s="5" t="s">
        <v>3129</v>
      </c>
      <c r="B62" s="9" t="s">
        <v>336</v>
      </c>
    </row>
    <row r="63" spans="1:2" x14ac:dyDescent="0.35">
      <c r="A63" s="11" t="s">
        <v>70</v>
      </c>
      <c r="B63" s="9" t="s">
        <v>336</v>
      </c>
    </row>
    <row r="64" spans="1:2" x14ac:dyDescent="0.35">
      <c r="A64" s="5" t="s">
        <v>3182</v>
      </c>
      <c r="B64" s="9" t="s">
        <v>336</v>
      </c>
    </row>
    <row r="65" spans="1:3" x14ac:dyDescent="0.35">
      <c r="A65" s="5"/>
      <c r="B65" s="9"/>
    </row>
    <row r="66" spans="1:3" x14ac:dyDescent="0.35">
      <c r="A66" s="11" t="s">
        <v>3093</v>
      </c>
      <c r="B66" s="9" t="s">
        <v>335</v>
      </c>
    </row>
    <row r="67" spans="1:3" x14ac:dyDescent="0.35">
      <c r="A67" s="6" t="s">
        <v>375</v>
      </c>
      <c r="B67" s="9" t="s">
        <v>335</v>
      </c>
    </row>
    <row r="68" spans="1:3" x14ac:dyDescent="0.35">
      <c r="A68" s="6" t="s">
        <v>377</v>
      </c>
      <c r="B68" s="9" t="s">
        <v>337</v>
      </c>
      <c r="C68" t="s">
        <v>1112</v>
      </c>
    </row>
    <row r="69" spans="1:3" x14ac:dyDescent="0.35">
      <c r="A69" s="11" t="s">
        <v>11</v>
      </c>
      <c r="B69" s="9" t="s">
        <v>337</v>
      </c>
    </row>
    <row r="70" spans="1:3" x14ac:dyDescent="0.35">
      <c r="A70" s="5" t="s">
        <v>1031</v>
      </c>
      <c r="B70" s="9" t="s">
        <v>337</v>
      </c>
    </row>
    <row r="71" spans="1:3" x14ac:dyDescent="0.35">
      <c r="A71" s="11" t="s">
        <v>3628</v>
      </c>
      <c r="B71" s="9" t="s">
        <v>338</v>
      </c>
    </row>
    <row r="72" spans="1:3" x14ac:dyDescent="0.35">
      <c r="A72" s="11" t="s">
        <v>39</v>
      </c>
      <c r="B72" s="9" t="s">
        <v>338</v>
      </c>
    </row>
    <row r="73" spans="1:3" x14ac:dyDescent="0.35">
      <c r="A73" s="11" t="s">
        <v>1643</v>
      </c>
      <c r="B73" s="9" t="s">
        <v>338</v>
      </c>
    </row>
    <row r="74" spans="1:3" x14ac:dyDescent="0.35">
      <c r="A74" s="5" t="s">
        <v>2658</v>
      </c>
      <c r="B74" s="9" t="s">
        <v>338</v>
      </c>
    </row>
    <row r="75" spans="1:3" x14ac:dyDescent="0.35">
      <c r="A75" s="11" t="s">
        <v>40</v>
      </c>
      <c r="B75" s="9" t="s">
        <v>338</v>
      </c>
    </row>
    <row r="76" spans="1:3" x14ac:dyDescent="0.35">
      <c r="A76" s="11" t="s">
        <v>172</v>
      </c>
      <c r="B76" s="9" t="s">
        <v>338</v>
      </c>
    </row>
    <row r="77" spans="1:3" x14ac:dyDescent="0.35">
      <c r="A77" s="11" t="s">
        <v>264</v>
      </c>
      <c r="B77" s="9" t="s">
        <v>338</v>
      </c>
    </row>
    <row r="78" spans="1:3" x14ac:dyDescent="0.35">
      <c r="A78" s="5" t="s">
        <v>3114</v>
      </c>
      <c r="B78" s="9" t="s">
        <v>338</v>
      </c>
    </row>
    <row r="79" spans="1:3" x14ac:dyDescent="0.35">
      <c r="A79" s="12" t="s">
        <v>1511</v>
      </c>
      <c r="B79" s="9" t="s">
        <v>338</v>
      </c>
    </row>
    <row r="80" spans="1:3" x14ac:dyDescent="0.35">
      <c r="A80" s="12" t="s">
        <v>116</v>
      </c>
      <c r="B80" s="14" t="s">
        <v>334</v>
      </c>
    </row>
    <row r="81" spans="1:2" x14ac:dyDescent="0.35">
      <c r="A81" s="11" t="s">
        <v>84</v>
      </c>
      <c r="B81" s="18" t="s">
        <v>1133</v>
      </c>
    </row>
    <row r="82" spans="1:2" x14ac:dyDescent="0.35">
      <c r="A82" s="11" t="s">
        <v>280</v>
      </c>
      <c r="B82" s="18" t="s">
        <v>1133</v>
      </c>
    </row>
    <row r="83" spans="1:2" x14ac:dyDescent="0.35">
      <c r="A83" s="13" t="s">
        <v>333</v>
      </c>
      <c r="B83" s="18" t="s">
        <v>1133</v>
      </c>
    </row>
    <row r="84" spans="1:2" x14ac:dyDescent="0.35">
      <c r="A84" s="12" t="s">
        <v>60</v>
      </c>
      <c r="B84" s="18" t="s">
        <v>1133</v>
      </c>
    </row>
    <row r="85" spans="1:2" x14ac:dyDescent="0.35">
      <c r="A85" s="11" t="s">
        <v>285</v>
      </c>
      <c r="B85" s="18" t="s">
        <v>1133</v>
      </c>
    </row>
    <row r="86" spans="1:2" x14ac:dyDescent="0.35">
      <c r="A86" s="11" t="s">
        <v>43</v>
      </c>
      <c r="B86" s="18" t="s">
        <v>1133</v>
      </c>
    </row>
    <row r="87" spans="1:2" x14ac:dyDescent="0.35">
      <c r="A87" s="12" t="s">
        <v>1899</v>
      </c>
      <c r="B87" s="18" t="s">
        <v>1133</v>
      </c>
    </row>
    <row r="88" spans="1:2" x14ac:dyDescent="0.35">
      <c r="A88" s="11" t="s">
        <v>92</v>
      </c>
      <c r="B88" s="9" t="s">
        <v>13</v>
      </c>
    </row>
    <row r="89" spans="1:2" x14ac:dyDescent="0.35">
      <c r="A89" s="11" t="s">
        <v>9</v>
      </c>
      <c r="B89" s="9" t="s">
        <v>13</v>
      </c>
    </row>
    <row r="90" spans="1:2" x14ac:dyDescent="0.35">
      <c r="A90" s="11" t="s">
        <v>8</v>
      </c>
      <c r="B90" s="9" t="s">
        <v>13</v>
      </c>
    </row>
    <row r="91" spans="1:2" x14ac:dyDescent="0.35">
      <c r="A91" s="6" t="s">
        <v>896</v>
      </c>
      <c r="B91" s="9" t="s">
        <v>13</v>
      </c>
    </row>
    <row r="92" spans="1:2" x14ac:dyDescent="0.35">
      <c r="A92" s="12"/>
      <c r="B92" s="9" t="s">
        <v>339</v>
      </c>
    </row>
    <row r="93" spans="1:2" x14ac:dyDescent="0.35">
      <c r="A93" s="17" t="s">
        <v>589</v>
      </c>
      <c r="B93" s="18" t="s">
        <v>17</v>
      </c>
    </row>
    <row r="94" spans="1:2" x14ac:dyDescent="0.35">
      <c r="A94" s="6" t="s">
        <v>1131</v>
      </c>
      <c r="B94" s="18" t="s">
        <v>1133</v>
      </c>
    </row>
    <row r="95" spans="1:2" x14ac:dyDescent="0.35">
      <c r="A95" s="4" t="s">
        <v>168</v>
      </c>
      <c r="B95" s="5" t="s">
        <v>1195</v>
      </c>
    </row>
    <row r="96" spans="1:2" x14ac:dyDescent="0.35">
      <c r="A96" s="6" t="s">
        <v>4472</v>
      </c>
      <c r="B96" t="s">
        <v>338</v>
      </c>
    </row>
    <row r="97" spans="1:2" x14ac:dyDescent="0.35">
      <c r="A97" s="7" t="s">
        <v>4704</v>
      </c>
      <c r="B97" s="4" t="s">
        <v>16</v>
      </c>
    </row>
    <row r="98" spans="1:2" x14ac:dyDescent="0.35">
      <c r="A98" s="5" t="s">
        <v>4696</v>
      </c>
      <c r="B98" t="s">
        <v>16</v>
      </c>
    </row>
    <row r="99" spans="1:2" x14ac:dyDescent="0.35">
      <c r="A99" s="5"/>
    </row>
    <row r="100" spans="1:2" x14ac:dyDescent="0.35">
      <c r="A100" s="4"/>
      <c r="B100" s="4"/>
    </row>
    <row r="101" spans="1:2" x14ac:dyDescent="0.35">
      <c r="A101" s="4"/>
    </row>
    <row r="102" spans="1:2" x14ac:dyDescent="0.35">
      <c r="A102" s="5"/>
      <c r="B102" s="4"/>
    </row>
    <row r="103" spans="1:2" x14ac:dyDescent="0.35">
      <c r="A103" s="6"/>
    </row>
    <row r="104" spans="1:2" x14ac:dyDescent="0.35">
      <c r="A104" s="5"/>
      <c r="B104" s="4"/>
    </row>
    <row r="105" spans="1:2" x14ac:dyDescent="0.35">
      <c r="A105" s="6"/>
    </row>
    <row r="106" spans="1:2" x14ac:dyDescent="0.35">
      <c r="A106" s="6"/>
      <c r="B106" s="4"/>
    </row>
    <row r="107" spans="1:2" x14ac:dyDescent="0.35">
      <c r="A107" s="8"/>
    </row>
    <row r="108" spans="1:2" x14ac:dyDescent="0.35">
      <c r="A108" s="5"/>
      <c r="B108" s="4"/>
    </row>
    <row r="109" spans="1:2" x14ac:dyDescent="0.35">
      <c r="A109" s="6"/>
    </row>
    <row r="110" spans="1:2" x14ac:dyDescent="0.35">
      <c r="A110" s="5"/>
    </row>
    <row r="111" spans="1:2" x14ac:dyDescent="0.35">
      <c r="A111" s="6"/>
    </row>
    <row r="112" spans="1:2" x14ac:dyDescent="0.35">
      <c r="A112" s="6"/>
    </row>
    <row r="113" spans="1:1" x14ac:dyDescent="0.35">
      <c r="A113" s="9"/>
    </row>
    <row r="114" spans="1:1" x14ac:dyDescent="0.35">
      <c r="A114" s="6"/>
    </row>
    <row r="115" spans="1:1" x14ac:dyDescent="0.35">
      <c r="A115" s="6"/>
    </row>
    <row r="116" spans="1:1" x14ac:dyDescent="0.35">
      <c r="A116" s="6"/>
    </row>
    <row r="117" spans="1:1" x14ac:dyDescent="0.35">
      <c r="A117" s="6"/>
    </row>
    <row r="118" spans="1:1" x14ac:dyDescent="0.35">
      <c r="A118" s="5"/>
    </row>
    <row r="119" spans="1:1" x14ac:dyDescent="0.35">
      <c r="A119" s="8"/>
    </row>
    <row r="120" spans="1:1" x14ac:dyDescent="0.35">
      <c r="A120" s="6"/>
    </row>
    <row r="121" spans="1:1" x14ac:dyDescent="0.35">
      <c r="A121" s="5"/>
    </row>
    <row r="122" spans="1:1" x14ac:dyDescent="0.35">
      <c r="A122" s="6"/>
    </row>
    <row r="123" spans="1:1" x14ac:dyDescent="0.35">
      <c r="A123" s="5"/>
    </row>
    <row r="124" spans="1:1" x14ac:dyDescent="0.35">
      <c r="A124" s="6"/>
    </row>
    <row r="125" spans="1:1" x14ac:dyDescent="0.35">
      <c r="A125" s="6"/>
    </row>
    <row r="126" spans="1:1" x14ac:dyDescent="0.35">
      <c r="A126" s="5"/>
    </row>
    <row r="127" spans="1:1" x14ac:dyDescent="0.35">
      <c r="A127" s="6"/>
    </row>
    <row r="128" spans="1:1" x14ac:dyDescent="0.35">
      <c r="A128" s="5"/>
    </row>
    <row r="129" spans="1:1" x14ac:dyDescent="0.35">
      <c r="A129" s="6"/>
    </row>
    <row r="130" spans="1:1" x14ac:dyDescent="0.35">
      <c r="A130" s="5"/>
    </row>
    <row r="131" spans="1:1" x14ac:dyDescent="0.35">
      <c r="A131" s="6"/>
    </row>
  </sheetData>
  <autoFilter ref="A1:B1" xr:uid="{00000000-0001-0000-04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51537836A529945A7C29FC91979DE9A" ma:contentTypeVersion="10" ma:contentTypeDescription="Crear nuevo documento." ma:contentTypeScope="" ma:versionID="eca0eb08f82a0f0035bd0a8a425e61d7">
  <xsd:schema xmlns:xsd="http://www.w3.org/2001/XMLSchema" xmlns:xs="http://www.w3.org/2001/XMLSchema" xmlns:p="http://schemas.microsoft.com/office/2006/metadata/properties" xmlns:ns3="34091e5d-d5f0-447b-88ba-9f604bd0224c" xmlns:ns4="321dfc47-f536-4882-9e07-c922ddae295e" targetNamespace="http://schemas.microsoft.com/office/2006/metadata/properties" ma:root="true" ma:fieldsID="17c963f7410b6f549cde6ce4a3b324ab" ns3:_="" ns4:_="">
    <xsd:import namespace="34091e5d-d5f0-447b-88ba-9f604bd0224c"/>
    <xsd:import namespace="321dfc47-f536-4882-9e07-c922ddae295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DateTaken" minOccurs="0"/>
                <xsd:element ref="ns4:MediaLengthInSeconds" minOccurs="0"/>
                <xsd:element ref="ns4:_activity" minOccurs="0"/>
                <xsd:element ref="ns4: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091e5d-d5f0-447b-88ba-9f604bd0224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1dfc47-f536-4882-9e07-c922ddae295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AutoTags" ma:index="17" nillable="true" ma:displayName="Tags" ma:internalName="MediaServiceAutoTag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21dfc47-f536-4882-9e07-c922ddae295e" xsi:nil="true"/>
  </documentManagement>
</p:properties>
</file>

<file path=customXml/item4.xml>��
</file>

<file path=customXml/itemProps1.xml><?xml version="1.0" encoding="utf-8"?>
<ds:datastoreItem xmlns:ds="http://schemas.openxmlformats.org/officeDocument/2006/customXml" ds:itemID="{D5A8977D-312B-430B-9FEB-1F0F79F22F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091e5d-d5f0-447b-88ba-9f604bd0224c"/>
    <ds:schemaRef ds:uri="321dfc47-f536-4882-9e07-c922ddae2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8E00BE-A83C-4991-8D11-E9777D454FE4}">
  <ds:schemaRefs>
    <ds:schemaRef ds:uri="http://schemas.microsoft.com/sharepoint/v3/contenttype/forms"/>
  </ds:schemaRefs>
</ds:datastoreItem>
</file>

<file path=customXml/itemProps3.xml><?xml version="1.0" encoding="utf-8"?>
<ds:datastoreItem xmlns:ds="http://schemas.openxmlformats.org/officeDocument/2006/customXml" ds:itemID="{8C87CB37-5833-4D72-9E27-D9E899CBB20A}">
  <ds:schemaRefs>
    <ds:schemaRef ds:uri="http://purl.org/dc/terms/"/>
    <ds:schemaRef ds:uri="http://schemas.microsoft.com/office/infopath/2007/PartnerControls"/>
    <ds:schemaRef ds:uri="http://purl.org/dc/elements/1.1/"/>
    <ds:schemaRef ds:uri="http://schemas.openxmlformats.org/package/2006/metadata/core-properties"/>
    <ds:schemaRef ds:uri="321dfc47-f536-4882-9e07-c922ddae295e"/>
    <ds:schemaRef ds:uri="34091e5d-d5f0-447b-88ba-9f604bd0224c"/>
    <ds:schemaRef ds:uri="http://purl.org/dc/dcmitype/"/>
    <ds:schemaRef ds:uri="http://schemas.microsoft.com/office/2006/documentManagement/typ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3B8D045B-DEE9-4D42-89E8-6F2C018ECF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Citas New New</vt:lpstr>
      <vt:lpstr>1.- Citas sin this week</vt:lpstr>
      <vt:lpstr>Opps creadas</vt: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Arreola (Engen Capital)</dc:creator>
  <cp:lastModifiedBy>Roberto Zacatenco (Engen Capital)</cp:lastModifiedBy>
  <cp:lastPrinted>2025-09-15T02:29:04Z</cp:lastPrinted>
  <dcterms:created xsi:type="dcterms:W3CDTF">2023-03-17T14:19:26Z</dcterms:created>
  <dcterms:modified xsi:type="dcterms:W3CDTF">2026-03-04T20:34:09Z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0x010100D51537836A529945A7C29FC91979DE9A</vt:lpwstr>
  </property>
</Properties>
</file>